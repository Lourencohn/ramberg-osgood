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ifspedubr-my.sharepoint.com/personal/felipe_davi_aluno_ifsp_edu_br/Documents/ic - resistecia dos materiais/DAVI FELIPE/Planilhas - IC (Davi)/"/>
    </mc:Choice>
  </mc:AlternateContent>
  <xr:revisionPtr revIDLastSave="365" documentId="11_AD4D361C20488DEA4E38A0D6F4DB6FB25ADEDD82" xr6:coauthVersionLast="47" xr6:coauthVersionMax="47" xr10:uidLastSave="{BAE41080-C8C3-49EA-89E6-8B3610CE3651}"/>
  <bookViews>
    <workbookView xWindow="-108" yWindow="-108" windowWidth="23256" windowHeight="12456" activeTab="4" xr2:uid="{00000000-000D-0000-FFFF-FFFF00000000}"/>
  </bookViews>
  <sheets>
    <sheet name="A11-1" sheetId="1" r:id="rId1"/>
    <sheet name="A11-2" sheetId="2" r:id="rId2"/>
    <sheet name="A11-3" sheetId="3" r:id="rId3"/>
    <sheet name="A11-4" sheetId="4" r:id="rId4"/>
    <sheet name="A11-5" sheetId="5" r:id="rId5"/>
    <sheet name="grafic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6" l="1"/>
  <c r="G25" i="6"/>
  <c r="F25" i="6" l="1"/>
  <c r="J3" i="5"/>
  <c r="K3" i="5"/>
  <c r="I3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J3" i="4"/>
  <c r="K3" i="4"/>
  <c r="I3" i="4"/>
  <c r="E2" i="3"/>
  <c r="F2" i="3" s="1"/>
  <c r="E3" i="3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E59" i="3"/>
  <c r="F59" i="3" s="1"/>
  <c r="E60" i="3"/>
  <c r="F60" i="3" s="1"/>
  <c r="E61" i="3"/>
  <c r="F61" i="3" s="1"/>
  <c r="E62" i="3"/>
  <c r="F62" i="3" s="1"/>
  <c r="E63" i="3"/>
  <c r="F63" i="3" s="1"/>
  <c r="E64" i="3"/>
  <c r="F64" i="3" s="1"/>
  <c r="E65" i="3"/>
  <c r="F65" i="3" s="1"/>
  <c r="E66" i="3"/>
  <c r="F66" i="3" s="1"/>
  <c r="E67" i="3"/>
  <c r="F67" i="3" s="1"/>
  <c r="E68" i="3"/>
  <c r="F68" i="3" s="1"/>
  <c r="E69" i="3"/>
  <c r="F69" i="3" s="1"/>
  <c r="E70" i="3"/>
  <c r="F70" i="3" s="1"/>
  <c r="E71" i="3"/>
  <c r="F71" i="3" s="1"/>
  <c r="E72" i="3"/>
  <c r="F72" i="3" s="1"/>
  <c r="E73" i="3"/>
  <c r="F73" i="3" s="1"/>
  <c r="E74" i="3"/>
  <c r="F74" i="3" s="1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E95" i="3"/>
  <c r="F95" i="3" s="1"/>
  <c r="E96" i="3"/>
  <c r="F96" i="3" s="1"/>
  <c r="E97" i="3"/>
  <c r="F97" i="3" s="1"/>
  <c r="E98" i="3"/>
  <c r="F98" i="3" s="1"/>
  <c r="E99" i="3"/>
  <c r="F99" i="3" s="1"/>
  <c r="E100" i="3"/>
  <c r="F100" i="3" s="1"/>
  <c r="E101" i="3"/>
  <c r="F101" i="3" s="1"/>
  <c r="E102" i="3"/>
  <c r="F102" i="3" s="1"/>
  <c r="E103" i="3"/>
  <c r="F103" i="3" s="1"/>
  <c r="E104" i="3"/>
  <c r="F104" i="3" s="1"/>
  <c r="E105" i="3"/>
  <c r="F105" i="3" s="1"/>
  <c r="E106" i="3"/>
  <c r="F106" i="3" s="1"/>
  <c r="E107" i="3"/>
  <c r="F107" i="3" s="1"/>
  <c r="E108" i="3"/>
  <c r="F108" i="3" s="1"/>
  <c r="E109" i="3"/>
  <c r="F109" i="3" s="1"/>
  <c r="E110" i="3"/>
  <c r="F110" i="3" s="1"/>
  <c r="E111" i="3"/>
  <c r="F111" i="3" s="1"/>
  <c r="E112" i="3"/>
  <c r="F112" i="3" s="1"/>
  <c r="E113" i="3"/>
  <c r="F113" i="3" s="1"/>
  <c r="E114" i="3"/>
  <c r="F114" i="3" s="1"/>
  <c r="E115" i="3"/>
  <c r="F115" i="3" s="1"/>
  <c r="E116" i="3"/>
  <c r="F116" i="3" s="1"/>
  <c r="E117" i="3"/>
  <c r="F117" i="3" s="1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F124" i="3" s="1"/>
  <c r="E125" i="3"/>
  <c r="F125" i="3" s="1"/>
  <c r="E126" i="3"/>
  <c r="F126" i="3" s="1"/>
  <c r="E127" i="3"/>
  <c r="F127" i="3" s="1"/>
  <c r="E128" i="3"/>
  <c r="F128" i="3" s="1"/>
  <c r="E129" i="3"/>
  <c r="F129" i="3" s="1"/>
  <c r="E130" i="3"/>
  <c r="F130" i="3" s="1"/>
  <c r="E131" i="3"/>
  <c r="F131" i="3" s="1"/>
  <c r="E132" i="3"/>
  <c r="F132" i="3" s="1"/>
  <c r="E133" i="3"/>
  <c r="F133" i="3" s="1"/>
  <c r="E134" i="3"/>
  <c r="F134" i="3" s="1"/>
  <c r="E135" i="3"/>
  <c r="F135" i="3" s="1"/>
  <c r="E136" i="3"/>
  <c r="F136" i="3" s="1"/>
  <c r="E137" i="3"/>
  <c r="F137" i="3" s="1"/>
  <c r="E138" i="3"/>
  <c r="F138" i="3" s="1"/>
  <c r="E139" i="3"/>
  <c r="F139" i="3" s="1"/>
  <c r="E140" i="3"/>
  <c r="F140" i="3" s="1"/>
  <c r="E141" i="3"/>
  <c r="F141" i="3" s="1"/>
  <c r="E142" i="3"/>
  <c r="F142" i="3" s="1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E149" i="3"/>
  <c r="F149" i="3" s="1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F159" i="3" s="1"/>
  <c r="E160" i="3"/>
  <c r="F160" i="3" s="1"/>
  <c r="E161" i="3"/>
  <c r="F161" i="3" s="1"/>
  <c r="E162" i="3"/>
  <c r="F162" i="3" s="1"/>
  <c r="E163" i="3"/>
  <c r="F163" i="3" s="1"/>
  <c r="E164" i="3"/>
  <c r="F164" i="3" s="1"/>
  <c r="E165" i="3"/>
  <c r="F165" i="3" s="1"/>
  <c r="E166" i="3"/>
  <c r="F166" i="3" s="1"/>
  <c r="E167" i="3"/>
  <c r="F167" i="3" s="1"/>
  <c r="E168" i="3"/>
  <c r="F168" i="3" s="1"/>
  <c r="E169" i="3"/>
  <c r="F169" i="3" s="1"/>
  <c r="E170" i="3"/>
  <c r="F170" i="3" s="1"/>
  <c r="E171" i="3"/>
  <c r="F171" i="3" s="1"/>
  <c r="E172" i="3"/>
  <c r="F172" i="3" s="1"/>
  <c r="E173" i="3"/>
  <c r="F173" i="3" s="1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F180" i="3" s="1"/>
  <c r="E181" i="3"/>
  <c r="F181" i="3" s="1"/>
  <c r="E182" i="3"/>
  <c r="F182" i="3" s="1"/>
  <c r="E183" i="3"/>
  <c r="F183" i="3" s="1"/>
  <c r="E184" i="3"/>
  <c r="F184" i="3" s="1"/>
  <c r="E185" i="3"/>
  <c r="F185" i="3" s="1"/>
  <c r="E186" i="3"/>
  <c r="F186" i="3" s="1"/>
  <c r="E187" i="3"/>
  <c r="F187" i="3" s="1"/>
  <c r="E188" i="3"/>
  <c r="F188" i="3" s="1"/>
  <c r="E189" i="3"/>
  <c r="F189" i="3" s="1"/>
  <c r="E190" i="3"/>
  <c r="F190" i="3" s="1"/>
  <c r="E191" i="3"/>
  <c r="F191" i="3" s="1"/>
  <c r="E192" i="3"/>
  <c r="F192" i="3" s="1"/>
  <c r="E193" i="3"/>
  <c r="F193" i="3" s="1"/>
  <c r="E194" i="3"/>
  <c r="F194" i="3" s="1"/>
  <c r="E195" i="3"/>
  <c r="F195" i="3" s="1"/>
  <c r="E196" i="3"/>
  <c r="F196" i="3" s="1"/>
  <c r="E197" i="3"/>
  <c r="F197" i="3" s="1"/>
  <c r="E198" i="3"/>
  <c r="F198" i="3" s="1"/>
  <c r="E199" i="3"/>
  <c r="F199" i="3" s="1"/>
  <c r="E200" i="3"/>
  <c r="F200" i="3" s="1"/>
  <c r="E201" i="3"/>
  <c r="F201" i="3" s="1"/>
  <c r="E202" i="3"/>
  <c r="F202" i="3" s="1"/>
  <c r="E203" i="3"/>
  <c r="F203" i="3" s="1"/>
  <c r="E204" i="3"/>
  <c r="F204" i="3" s="1"/>
  <c r="E205" i="3"/>
  <c r="F205" i="3" s="1"/>
  <c r="E206" i="3"/>
  <c r="F206" i="3" s="1"/>
  <c r="E207" i="3"/>
  <c r="F207" i="3" s="1"/>
  <c r="E208" i="3"/>
  <c r="F208" i="3" s="1"/>
  <c r="E209" i="3"/>
  <c r="F209" i="3" s="1"/>
  <c r="E210" i="3"/>
  <c r="F210" i="3" s="1"/>
  <c r="E211" i="3"/>
  <c r="F211" i="3" s="1"/>
  <c r="E212" i="3"/>
  <c r="F212" i="3" s="1"/>
  <c r="E213" i="3"/>
  <c r="F213" i="3" s="1"/>
  <c r="E214" i="3"/>
  <c r="F214" i="3" s="1"/>
  <c r="E215" i="3"/>
  <c r="F215" i="3" s="1"/>
  <c r="E216" i="3"/>
  <c r="F216" i="3" s="1"/>
  <c r="E217" i="3"/>
  <c r="F217" i="3" s="1"/>
  <c r="E218" i="3"/>
  <c r="F218" i="3" s="1"/>
  <c r="E219" i="3"/>
  <c r="F219" i="3" s="1"/>
  <c r="E220" i="3"/>
  <c r="F220" i="3" s="1"/>
  <c r="E221" i="3"/>
  <c r="F221" i="3" s="1"/>
  <c r="E222" i="3"/>
  <c r="F222" i="3" s="1"/>
  <c r="E223" i="3"/>
  <c r="F223" i="3" s="1"/>
  <c r="E224" i="3"/>
  <c r="F224" i="3" s="1"/>
  <c r="E225" i="3"/>
  <c r="F225" i="3" s="1"/>
  <c r="E226" i="3"/>
  <c r="F226" i="3" s="1"/>
  <c r="E227" i="3"/>
  <c r="F227" i="3" s="1"/>
  <c r="E228" i="3"/>
  <c r="F228" i="3" s="1"/>
  <c r="E229" i="3"/>
  <c r="F229" i="3" s="1"/>
  <c r="E230" i="3"/>
  <c r="F230" i="3" s="1"/>
  <c r="E231" i="3"/>
  <c r="F231" i="3" s="1"/>
  <c r="E232" i="3"/>
  <c r="F232" i="3" s="1"/>
  <c r="E233" i="3"/>
  <c r="F233" i="3" s="1"/>
  <c r="E234" i="3"/>
  <c r="F234" i="3" s="1"/>
  <c r="E235" i="3"/>
  <c r="F235" i="3" s="1"/>
  <c r="E236" i="3"/>
  <c r="F236" i="3" s="1"/>
  <c r="E237" i="3"/>
  <c r="F237" i="3" s="1"/>
  <c r="E238" i="3"/>
  <c r="F238" i="3" s="1"/>
  <c r="E239" i="3"/>
  <c r="F239" i="3" s="1"/>
  <c r="E240" i="3"/>
  <c r="F240" i="3" s="1"/>
  <c r="E241" i="3"/>
  <c r="F241" i="3" s="1"/>
  <c r="E242" i="3"/>
  <c r="F242" i="3" s="1"/>
  <c r="E243" i="3"/>
  <c r="F243" i="3" s="1"/>
  <c r="E244" i="3"/>
  <c r="F244" i="3" s="1"/>
  <c r="E245" i="3"/>
  <c r="F245" i="3" s="1"/>
  <c r="E246" i="3"/>
  <c r="F246" i="3" s="1"/>
  <c r="E247" i="3"/>
  <c r="F247" i="3" s="1"/>
  <c r="E248" i="3"/>
  <c r="F248" i="3" s="1"/>
  <c r="E249" i="3"/>
  <c r="F249" i="3" s="1"/>
  <c r="E250" i="3"/>
  <c r="F250" i="3" s="1"/>
  <c r="E251" i="3"/>
  <c r="F251" i="3" s="1"/>
  <c r="E252" i="3"/>
  <c r="F252" i="3" s="1"/>
  <c r="E253" i="3"/>
  <c r="F253" i="3" s="1"/>
  <c r="E254" i="3"/>
  <c r="F254" i="3" s="1"/>
  <c r="E255" i="3"/>
  <c r="F255" i="3" s="1"/>
  <c r="E256" i="3"/>
  <c r="F256" i="3" s="1"/>
  <c r="E257" i="3"/>
  <c r="F257" i="3" s="1"/>
  <c r="E258" i="3"/>
  <c r="F258" i="3" s="1"/>
  <c r="E259" i="3"/>
  <c r="F259" i="3" s="1"/>
  <c r="E260" i="3"/>
  <c r="F260" i="3" s="1"/>
  <c r="E261" i="3"/>
  <c r="F261" i="3" s="1"/>
  <c r="E262" i="3"/>
  <c r="F262" i="3" s="1"/>
  <c r="E263" i="3"/>
  <c r="F263" i="3" s="1"/>
  <c r="E264" i="3"/>
  <c r="F264" i="3" s="1"/>
  <c r="E265" i="3"/>
  <c r="F265" i="3" s="1"/>
  <c r="E266" i="3"/>
  <c r="F266" i="3" s="1"/>
  <c r="E267" i="3"/>
  <c r="F267" i="3" s="1"/>
  <c r="E268" i="3"/>
  <c r="F268" i="3" s="1"/>
  <c r="E269" i="3"/>
  <c r="F269" i="3" s="1"/>
  <c r="E270" i="3"/>
  <c r="F270" i="3" s="1"/>
  <c r="E271" i="3"/>
  <c r="F271" i="3" s="1"/>
  <c r="E272" i="3"/>
  <c r="F272" i="3" s="1"/>
  <c r="E273" i="3"/>
  <c r="F273" i="3" s="1"/>
  <c r="E274" i="3"/>
  <c r="F274" i="3" s="1"/>
  <c r="E275" i="3"/>
  <c r="F275" i="3" s="1"/>
  <c r="E276" i="3"/>
  <c r="F276" i="3" s="1"/>
  <c r="E277" i="3"/>
  <c r="F277" i="3" s="1"/>
  <c r="E278" i="3"/>
  <c r="F278" i="3" s="1"/>
  <c r="E279" i="3"/>
  <c r="F279" i="3" s="1"/>
  <c r="E280" i="3"/>
  <c r="F280" i="3" s="1"/>
  <c r="E281" i="3"/>
  <c r="F281" i="3" s="1"/>
  <c r="E282" i="3"/>
  <c r="F282" i="3" s="1"/>
  <c r="E283" i="3"/>
  <c r="F283" i="3" s="1"/>
  <c r="E284" i="3"/>
  <c r="F284" i="3" s="1"/>
  <c r="E285" i="3"/>
  <c r="F285" i="3" s="1"/>
  <c r="E286" i="3"/>
  <c r="F286" i="3" s="1"/>
  <c r="E287" i="3"/>
  <c r="F287" i="3" s="1"/>
  <c r="E288" i="3"/>
  <c r="F288" i="3" s="1"/>
  <c r="E289" i="3"/>
  <c r="F289" i="3" s="1"/>
  <c r="E290" i="3"/>
  <c r="F290" i="3" s="1"/>
  <c r="E291" i="3"/>
  <c r="F291" i="3" s="1"/>
  <c r="E292" i="3"/>
  <c r="F292" i="3" s="1"/>
  <c r="E293" i="3"/>
  <c r="F293" i="3" s="1"/>
  <c r="E294" i="3"/>
  <c r="F294" i="3" s="1"/>
  <c r="E295" i="3"/>
  <c r="F295" i="3" s="1"/>
  <c r="E296" i="3"/>
  <c r="F296" i="3" s="1"/>
  <c r="E297" i="3"/>
  <c r="F297" i="3" s="1"/>
  <c r="E298" i="3"/>
  <c r="F298" i="3" s="1"/>
  <c r="E299" i="3"/>
  <c r="F299" i="3" s="1"/>
  <c r="E300" i="3"/>
  <c r="F300" i="3" s="1"/>
  <c r="E301" i="3"/>
  <c r="F301" i="3" s="1"/>
  <c r="E302" i="3"/>
  <c r="F302" i="3" s="1"/>
  <c r="E303" i="3"/>
  <c r="F303" i="3" s="1"/>
  <c r="E304" i="3"/>
  <c r="F304" i="3" s="1"/>
  <c r="E305" i="3"/>
  <c r="F305" i="3" s="1"/>
  <c r="E306" i="3"/>
  <c r="F306" i="3" s="1"/>
  <c r="E307" i="3"/>
  <c r="F307" i="3" s="1"/>
  <c r="E308" i="3"/>
  <c r="F308" i="3" s="1"/>
  <c r="E309" i="3"/>
  <c r="F309" i="3" s="1"/>
  <c r="E310" i="3"/>
  <c r="F310" i="3" s="1"/>
  <c r="E311" i="3"/>
  <c r="F311" i="3" s="1"/>
  <c r="E312" i="3"/>
  <c r="F312" i="3" s="1"/>
  <c r="E313" i="3"/>
  <c r="F313" i="3" s="1"/>
  <c r="E314" i="3"/>
  <c r="F314" i="3" s="1"/>
  <c r="E315" i="3"/>
  <c r="F315" i="3" s="1"/>
  <c r="E316" i="3"/>
  <c r="F316" i="3" s="1"/>
  <c r="E317" i="3"/>
  <c r="F317" i="3" s="1"/>
  <c r="E318" i="3"/>
  <c r="F318" i="3" s="1"/>
  <c r="E319" i="3"/>
  <c r="F319" i="3" s="1"/>
  <c r="E320" i="3"/>
  <c r="F320" i="3" s="1"/>
  <c r="E321" i="3"/>
  <c r="F321" i="3" s="1"/>
  <c r="E322" i="3"/>
  <c r="F322" i="3" s="1"/>
  <c r="E323" i="3"/>
  <c r="F323" i="3" s="1"/>
  <c r="E324" i="3"/>
  <c r="F324" i="3" s="1"/>
  <c r="E325" i="3"/>
  <c r="F325" i="3" s="1"/>
  <c r="E326" i="3"/>
  <c r="F326" i="3" s="1"/>
  <c r="E327" i="3"/>
  <c r="F327" i="3" s="1"/>
  <c r="E328" i="3"/>
  <c r="F328" i="3" s="1"/>
  <c r="E329" i="3"/>
  <c r="F329" i="3" s="1"/>
  <c r="E330" i="3"/>
  <c r="F330" i="3" s="1"/>
  <c r="E331" i="3"/>
  <c r="F331" i="3" s="1"/>
  <c r="E332" i="3"/>
  <c r="F332" i="3" s="1"/>
  <c r="E333" i="3"/>
  <c r="F333" i="3" s="1"/>
  <c r="E334" i="3"/>
  <c r="F334" i="3" s="1"/>
  <c r="E335" i="3"/>
  <c r="F335" i="3" s="1"/>
  <c r="E336" i="3"/>
  <c r="F336" i="3" s="1"/>
  <c r="E337" i="3"/>
  <c r="F337" i="3" s="1"/>
  <c r="E338" i="3"/>
  <c r="F338" i="3" s="1"/>
  <c r="E339" i="3"/>
  <c r="F339" i="3" s="1"/>
  <c r="E340" i="3"/>
  <c r="F340" i="3" s="1"/>
  <c r="E341" i="3"/>
  <c r="F341" i="3" s="1"/>
  <c r="E342" i="3"/>
  <c r="F342" i="3" s="1"/>
  <c r="E343" i="3"/>
  <c r="F343" i="3" s="1"/>
  <c r="E344" i="3"/>
  <c r="F344" i="3" s="1"/>
  <c r="E345" i="3"/>
  <c r="F345" i="3" s="1"/>
  <c r="E346" i="3"/>
  <c r="F346" i="3" s="1"/>
  <c r="E347" i="3"/>
  <c r="F347" i="3" s="1"/>
  <c r="E348" i="3"/>
  <c r="F348" i="3" s="1"/>
  <c r="E349" i="3"/>
  <c r="F349" i="3" s="1"/>
  <c r="E350" i="3"/>
  <c r="F350" i="3" s="1"/>
  <c r="E351" i="3"/>
  <c r="F351" i="3" s="1"/>
  <c r="E352" i="3"/>
  <c r="F352" i="3" s="1"/>
  <c r="E353" i="3"/>
  <c r="F353" i="3" s="1"/>
  <c r="E354" i="3"/>
  <c r="F354" i="3" s="1"/>
  <c r="E355" i="3"/>
  <c r="F355" i="3" s="1"/>
  <c r="E356" i="3"/>
  <c r="F356" i="3" s="1"/>
  <c r="E357" i="3"/>
  <c r="F357" i="3" s="1"/>
  <c r="E358" i="3"/>
  <c r="F358" i="3" s="1"/>
  <c r="E359" i="3"/>
  <c r="F359" i="3" s="1"/>
  <c r="E360" i="3"/>
  <c r="F360" i="3" s="1"/>
  <c r="E361" i="3"/>
  <c r="F361" i="3" s="1"/>
  <c r="E362" i="3"/>
  <c r="F362" i="3" s="1"/>
  <c r="E363" i="3"/>
  <c r="F363" i="3" s="1"/>
  <c r="E364" i="3"/>
  <c r="F364" i="3" s="1"/>
  <c r="E365" i="3"/>
  <c r="F365" i="3" s="1"/>
  <c r="E366" i="3"/>
  <c r="F366" i="3" s="1"/>
  <c r="E367" i="3"/>
  <c r="F367" i="3" s="1"/>
  <c r="E368" i="3"/>
  <c r="F368" i="3" s="1"/>
  <c r="E369" i="3"/>
  <c r="F369" i="3" s="1"/>
  <c r="E370" i="3"/>
  <c r="F370" i="3" s="1"/>
  <c r="E371" i="3"/>
  <c r="F371" i="3" s="1"/>
  <c r="E372" i="3"/>
  <c r="F372" i="3" s="1"/>
  <c r="E373" i="3"/>
  <c r="F373" i="3" s="1"/>
  <c r="E374" i="3"/>
  <c r="F374" i="3" s="1"/>
  <c r="E375" i="3"/>
  <c r="F375" i="3" s="1"/>
  <c r="E376" i="3"/>
  <c r="F376" i="3" s="1"/>
  <c r="E377" i="3"/>
  <c r="F377" i="3" s="1"/>
  <c r="E378" i="3"/>
  <c r="F378" i="3" s="1"/>
  <c r="E379" i="3"/>
  <c r="F379" i="3" s="1"/>
  <c r="E380" i="3"/>
  <c r="F380" i="3" s="1"/>
  <c r="E381" i="3"/>
  <c r="F381" i="3" s="1"/>
  <c r="E382" i="3"/>
  <c r="F382" i="3" s="1"/>
  <c r="E383" i="3"/>
  <c r="F383" i="3" s="1"/>
  <c r="E384" i="3"/>
  <c r="F384" i="3" s="1"/>
  <c r="E385" i="3"/>
  <c r="F385" i="3" s="1"/>
  <c r="E386" i="3"/>
  <c r="F386" i="3" s="1"/>
  <c r="E387" i="3"/>
  <c r="F387" i="3" s="1"/>
  <c r="E388" i="3"/>
  <c r="F388" i="3" s="1"/>
  <c r="E389" i="3"/>
  <c r="F389" i="3" s="1"/>
  <c r="E390" i="3"/>
  <c r="F390" i="3" s="1"/>
  <c r="E391" i="3"/>
  <c r="F391" i="3" s="1"/>
  <c r="E392" i="3"/>
  <c r="F392" i="3" s="1"/>
  <c r="E393" i="3"/>
  <c r="F393" i="3" s="1"/>
  <c r="E394" i="3"/>
  <c r="F394" i="3" s="1"/>
  <c r="E395" i="3"/>
  <c r="F395" i="3" s="1"/>
  <c r="E396" i="3"/>
  <c r="F396" i="3" s="1"/>
  <c r="E397" i="3"/>
  <c r="F397" i="3" s="1"/>
  <c r="E398" i="3"/>
  <c r="F398" i="3" s="1"/>
  <c r="E399" i="3"/>
  <c r="F399" i="3" s="1"/>
  <c r="E400" i="3"/>
  <c r="F400" i="3" s="1"/>
  <c r="E401" i="3"/>
  <c r="F401" i="3" s="1"/>
  <c r="E402" i="3"/>
  <c r="F402" i="3" s="1"/>
  <c r="E403" i="3"/>
  <c r="F403" i="3" s="1"/>
  <c r="E404" i="3"/>
  <c r="F404" i="3" s="1"/>
  <c r="E405" i="3"/>
  <c r="F405" i="3" s="1"/>
  <c r="E406" i="3"/>
  <c r="F406" i="3" s="1"/>
  <c r="E407" i="3"/>
  <c r="F407" i="3" s="1"/>
  <c r="E408" i="3"/>
  <c r="F408" i="3" s="1"/>
  <c r="E409" i="3"/>
  <c r="F409" i="3" s="1"/>
  <c r="E410" i="3"/>
  <c r="F410" i="3" s="1"/>
  <c r="E411" i="3"/>
  <c r="F411" i="3" s="1"/>
  <c r="E412" i="3"/>
  <c r="F412" i="3" s="1"/>
  <c r="E413" i="3"/>
  <c r="F413" i="3" s="1"/>
  <c r="E414" i="3"/>
  <c r="F414" i="3" s="1"/>
  <c r="E415" i="3"/>
  <c r="F415" i="3" s="1"/>
  <c r="E416" i="3"/>
  <c r="F416" i="3" s="1"/>
  <c r="E417" i="3"/>
  <c r="F417" i="3" s="1"/>
  <c r="E418" i="3"/>
  <c r="F418" i="3" s="1"/>
  <c r="E419" i="3"/>
  <c r="F419" i="3" s="1"/>
  <c r="E420" i="3"/>
  <c r="F420" i="3" s="1"/>
  <c r="E421" i="3"/>
  <c r="F421" i="3" s="1"/>
  <c r="E422" i="3"/>
  <c r="F422" i="3" s="1"/>
  <c r="E423" i="3"/>
  <c r="F423" i="3" s="1"/>
  <c r="E424" i="3"/>
  <c r="F424" i="3" s="1"/>
  <c r="E425" i="3"/>
  <c r="F425" i="3" s="1"/>
  <c r="E426" i="3"/>
  <c r="F426" i="3" s="1"/>
  <c r="E427" i="3"/>
  <c r="F427" i="3" s="1"/>
  <c r="E428" i="3"/>
  <c r="F428" i="3" s="1"/>
  <c r="E429" i="3"/>
  <c r="F429" i="3" s="1"/>
  <c r="E430" i="3"/>
  <c r="F430" i="3" s="1"/>
  <c r="E431" i="3"/>
  <c r="F431" i="3" s="1"/>
  <c r="E432" i="3"/>
  <c r="F432" i="3" s="1"/>
  <c r="E433" i="3"/>
  <c r="F433" i="3" s="1"/>
  <c r="E434" i="3"/>
  <c r="F434" i="3" s="1"/>
  <c r="E435" i="3"/>
  <c r="F435" i="3" s="1"/>
  <c r="E436" i="3"/>
  <c r="F436" i="3" s="1"/>
  <c r="E437" i="3"/>
  <c r="F437" i="3" s="1"/>
  <c r="E438" i="3"/>
  <c r="F438" i="3" s="1"/>
  <c r="E439" i="3"/>
  <c r="F439" i="3" s="1"/>
  <c r="E440" i="3"/>
  <c r="F440" i="3" s="1"/>
  <c r="E441" i="3"/>
  <c r="F441" i="3" s="1"/>
  <c r="E442" i="3"/>
  <c r="F442" i="3" s="1"/>
  <c r="E443" i="3"/>
  <c r="F443" i="3" s="1"/>
  <c r="E444" i="3"/>
  <c r="F444" i="3" s="1"/>
  <c r="E445" i="3"/>
  <c r="F445" i="3" s="1"/>
  <c r="E446" i="3"/>
  <c r="F446" i="3" s="1"/>
  <c r="E447" i="3"/>
  <c r="F447" i="3" s="1"/>
  <c r="E448" i="3"/>
  <c r="F448" i="3" s="1"/>
  <c r="E449" i="3"/>
  <c r="F449" i="3" s="1"/>
  <c r="E450" i="3"/>
  <c r="F450" i="3" s="1"/>
  <c r="E451" i="3"/>
  <c r="F451" i="3" s="1"/>
  <c r="E452" i="3"/>
  <c r="F452" i="3" s="1"/>
  <c r="E453" i="3"/>
  <c r="F453" i="3" s="1"/>
  <c r="E454" i="3"/>
  <c r="F454" i="3" s="1"/>
  <c r="E455" i="3"/>
  <c r="F455" i="3" s="1"/>
  <c r="E456" i="3"/>
  <c r="F456" i="3" s="1"/>
  <c r="E457" i="3"/>
  <c r="F457" i="3" s="1"/>
  <c r="E458" i="3"/>
  <c r="F458" i="3" s="1"/>
  <c r="E459" i="3"/>
  <c r="F459" i="3" s="1"/>
  <c r="E460" i="3"/>
  <c r="F460" i="3" s="1"/>
  <c r="E461" i="3"/>
  <c r="F461" i="3" s="1"/>
  <c r="E462" i="3"/>
  <c r="F462" i="3" s="1"/>
  <c r="E463" i="3"/>
  <c r="F463" i="3" s="1"/>
  <c r="E464" i="3"/>
  <c r="F464" i="3" s="1"/>
  <c r="E465" i="3"/>
  <c r="F465" i="3" s="1"/>
  <c r="E466" i="3"/>
  <c r="F466" i="3" s="1"/>
  <c r="E467" i="3"/>
  <c r="F467" i="3" s="1"/>
  <c r="E468" i="3"/>
  <c r="F468" i="3" s="1"/>
  <c r="E469" i="3"/>
  <c r="F469" i="3" s="1"/>
  <c r="E470" i="3"/>
  <c r="F470" i="3" s="1"/>
  <c r="E471" i="3"/>
  <c r="F471" i="3" s="1"/>
  <c r="E472" i="3"/>
  <c r="F472" i="3" s="1"/>
  <c r="E473" i="3"/>
  <c r="F473" i="3" s="1"/>
  <c r="E474" i="3"/>
  <c r="F474" i="3" s="1"/>
  <c r="E475" i="3"/>
  <c r="F475" i="3" s="1"/>
  <c r="E476" i="3"/>
  <c r="F476" i="3" s="1"/>
  <c r="E477" i="3"/>
  <c r="F477" i="3" s="1"/>
  <c r="E478" i="3"/>
  <c r="F478" i="3" s="1"/>
  <c r="E479" i="3"/>
  <c r="F479" i="3" s="1"/>
  <c r="E480" i="3"/>
  <c r="F480" i="3" s="1"/>
  <c r="E481" i="3"/>
  <c r="F481" i="3" s="1"/>
  <c r="E482" i="3"/>
  <c r="F482" i="3" s="1"/>
  <c r="E483" i="3"/>
  <c r="F483" i="3" s="1"/>
  <c r="E484" i="3"/>
  <c r="F484" i="3" s="1"/>
  <c r="E485" i="3"/>
  <c r="F485" i="3" s="1"/>
  <c r="E486" i="3"/>
  <c r="F486" i="3" s="1"/>
  <c r="E487" i="3"/>
  <c r="F487" i="3" s="1"/>
  <c r="E488" i="3"/>
  <c r="F488" i="3" s="1"/>
  <c r="E489" i="3"/>
  <c r="F489" i="3" s="1"/>
  <c r="E490" i="3"/>
  <c r="F490" i="3" s="1"/>
  <c r="E491" i="3"/>
  <c r="F491" i="3" s="1"/>
  <c r="E492" i="3"/>
  <c r="F492" i="3" s="1"/>
  <c r="E493" i="3"/>
  <c r="F493" i="3" s="1"/>
  <c r="E494" i="3"/>
  <c r="F494" i="3" s="1"/>
  <c r="E495" i="3"/>
  <c r="F495" i="3" s="1"/>
  <c r="E496" i="3"/>
  <c r="F496" i="3" s="1"/>
  <c r="E497" i="3"/>
  <c r="F497" i="3" s="1"/>
  <c r="E498" i="3"/>
  <c r="F498" i="3" s="1"/>
  <c r="E499" i="3"/>
  <c r="F499" i="3" s="1"/>
  <c r="E500" i="3"/>
  <c r="F500" i="3" s="1"/>
  <c r="E501" i="3"/>
  <c r="F501" i="3" s="1"/>
  <c r="E502" i="3"/>
  <c r="F502" i="3" s="1"/>
  <c r="E503" i="3"/>
  <c r="F503" i="3" s="1"/>
  <c r="E504" i="3"/>
  <c r="F504" i="3" s="1"/>
  <c r="E505" i="3"/>
  <c r="F505" i="3" s="1"/>
  <c r="E506" i="3"/>
  <c r="F506" i="3" s="1"/>
  <c r="E507" i="3"/>
  <c r="F507" i="3" s="1"/>
  <c r="E508" i="3"/>
  <c r="F508" i="3" s="1"/>
  <c r="E509" i="3"/>
  <c r="F509" i="3" s="1"/>
  <c r="E510" i="3"/>
  <c r="F510" i="3" s="1"/>
  <c r="E511" i="3"/>
  <c r="F511" i="3" s="1"/>
  <c r="E512" i="3"/>
  <c r="F512" i="3" s="1"/>
  <c r="E513" i="3"/>
  <c r="F513" i="3" s="1"/>
  <c r="E514" i="3"/>
  <c r="F514" i="3" s="1"/>
  <c r="E515" i="3"/>
  <c r="F515" i="3" s="1"/>
  <c r="E516" i="3"/>
  <c r="F516" i="3" s="1"/>
  <c r="E517" i="3"/>
  <c r="F517" i="3" s="1"/>
  <c r="E518" i="3"/>
  <c r="F518" i="3" s="1"/>
  <c r="E519" i="3"/>
  <c r="F519" i="3" s="1"/>
  <c r="E520" i="3"/>
  <c r="F520" i="3" s="1"/>
  <c r="E521" i="3"/>
  <c r="F521" i="3" s="1"/>
  <c r="E522" i="3"/>
  <c r="F522" i="3" s="1"/>
  <c r="E523" i="3"/>
  <c r="F523" i="3" s="1"/>
  <c r="E524" i="3"/>
  <c r="F524" i="3" s="1"/>
  <c r="E525" i="3"/>
  <c r="F525" i="3" s="1"/>
  <c r="E526" i="3"/>
  <c r="F526" i="3" s="1"/>
  <c r="E527" i="3"/>
  <c r="F527" i="3" s="1"/>
  <c r="E528" i="3"/>
  <c r="F528" i="3" s="1"/>
  <c r="E529" i="3"/>
  <c r="F529" i="3" s="1"/>
  <c r="E530" i="3"/>
  <c r="F530" i="3" s="1"/>
  <c r="E531" i="3"/>
  <c r="F531" i="3" s="1"/>
  <c r="E532" i="3"/>
  <c r="F532" i="3" s="1"/>
  <c r="E533" i="3"/>
  <c r="F533" i="3" s="1"/>
  <c r="E534" i="3"/>
  <c r="F534" i="3" s="1"/>
  <c r="E535" i="3"/>
  <c r="F535" i="3" s="1"/>
  <c r="E536" i="3"/>
  <c r="F536" i="3" s="1"/>
  <c r="E537" i="3"/>
  <c r="F537" i="3" s="1"/>
  <c r="E538" i="3"/>
  <c r="F538" i="3" s="1"/>
  <c r="E539" i="3"/>
  <c r="F539" i="3" s="1"/>
  <c r="E540" i="3"/>
  <c r="F540" i="3" s="1"/>
  <c r="E541" i="3"/>
  <c r="F541" i="3" s="1"/>
  <c r="E542" i="3"/>
  <c r="F542" i="3" s="1"/>
  <c r="E543" i="3"/>
  <c r="F543" i="3" s="1"/>
  <c r="E544" i="3"/>
  <c r="F544" i="3" s="1"/>
  <c r="E545" i="3"/>
  <c r="F545" i="3" s="1"/>
  <c r="E546" i="3"/>
  <c r="F546" i="3" s="1"/>
  <c r="E547" i="3"/>
  <c r="F547" i="3" s="1"/>
  <c r="E548" i="3"/>
  <c r="F548" i="3" s="1"/>
  <c r="E549" i="3"/>
  <c r="F549" i="3" s="1"/>
  <c r="E550" i="3"/>
  <c r="F550" i="3" s="1"/>
  <c r="E551" i="3"/>
  <c r="F551" i="3" s="1"/>
  <c r="E552" i="3"/>
  <c r="F552" i="3" s="1"/>
  <c r="E553" i="3"/>
  <c r="F553" i="3" s="1"/>
  <c r="E554" i="3"/>
  <c r="F554" i="3" s="1"/>
  <c r="E555" i="3"/>
  <c r="F555" i="3" s="1"/>
  <c r="E556" i="3"/>
  <c r="F556" i="3" s="1"/>
  <c r="E557" i="3"/>
  <c r="F557" i="3" s="1"/>
  <c r="E558" i="3"/>
  <c r="F558" i="3" s="1"/>
  <c r="E559" i="3"/>
  <c r="F559" i="3" s="1"/>
  <c r="E560" i="3"/>
  <c r="F560" i="3" s="1"/>
  <c r="E561" i="3"/>
  <c r="F561" i="3" s="1"/>
  <c r="E562" i="3"/>
  <c r="F562" i="3" s="1"/>
  <c r="E563" i="3"/>
  <c r="F563" i="3" s="1"/>
  <c r="E564" i="3"/>
  <c r="F564" i="3" s="1"/>
  <c r="E565" i="3"/>
  <c r="F565" i="3" s="1"/>
  <c r="E566" i="3"/>
  <c r="F566" i="3" s="1"/>
  <c r="E567" i="3"/>
  <c r="F567" i="3" s="1"/>
  <c r="E568" i="3"/>
  <c r="F568" i="3" s="1"/>
  <c r="E569" i="3"/>
  <c r="F569" i="3" s="1"/>
  <c r="E570" i="3"/>
  <c r="F570" i="3" s="1"/>
  <c r="E571" i="3"/>
  <c r="F571" i="3" s="1"/>
  <c r="E572" i="3"/>
  <c r="F572" i="3" s="1"/>
  <c r="E573" i="3"/>
  <c r="F573" i="3" s="1"/>
  <c r="E574" i="3"/>
  <c r="F574" i="3" s="1"/>
  <c r="E575" i="3"/>
  <c r="F575" i="3" s="1"/>
  <c r="E576" i="3"/>
  <c r="F576" i="3" s="1"/>
  <c r="E577" i="3"/>
  <c r="F577" i="3" s="1"/>
  <c r="E578" i="3"/>
  <c r="F578" i="3" s="1"/>
  <c r="E579" i="3"/>
  <c r="F579" i="3" s="1"/>
  <c r="E580" i="3"/>
  <c r="F580" i="3" s="1"/>
  <c r="E581" i="3"/>
  <c r="F581" i="3" s="1"/>
  <c r="E582" i="3"/>
  <c r="F582" i="3" s="1"/>
  <c r="E583" i="3"/>
  <c r="F583" i="3" s="1"/>
  <c r="E584" i="3"/>
  <c r="F584" i="3" s="1"/>
  <c r="E585" i="3"/>
  <c r="F585" i="3" s="1"/>
  <c r="E586" i="3"/>
  <c r="F586" i="3" s="1"/>
  <c r="E587" i="3"/>
  <c r="F587" i="3" s="1"/>
  <c r="E588" i="3"/>
  <c r="F588" i="3" s="1"/>
  <c r="E589" i="3"/>
  <c r="F589" i="3" s="1"/>
  <c r="E590" i="3"/>
  <c r="F590" i="3" s="1"/>
  <c r="E591" i="3"/>
  <c r="F591" i="3" s="1"/>
  <c r="E592" i="3"/>
  <c r="F592" i="3" s="1"/>
  <c r="E593" i="3"/>
  <c r="F593" i="3" s="1"/>
  <c r="E594" i="3"/>
  <c r="F594" i="3" s="1"/>
  <c r="E595" i="3"/>
  <c r="F595" i="3" s="1"/>
  <c r="E596" i="3"/>
  <c r="F596" i="3" s="1"/>
  <c r="E597" i="3"/>
  <c r="F597" i="3" s="1"/>
  <c r="E598" i="3"/>
  <c r="F598" i="3" s="1"/>
  <c r="E599" i="3"/>
  <c r="F599" i="3" s="1"/>
  <c r="E600" i="3"/>
  <c r="F600" i="3" s="1"/>
  <c r="E601" i="3"/>
  <c r="F601" i="3" s="1"/>
  <c r="E602" i="3"/>
  <c r="F602" i="3" s="1"/>
  <c r="E603" i="3"/>
  <c r="F603" i="3" s="1"/>
  <c r="E604" i="3"/>
  <c r="F604" i="3" s="1"/>
  <c r="E605" i="3"/>
  <c r="F605" i="3" s="1"/>
  <c r="E606" i="3"/>
  <c r="F606" i="3" s="1"/>
  <c r="E607" i="3"/>
  <c r="F607" i="3" s="1"/>
  <c r="E608" i="3"/>
  <c r="F608" i="3" s="1"/>
  <c r="E609" i="3"/>
  <c r="F609" i="3" s="1"/>
  <c r="E610" i="3"/>
  <c r="F610" i="3" s="1"/>
  <c r="E611" i="3"/>
  <c r="F611" i="3" s="1"/>
  <c r="E612" i="3"/>
  <c r="F612" i="3" s="1"/>
  <c r="E613" i="3"/>
  <c r="F613" i="3" s="1"/>
  <c r="E614" i="3"/>
  <c r="F614" i="3" s="1"/>
  <c r="E615" i="3"/>
  <c r="F615" i="3" s="1"/>
  <c r="E616" i="3"/>
  <c r="F616" i="3" s="1"/>
  <c r="E617" i="3"/>
  <c r="F617" i="3" s="1"/>
  <c r="E618" i="3"/>
  <c r="F618" i="3" s="1"/>
  <c r="E619" i="3"/>
  <c r="F619" i="3" s="1"/>
  <c r="E620" i="3"/>
  <c r="F620" i="3" s="1"/>
  <c r="E621" i="3"/>
  <c r="F621" i="3" s="1"/>
  <c r="E622" i="3"/>
  <c r="F622" i="3" s="1"/>
  <c r="E623" i="3"/>
  <c r="F623" i="3" s="1"/>
  <c r="E624" i="3"/>
  <c r="F624" i="3" s="1"/>
  <c r="E625" i="3"/>
  <c r="F625" i="3" s="1"/>
  <c r="E626" i="3"/>
  <c r="F626" i="3" s="1"/>
  <c r="E627" i="3"/>
  <c r="F627" i="3" s="1"/>
  <c r="E628" i="3"/>
  <c r="F628" i="3" s="1"/>
  <c r="E629" i="3"/>
  <c r="F629" i="3" s="1"/>
  <c r="E630" i="3"/>
  <c r="F630" i="3" s="1"/>
  <c r="E631" i="3"/>
  <c r="F631" i="3" s="1"/>
  <c r="E632" i="3"/>
  <c r="F632" i="3" s="1"/>
  <c r="E633" i="3"/>
  <c r="F633" i="3" s="1"/>
  <c r="E634" i="3"/>
  <c r="F634" i="3" s="1"/>
  <c r="E635" i="3"/>
  <c r="F635" i="3" s="1"/>
  <c r="E636" i="3"/>
  <c r="F636" i="3" s="1"/>
  <c r="E637" i="3"/>
  <c r="F637" i="3" s="1"/>
  <c r="E638" i="3"/>
  <c r="F638" i="3" s="1"/>
  <c r="E639" i="3"/>
  <c r="F639" i="3" s="1"/>
  <c r="E640" i="3"/>
  <c r="F640" i="3" s="1"/>
  <c r="E641" i="3"/>
  <c r="F641" i="3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J3" i="2"/>
  <c r="K3" i="2"/>
  <c r="I3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J3" i="1"/>
  <c r="K3" i="1"/>
  <c r="I3" i="1"/>
  <c r="I5" i="4" l="1"/>
  <c r="E52" i="4" s="1"/>
  <c r="F52" i="4" s="1"/>
  <c r="E116" i="4"/>
  <c r="F116" i="4" s="1"/>
  <c r="E180" i="4"/>
  <c r="F180" i="4" s="1"/>
  <c r="E244" i="4"/>
  <c r="F244" i="4" s="1"/>
  <c r="E308" i="4"/>
  <c r="F308" i="4" s="1"/>
  <c r="E372" i="4"/>
  <c r="F372" i="4" s="1"/>
  <c r="E484" i="4"/>
  <c r="F484" i="4" s="1"/>
  <c r="E13" i="4"/>
  <c r="F13" i="4" s="1"/>
  <c r="E77" i="4"/>
  <c r="F77" i="4" s="1"/>
  <c r="E125" i="4"/>
  <c r="F125" i="4" s="1"/>
  <c r="E141" i="4"/>
  <c r="F141" i="4" s="1"/>
  <c r="E189" i="4"/>
  <c r="F189" i="4" s="1"/>
  <c r="E205" i="4"/>
  <c r="F205" i="4" s="1"/>
  <c r="E253" i="4"/>
  <c r="F253" i="4" s="1"/>
  <c r="E269" i="4"/>
  <c r="F269" i="4" s="1"/>
  <c r="E333" i="4"/>
  <c r="F333" i="4" s="1"/>
  <c r="E30" i="4"/>
  <c r="F30" i="4" s="1"/>
  <c r="E46" i="4"/>
  <c r="F46" i="4" s="1"/>
  <c r="E94" i="4"/>
  <c r="F94" i="4" s="1"/>
  <c r="E110" i="4"/>
  <c r="F110" i="4" s="1"/>
  <c r="E158" i="4"/>
  <c r="F158" i="4" s="1"/>
  <c r="E174" i="4"/>
  <c r="F174" i="4" s="1"/>
  <c r="E222" i="4"/>
  <c r="F222" i="4" s="1"/>
  <c r="E238" i="4"/>
  <c r="F238" i="4" s="1"/>
  <c r="E286" i="4"/>
  <c r="F286" i="4" s="1"/>
  <c r="E302" i="4"/>
  <c r="F302" i="4" s="1"/>
  <c r="E350" i="4"/>
  <c r="F350" i="4" s="1"/>
  <c r="E366" i="4"/>
  <c r="F366" i="4" s="1"/>
  <c r="E414" i="4"/>
  <c r="F414" i="4" s="1"/>
  <c r="E430" i="4"/>
  <c r="F430" i="4" s="1"/>
  <c r="E478" i="4"/>
  <c r="F478" i="4" s="1"/>
  <c r="E494" i="4"/>
  <c r="F494" i="4" s="1"/>
  <c r="E7" i="4"/>
  <c r="F7" i="4" s="1"/>
  <c r="E55" i="4"/>
  <c r="F55" i="4" s="1"/>
  <c r="E71" i="4"/>
  <c r="F71" i="4" s="1"/>
  <c r="E119" i="4"/>
  <c r="F119" i="4" s="1"/>
  <c r="E135" i="4"/>
  <c r="F135" i="4" s="1"/>
  <c r="E183" i="4"/>
  <c r="F183" i="4" s="1"/>
  <c r="E199" i="4"/>
  <c r="F199" i="4" s="1"/>
  <c r="E247" i="4"/>
  <c r="F247" i="4" s="1"/>
  <c r="E263" i="4"/>
  <c r="F263" i="4" s="1"/>
  <c r="E311" i="4"/>
  <c r="F311" i="4" s="1"/>
  <c r="E327" i="4"/>
  <c r="F327" i="4" s="1"/>
  <c r="E375" i="4"/>
  <c r="F375" i="4" s="1"/>
  <c r="E391" i="4"/>
  <c r="F391" i="4" s="1"/>
  <c r="E439" i="4"/>
  <c r="F439" i="4" s="1"/>
  <c r="E455" i="4"/>
  <c r="F455" i="4" s="1"/>
  <c r="E17" i="4"/>
  <c r="F17" i="4" s="1"/>
  <c r="E33" i="4"/>
  <c r="F33" i="4" s="1"/>
  <c r="E81" i="4"/>
  <c r="F81" i="4" s="1"/>
  <c r="E97" i="4"/>
  <c r="F97" i="4" s="1"/>
  <c r="E145" i="4"/>
  <c r="F145" i="4" s="1"/>
  <c r="E161" i="4"/>
  <c r="F161" i="4" s="1"/>
  <c r="E209" i="4"/>
  <c r="F209" i="4" s="1"/>
  <c r="E225" i="4"/>
  <c r="F225" i="4" s="1"/>
  <c r="E273" i="4"/>
  <c r="F273" i="4" s="1"/>
  <c r="E289" i="4"/>
  <c r="F289" i="4" s="1"/>
  <c r="E337" i="4"/>
  <c r="F337" i="4" s="1"/>
  <c r="E353" i="4"/>
  <c r="F353" i="4" s="1"/>
  <c r="E401" i="4"/>
  <c r="F401" i="4" s="1"/>
  <c r="E417" i="4"/>
  <c r="F417" i="4" s="1"/>
  <c r="E465" i="4"/>
  <c r="F465" i="4" s="1"/>
  <c r="E481" i="4"/>
  <c r="F481" i="4" s="1"/>
  <c r="E42" i="4"/>
  <c r="F42" i="4" s="1"/>
  <c r="E58" i="4"/>
  <c r="F58" i="4" s="1"/>
  <c r="E106" i="4"/>
  <c r="F106" i="4" s="1"/>
  <c r="E122" i="4"/>
  <c r="F122" i="4" s="1"/>
  <c r="E170" i="4"/>
  <c r="F170" i="4" s="1"/>
  <c r="E186" i="4"/>
  <c r="F186" i="4" s="1"/>
  <c r="E234" i="4"/>
  <c r="F234" i="4" s="1"/>
  <c r="E16" i="4"/>
  <c r="F16" i="4" s="1"/>
  <c r="E80" i="4"/>
  <c r="F80" i="4" s="1"/>
  <c r="E264" i="4"/>
  <c r="F264" i="4" s="1"/>
  <c r="E306" i="4"/>
  <c r="F306" i="4" s="1"/>
  <c r="E416" i="4"/>
  <c r="F416" i="4" s="1"/>
  <c r="E448" i="4"/>
  <c r="F448" i="4" s="1"/>
  <c r="E521" i="4"/>
  <c r="F521" i="4" s="1"/>
  <c r="E537" i="4"/>
  <c r="F537" i="4" s="1"/>
  <c r="E585" i="4"/>
  <c r="F585" i="4" s="1"/>
  <c r="E601" i="4"/>
  <c r="F601" i="4" s="1"/>
  <c r="E649" i="4"/>
  <c r="F649" i="4" s="1"/>
  <c r="E657" i="4"/>
  <c r="F657" i="4" s="1"/>
  <c r="E665" i="4"/>
  <c r="F665" i="4" s="1"/>
  <c r="E713" i="4"/>
  <c r="F713" i="4" s="1"/>
  <c r="E40" i="4"/>
  <c r="F40" i="4" s="1"/>
  <c r="E363" i="4"/>
  <c r="F363" i="4" s="1"/>
  <c r="E607" i="4"/>
  <c r="F607" i="4" s="1"/>
  <c r="E647" i="4"/>
  <c r="F647" i="4" s="1"/>
  <c r="E687" i="4"/>
  <c r="F687" i="4" s="1"/>
  <c r="E235" i="4"/>
  <c r="F235" i="4" s="1"/>
  <c r="E528" i="4"/>
  <c r="F528" i="4" s="1"/>
  <c r="E560" i="4"/>
  <c r="F560" i="4" s="1"/>
  <c r="E592" i="4"/>
  <c r="F592" i="4" s="1"/>
  <c r="E624" i="4"/>
  <c r="F624" i="4" s="1"/>
  <c r="E19" i="4"/>
  <c r="F19" i="4" s="1"/>
  <c r="E51" i="4"/>
  <c r="F51" i="4" s="1"/>
  <c r="E83" i="4"/>
  <c r="F83" i="4" s="1"/>
  <c r="E211" i="4"/>
  <c r="F211" i="4" s="1"/>
  <c r="E243" i="4"/>
  <c r="F243" i="4" s="1"/>
  <c r="E266" i="4"/>
  <c r="F266" i="4" s="1"/>
  <c r="E288" i="4"/>
  <c r="F288" i="4" s="1"/>
  <c r="E307" i="4"/>
  <c r="F307" i="4" s="1"/>
  <c r="E386" i="4"/>
  <c r="F386" i="4" s="1"/>
  <c r="E402" i="4"/>
  <c r="F402" i="4" s="1"/>
  <c r="E418" i="4"/>
  <c r="F418" i="4" s="1"/>
  <c r="E434" i="4"/>
  <c r="F434" i="4" s="1"/>
  <c r="E450" i="4"/>
  <c r="F450" i="4" s="1"/>
  <c r="E506" i="4"/>
  <c r="F506" i="4" s="1"/>
  <c r="E514" i="4"/>
  <c r="F514" i="4" s="1"/>
  <c r="E522" i="4"/>
  <c r="F522" i="4" s="1"/>
  <c r="E530" i="4"/>
  <c r="F530" i="4" s="1"/>
  <c r="E538" i="4"/>
  <c r="F538" i="4" s="1"/>
  <c r="E554" i="4"/>
  <c r="F554" i="4" s="1"/>
  <c r="E570" i="4"/>
  <c r="F570" i="4" s="1"/>
  <c r="E578" i="4"/>
  <c r="F578" i="4" s="1"/>
  <c r="E586" i="4"/>
  <c r="F586" i="4" s="1"/>
  <c r="E594" i="4"/>
  <c r="F594" i="4" s="1"/>
  <c r="E602" i="4"/>
  <c r="F602" i="4" s="1"/>
  <c r="E618" i="4"/>
  <c r="F618" i="4" s="1"/>
  <c r="E634" i="4"/>
  <c r="F634" i="4" s="1"/>
  <c r="E642" i="4"/>
  <c r="F642" i="4" s="1"/>
  <c r="E650" i="4"/>
  <c r="F650" i="4" s="1"/>
  <c r="E658" i="4"/>
  <c r="F658" i="4" s="1"/>
  <c r="E666" i="4"/>
  <c r="F666" i="4" s="1"/>
  <c r="E682" i="4"/>
  <c r="F682" i="4" s="1"/>
  <c r="E698" i="4"/>
  <c r="F698" i="4" s="1"/>
  <c r="E706" i="4"/>
  <c r="F706" i="4" s="1"/>
  <c r="E714" i="4"/>
  <c r="F714" i="4" s="1"/>
  <c r="E136" i="4"/>
  <c r="F136" i="4" s="1"/>
  <c r="E232" i="4"/>
  <c r="F232" i="4" s="1"/>
  <c r="E280" i="4"/>
  <c r="F280" i="4" s="1"/>
  <c r="E322" i="4"/>
  <c r="F322" i="4" s="1"/>
  <c r="E395" i="4"/>
  <c r="F395" i="4" s="1"/>
  <c r="E427" i="4"/>
  <c r="F427" i="4" s="1"/>
  <c r="E527" i="4"/>
  <c r="F527" i="4" s="1"/>
  <c r="E599" i="4"/>
  <c r="F599" i="4" s="1"/>
  <c r="E639" i="4"/>
  <c r="F639" i="4" s="1"/>
  <c r="E671" i="4"/>
  <c r="F671" i="4" s="1"/>
  <c r="E703" i="4"/>
  <c r="F703" i="4" s="1"/>
  <c r="E107" i="4"/>
  <c r="F107" i="4" s="1"/>
  <c r="E282" i="4"/>
  <c r="F282" i="4" s="1"/>
  <c r="E365" i="4"/>
  <c r="F365" i="4" s="1"/>
  <c r="E429" i="4"/>
  <c r="F429" i="4" s="1"/>
  <c r="E461" i="4"/>
  <c r="F461" i="4" s="1"/>
  <c r="E512" i="4"/>
  <c r="F512" i="4" s="1"/>
  <c r="E568" i="4"/>
  <c r="F568" i="4" s="1"/>
  <c r="E24" i="4"/>
  <c r="F24" i="4" s="1"/>
  <c r="E88" i="4"/>
  <c r="F88" i="4" s="1"/>
  <c r="E120" i="4"/>
  <c r="F120" i="4" s="1"/>
  <c r="E152" i="4"/>
  <c r="F152" i="4" s="1"/>
  <c r="E184" i="4"/>
  <c r="F184" i="4" s="1"/>
  <c r="E216" i="4"/>
  <c r="F216" i="4" s="1"/>
  <c r="E267" i="4"/>
  <c r="F267" i="4" s="1"/>
  <c r="E290" i="4"/>
  <c r="F290" i="4" s="1"/>
  <c r="E312" i="4"/>
  <c r="F312" i="4" s="1"/>
  <c r="E331" i="4"/>
  <c r="F331" i="4" s="1"/>
  <c r="E354" i="4"/>
  <c r="F354" i="4" s="1"/>
  <c r="E371" i="4"/>
  <c r="F371" i="4" s="1"/>
  <c r="E387" i="4"/>
  <c r="F387" i="4" s="1"/>
  <c r="E419" i="4"/>
  <c r="F419" i="4" s="1"/>
  <c r="E435" i="4"/>
  <c r="F435" i="4" s="1"/>
  <c r="E451" i="4"/>
  <c r="F451" i="4" s="1"/>
  <c r="E467" i="4"/>
  <c r="F467" i="4" s="1"/>
  <c r="E483" i="4"/>
  <c r="F483" i="4" s="1"/>
  <c r="E499" i="4"/>
  <c r="F499" i="4" s="1"/>
  <c r="E507" i="4"/>
  <c r="F507" i="4" s="1"/>
  <c r="E523" i="4"/>
  <c r="F523" i="4" s="1"/>
  <c r="E531" i="4"/>
  <c r="F531" i="4" s="1"/>
  <c r="E539" i="4"/>
  <c r="F539" i="4" s="1"/>
  <c r="E547" i="4"/>
  <c r="F547" i="4" s="1"/>
  <c r="E555" i="4"/>
  <c r="F555" i="4" s="1"/>
  <c r="E563" i="4"/>
  <c r="F563" i="4" s="1"/>
  <c r="E571" i="4"/>
  <c r="F571" i="4" s="1"/>
  <c r="E587" i="4"/>
  <c r="F587" i="4" s="1"/>
  <c r="E595" i="4"/>
  <c r="F595" i="4" s="1"/>
  <c r="E603" i="4"/>
  <c r="F603" i="4" s="1"/>
  <c r="E611" i="4"/>
  <c r="F611" i="4" s="1"/>
  <c r="E619" i="4"/>
  <c r="F619" i="4" s="1"/>
  <c r="E627" i="4"/>
  <c r="F627" i="4" s="1"/>
  <c r="E635" i="4"/>
  <c r="F635" i="4" s="1"/>
  <c r="E651" i="4"/>
  <c r="F651" i="4" s="1"/>
  <c r="E659" i="4"/>
  <c r="F659" i="4" s="1"/>
  <c r="E667" i="4"/>
  <c r="F667" i="4" s="1"/>
  <c r="E675" i="4"/>
  <c r="F675" i="4" s="1"/>
  <c r="E683" i="4"/>
  <c r="F683" i="4" s="1"/>
  <c r="E691" i="4"/>
  <c r="F691" i="4" s="1"/>
  <c r="E699" i="4"/>
  <c r="F699" i="4" s="1"/>
  <c r="E715" i="4"/>
  <c r="F715" i="4" s="1"/>
  <c r="E72" i="4"/>
  <c r="F72" i="4" s="1"/>
  <c r="E344" i="4"/>
  <c r="F344" i="4" s="1"/>
  <c r="E443" i="4"/>
  <c r="F443" i="4" s="1"/>
  <c r="E511" i="4"/>
  <c r="F511" i="4" s="1"/>
  <c r="E551" i="4"/>
  <c r="F551" i="4" s="1"/>
  <c r="E575" i="4"/>
  <c r="F575" i="4" s="1"/>
  <c r="E615" i="4"/>
  <c r="F615" i="4" s="1"/>
  <c r="E655" i="4"/>
  <c r="F655" i="4" s="1"/>
  <c r="E679" i="4"/>
  <c r="F679" i="4" s="1"/>
  <c r="E711" i="4"/>
  <c r="F711" i="4" s="1"/>
  <c r="E171" i="4"/>
  <c r="F171" i="4" s="1"/>
  <c r="E304" i="4"/>
  <c r="F304" i="4" s="1"/>
  <c r="E397" i="4"/>
  <c r="F397" i="4" s="1"/>
  <c r="E477" i="4"/>
  <c r="F477" i="4" s="1"/>
  <c r="E520" i="4"/>
  <c r="F520" i="4" s="1"/>
  <c r="E552" i="4"/>
  <c r="F552" i="4" s="1"/>
  <c r="E584" i="4"/>
  <c r="F584" i="4" s="1"/>
  <c r="E616" i="4"/>
  <c r="F616" i="4" s="1"/>
  <c r="E27" i="4"/>
  <c r="F27" i="4" s="1"/>
  <c r="E59" i="4"/>
  <c r="F59" i="4" s="1"/>
  <c r="E91" i="4"/>
  <c r="F91" i="4" s="1"/>
  <c r="E123" i="4"/>
  <c r="F123" i="4" s="1"/>
  <c r="E155" i="4"/>
  <c r="F155" i="4" s="1"/>
  <c r="E187" i="4"/>
  <c r="F187" i="4" s="1"/>
  <c r="E219" i="4"/>
  <c r="F219" i="4" s="1"/>
  <c r="E250" i="4"/>
  <c r="F250" i="4" s="1"/>
  <c r="E272" i="4"/>
  <c r="F272" i="4" s="1"/>
  <c r="E291" i="4"/>
  <c r="F291" i="4" s="1"/>
  <c r="E314" i="4"/>
  <c r="F314" i="4" s="1"/>
  <c r="E336" i="4"/>
  <c r="F336" i="4" s="1"/>
  <c r="E355" i="4"/>
  <c r="F355" i="4" s="1"/>
  <c r="E373" i="4"/>
  <c r="F373" i="4" s="1"/>
  <c r="E389" i="4"/>
  <c r="F389" i="4" s="1"/>
  <c r="E405" i="4"/>
  <c r="F405" i="4" s="1"/>
  <c r="E421" i="4"/>
  <c r="F421" i="4" s="1"/>
  <c r="E437" i="4"/>
  <c r="F437" i="4" s="1"/>
  <c r="E453" i="4"/>
  <c r="F453" i="4" s="1"/>
  <c r="E469" i="4"/>
  <c r="F469" i="4" s="1"/>
  <c r="E485" i="4"/>
  <c r="F485" i="4" s="1"/>
  <c r="E500" i="4"/>
  <c r="F500" i="4" s="1"/>
  <c r="E508" i="4"/>
  <c r="F508" i="4" s="1"/>
  <c r="E516" i="4"/>
  <c r="F516" i="4" s="1"/>
  <c r="E524" i="4"/>
  <c r="F524" i="4" s="1"/>
  <c r="E532" i="4"/>
  <c r="F532" i="4" s="1"/>
  <c r="E540" i="4"/>
  <c r="F540" i="4" s="1"/>
  <c r="E548" i="4"/>
  <c r="F548" i="4" s="1"/>
  <c r="E556" i="4"/>
  <c r="F556" i="4" s="1"/>
  <c r="E564" i="4"/>
  <c r="F564" i="4" s="1"/>
  <c r="E572" i="4"/>
  <c r="F572" i="4" s="1"/>
  <c r="E580" i="4"/>
  <c r="F580" i="4" s="1"/>
  <c r="E588" i="4"/>
  <c r="F588" i="4" s="1"/>
  <c r="E596" i="4"/>
  <c r="F596" i="4" s="1"/>
  <c r="E604" i="4"/>
  <c r="F604" i="4" s="1"/>
  <c r="E612" i="4"/>
  <c r="F612" i="4" s="1"/>
  <c r="E620" i="4"/>
  <c r="F620" i="4" s="1"/>
  <c r="E628" i="4"/>
  <c r="F628" i="4" s="1"/>
  <c r="E636" i="4"/>
  <c r="F636" i="4" s="1"/>
  <c r="E644" i="4"/>
  <c r="F644" i="4" s="1"/>
  <c r="E652" i="4"/>
  <c r="F652" i="4" s="1"/>
  <c r="E660" i="4"/>
  <c r="F660" i="4" s="1"/>
  <c r="E668" i="4"/>
  <c r="F668" i="4" s="1"/>
  <c r="E676" i="4"/>
  <c r="F676" i="4" s="1"/>
  <c r="E684" i="4"/>
  <c r="F684" i="4" s="1"/>
  <c r="E692" i="4"/>
  <c r="F692" i="4" s="1"/>
  <c r="E700" i="4"/>
  <c r="F700" i="4" s="1"/>
  <c r="E708" i="4"/>
  <c r="F708" i="4" s="1"/>
  <c r="E623" i="4"/>
  <c r="F623" i="4" s="1"/>
  <c r="E32" i="4"/>
  <c r="F32" i="4" s="1"/>
  <c r="E64" i="4"/>
  <c r="F64" i="4" s="1"/>
  <c r="E96" i="4"/>
  <c r="F96" i="4" s="1"/>
  <c r="E128" i="4"/>
  <c r="F128" i="4" s="1"/>
  <c r="E160" i="4"/>
  <c r="F160" i="4" s="1"/>
  <c r="E192" i="4"/>
  <c r="F192" i="4" s="1"/>
  <c r="E224" i="4"/>
  <c r="F224" i="4" s="1"/>
  <c r="E251" i="4"/>
  <c r="F251" i="4" s="1"/>
  <c r="E274" i="4"/>
  <c r="F274" i="4" s="1"/>
  <c r="E296" i="4"/>
  <c r="F296" i="4" s="1"/>
  <c r="E315" i="4"/>
  <c r="F315" i="4" s="1"/>
  <c r="E338" i="4"/>
  <c r="F338" i="4" s="1"/>
  <c r="E360" i="4"/>
  <c r="F360" i="4" s="1"/>
  <c r="E376" i="4"/>
  <c r="F376" i="4" s="1"/>
  <c r="E392" i="4"/>
  <c r="F392" i="4" s="1"/>
  <c r="E408" i="4"/>
  <c r="F408" i="4" s="1"/>
  <c r="E424" i="4"/>
  <c r="F424" i="4" s="1"/>
  <c r="E440" i="4"/>
  <c r="F440" i="4" s="1"/>
  <c r="E456" i="4"/>
  <c r="F456" i="4" s="1"/>
  <c r="E472" i="4"/>
  <c r="F472" i="4" s="1"/>
  <c r="E488" i="4"/>
  <c r="F488" i="4" s="1"/>
  <c r="E501" i="4"/>
  <c r="F501" i="4" s="1"/>
  <c r="E509" i="4"/>
  <c r="F509" i="4" s="1"/>
  <c r="E517" i="4"/>
  <c r="F517" i="4" s="1"/>
  <c r="E525" i="4"/>
  <c r="F525" i="4" s="1"/>
  <c r="E533" i="4"/>
  <c r="F533" i="4" s="1"/>
  <c r="E541" i="4"/>
  <c r="F541" i="4" s="1"/>
  <c r="E549" i="4"/>
  <c r="F549" i="4" s="1"/>
  <c r="E557" i="4"/>
  <c r="F557" i="4" s="1"/>
  <c r="E565" i="4"/>
  <c r="F565" i="4" s="1"/>
  <c r="E573" i="4"/>
  <c r="F573" i="4" s="1"/>
  <c r="E581" i="4"/>
  <c r="F581" i="4" s="1"/>
  <c r="E589" i="4"/>
  <c r="F589" i="4" s="1"/>
  <c r="E597" i="4"/>
  <c r="F597" i="4" s="1"/>
  <c r="E605" i="4"/>
  <c r="F605" i="4" s="1"/>
  <c r="E613" i="4"/>
  <c r="F613" i="4" s="1"/>
  <c r="E621" i="4"/>
  <c r="F621" i="4" s="1"/>
  <c r="E629" i="4"/>
  <c r="F629" i="4" s="1"/>
  <c r="E637" i="4"/>
  <c r="F637" i="4" s="1"/>
  <c r="E645" i="4"/>
  <c r="F645" i="4" s="1"/>
  <c r="E653" i="4"/>
  <c r="F653" i="4" s="1"/>
  <c r="E661" i="4"/>
  <c r="F661" i="4" s="1"/>
  <c r="E669" i="4"/>
  <c r="F669" i="4" s="1"/>
  <c r="E677" i="4"/>
  <c r="F677" i="4" s="1"/>
  <c r="E685" i="4"/>
  <c r="F685" i="4" s="1"/>
  <c r="E693" i="4"/>
  <c r="F693" i="4" s="1"/>
  <c r="E701" i="4"/>
  <c r="F701" i="4" s="1"/>
  <c r="E709" i="4"/>
  <c r="F709" i="4" s="1"/>
  <c r="E3" i="4"/>
  <c r="F3" i="4" s="1"/>
  <c r="E35" i="4"/>
  <c r="F35" i="4" s="1"/>
  <c r="E67" i="4"/>
  <c r="F67" i="4" s="1"/>
  <c r="E99" i="4"/>
  <c r="F99" i="4" s="1"/>
  <c r="E131" i="4"/>
  <c r="F131" i="4" s="1"/>
  <c r="E163" i="4"/>
  <c r="F163" i="4" s="1"/>
  <c r="E195" i="4"/>
  <c r="F195" i="4" s="1"/>
  <c r="E227" i="4"/>
  <c r="F227" i="4" s="1"/>
  <c r="E256" i="4"/>
  <c r="F256" i="4" s="1"/>
  <c r="E275" i="4"/>
  <c r="F275" i="4" s="1"/>
  <c r="E298" i="4"/>
  <c r="F298" i="4" s="1"/>
  <c r="E320" i="4"/>
  <c r="F320" i="4" s="1"/>
  <c r="E339" i="4"/>
  <c r="F339" i="4" s="1"/>
  <c r="E362" i="4"/>
  <c r="F362" i="4" s="1"/>
  <c r="E378" i="4"/>
  <c r="F378" i="4" s="1"/>
  <c r="E394" i="4"/>
  <c r="F394" i="4" s="1"/>
  <c r="E410" i="4"/>
  <c r="F410" i="4" s="1"/>
  <c r="E426" i="4"/>
  <c r="F426" i="4" s="1"/>
  <c r="E442" i="4"/>
  <c r="F442" i="4" s="1"/>
  <c r="E458" i="4"/>
  <c r="F458" i="4" s="1"/>
  <c r="E474" i="4"/>
  <c r="F474" i="4" s="1"/>
  <c r="E490" i="4"/>
  <c r="F490" i="4" s="1"/>
  <c r="E502" i="4"/>
  <c r="F502" i="4" s="1"/>
  <c r="E510" i="4"/>
  <c r="F510" i="4" s="1"/>
  <c r="E518" i="4"/>
  <c r="F518" i="4" s="1"/>
  <c r="E526" i="4"/>
  <c r="F526" i="4" s="1"/>
  <c r="E534" i="4"/>
  <c r="F534" i="4" s="1"/>
  <c r="E542" i="4"/>
  <c r="F542" i="4" s="1"/>
  <c r="E550" i="4"/>
  <c r="F550" i="4" s="1"/>
  <c r="E558" i="4"/>
  <c r="F558" i="4" s="1"/>
  <c r="E566" i="4"/>
  <c r="F566" i="4" s="1"/>
  <c r="E574" i="4"/>
  <c r="F574" i="4" s="1"/>
  <c r="E582" i="4"/>
  <c r="F582" i="4" s="1"/>
  <c r="E590" i="4"/>
  <c r="F590" i="4" s="1"/>
  <c r="E598" i="4"/>
  <c r="F598" i="4" s="1"/>
  <c r="E606" i="4"/>
  <c r="F606" i="4" s="1"/>
  <c r="E614" i="4"/>
  <c r="F614" i="4" s="1"/>
  <c r="E622" i="4"/>
  <c r="F622" i="4" s="1"/>
  <c r="E630" i="4"/>
  <c r="F630" i="4" s="1"/>
  <c r="E638" i="4"/>
  <c r="F638" i="4" s="1"/>
  <c r="E646" i="4"/>
  <c r="F646" i="4" s="1"/>
  <c r="E654" i="4"/>
  <c r="F654" i="4" s="1"/>
  <c r="E662" i="4"/>
  <c r="F662" i="4" s="1"/>
  <c r="E670" i="4"/>
  <c r="F670" i="4" s="1"/>
  <c r="E678" i="4"/>
  <c r="F678" i="4" s="1"/>
  <c r="E686" i="4"/>
  <c r="F686" i="4" s="1"/>
  <c r="E694" i="4"/>
  <c r="F694" i="4" s="1"/>
  <c r="E702" i="4"/>
  <c r="F702" i="4" s="1"/>
  <c r="E710" i="4"/>
  <c r="F710" i="4" s="1"/>
  <c r="E104" i="4"/>
  <c r="F104" i="4" s="1"/>
  <c r="E200" i="4"/>
  <c r="F200" i="4" s="1"/>
  <c r="E258" i="4"/>
  <c r="F258" i="4" s="1"/>
  <c r="E299" i="4"/>
  <c r="F299" i="4" s="1"/>
  <c r="E379" i="4"/>
  <c r="F379" i="4" s="1"/>
  <c r="E411" i="4"/>
  <c r="F411" i="4" s="1"/>
  <c r="E475" i="4"/>
  <c r="F475" i="4" s="1"/>
  <c r="E503" i="4"/>
  <c r="F503" i="4" s="1"/>
  <c r="E535" i="4"/>
  <c r="F535" i="4" s="1"/>
  <c r="E567" i="4"/>
  <c r="F567" i="4" s="1"/>
  <c r="E591" i="4"/>
  <c r="F591" i="4" s="1"/>
  <c r="E631" i="4"/>
  <c r="F631" i="4" s="1"/>
  <c r="E663" i="4"/>
  <c r="F663" i="4" s="1"/>
  <c r="E695" i="4"/>
  <c r="F695" i="4" s="1"/>
  <c r="E11" i="4"/>
  <c r="F11" i="4" s="1"/>
  <c r="E75" i="4"/>
  <c r="F75" i="4" s="1"/>
  <c r="E139" i="4"/>
  <c r="F139" i="4" s="1"/>
  <c r="E259" i="4"/>
  <c r="F259" i="4" s="1"/>
  <c r="E346" i="4"/>
  <c r="F346" i="4" s="1"/>
  <c r="E381" i="4"/>
  <c r="F381" i="4" s="1"/>
  <c r="E445" i="4"/>
  <c r="F445" i="4" s="1"/>
  <c r="E504" i="4"/>
  <c r="F504" i="4" s="1"/>
  <c r="E544" i="4"/>
  <c r="F544" i="4" s="1"/>
  <c r="E576" i="4"/>
  <c r="F576" i="4" s="1"/>
  <c r="E608" i="4"/>
  <c r="F608" i="4" s="1"/>
  <c r="E640" i="4"/>
  <c r="F640" i="4" s="1"/>
  <c r="E664" i="4"/>
  <c r="F664" i="4" s="1"/>
  <c r="E656" i="4"/>
  <c r="F656" i="4" s="1"/>
  <c r="E712" i="4"/>
  <c r="F712" i="4" s="1"/>
  <c r="E648" i="4"/>
  <c r="F648" i="4" s="1"/>
  <c r="I5" i="5"/>
  <c r="E369" i="5"/>
  <c r="F369" i="5" s="1"/>
  <c r="E306" i="5"/>
  <c r="F306" i="5" s="1"/>
  <c r="E249" i="5"/>
  <c r="F249" i="5" s="1"/>
  <c r="E200" i="5"/>
  <c r="F200" i="5" s="1"/>
  <c r="E77" i="5"/>
  <c r="F77" i="5" s="1"/>
  <c r="E433" i="5"/>
  <c r="F433" i="5" s="1"/>
  <c r="E370" i="5"/>
  <c r="F370" i="5" s="1"/>
  <c r="E313" i="5"/>
  <c r="F313" i="5" s="1"/>
  <c r="E264" i="5"/>
  <c r="F264" i="5" s="1"/>
  <c r="E201" i="5"/>
  <c r="F201" i="5" s="1"/>
  <c r="E91" i="5"/>
  <c r="F91" i="5" s="1"/>
  <c r="E416" i="5"/>
  <c r="F416" i="5" s="1"/>
  <c r="E354" i="5"/>
  <c r="F354" i="5" s="1"/>
  <c r="E305" i="5"/>
  <c r="F305" i="5" s="1"/>
  <c r="E242" i="5"/>
  <c r="F242" i="5" s="1"/>
  <c r="E173" i="5"/>
  <c r="F173" i="5" s="1"/>
  <c r="E75" i="5"/>
  <c r="F75" i="5" s="1"/>
  <c r="E410" i="5"/>
  <c r="F410" i="5" s="1"/>
  <c r="E352" i="5"/>
  <c r="F352" i="5" s="1"/>
  <c r="E290" i="5"/>
  <c r="F290" i="5" s="1"/>
  <c r="E241" i="5"/>
  <c r="F241" i="5" s="1"/>
  <c r="E158" i="5"/>
  <c r="F158" i="5" s="1"/>
  <c r="E45" i="5"/>
  <c r="F45" i="5" s="1"/>
  <c r="E346" i="5"/>
  <c r="F346" i="5" s="1"/>
  <c r="E288" i="5"/>
  <c r="F288" i="5" s="1"/>
  <c r="E226" i="5"/>
  <c r="F226" i="5" s="1"/>
  <c r="E157" i="5"/>
  <c r="F157" i="5" s="1"/>
  <c r="E30" i="5"/>
  <c r="F30" i="5" s="1"/>
  <c r="E456" i="5"/>
  <c r="F456" i="5" s="1"/>
  <c r="E393" i="5"/>
  <c r="F393" i="5" s="1"/>
  <c r="E336" i="5"/>
  <c r="F336" i="5" s="1"/>
  <c r="E282" i="5"/>
  <c r="F282" i="5" s="1"/>
  <c r="E224" i="5"/>
  <c r="F224" i="5" s="1"/>
  <c r="E126" i="5"/>
  <c r="F126" i="5" s="1"/>
  <c r="E29" i="5"/>
  <c r="F29" i="5" s="1"/>
  <c r="E441" i="5"/>
  <c r="F441" i="5" s="1"/>
  <c r="E392" i="5"/>
  <c r="F392" i="5" s="1"/>
  <c r="E329" i="5"/>
  <c r="F329" i="5" s="1"/>
  <c r="E272" i="5"/>
  <c r="F272" i="5" s="1"/>
  <c r="E218" i="5"/>
  <c r="F218" i="5" s="1"/>
  <c r="E123" i="5"/>
  <c r="F123" i="5" s="1"/>
  <c r="E434" i="5"/>
  <c r="F434" i="5" s="1"/>
  <c r="E377" i="5"/>
  <c r="F377" i="5" s="1"/>
  <c r="E328" i="5"/>
  <c r="F328" i="5" s="1"/>
  <c r="E265" i="5"/>
  <c r="F265" i="5" s="1"/>
  <c r="E208" i="5"/>
  <c r="F208" i="5" s="1"/>
  <c r="E110" i="5"/>
  <c r="F110" i="5" s="1"/>
  <c r="I5" i="2"/>
  <c r="E5" i="2"/>
  <c r="F5" i="2" s="1"/>
  <c r="E13" i="2"/>
  <c r="F13" i="2" s="1"/>
  <c r="E21" i="2"/>
  <c r="F21" i="2" s="1"/>
  <c r="E29" i="2"/>
  <c r="F29" i="2" s="1"/>
  <c r="E37" i="2"/>
  <c r="F37" i="2" s="1"/>
  <c r="E45" i="2"/>
  <c r="F45" i="2" s="1"/>
  <c r="E53" i="2"/>
  <c r="F53" i="2" s="1"/>
  <c r="E61" i="2"/>
  <c r="F61" i="2" s="1"/>
  <c r="E69" i="2"/>
  <c r="F69" i="2" s="1"/>
  <c r="E77" i="2"/>
  <c r="F77" i="2" s="1"/>
  <c r="E85" i="2"/>
  <c r="F85" i="2" s="1"/>
  <c r="E93" i="2"/>
  <c r="F93" i="2" s="1"/>
  <c r="E101" i="2"/>
  <c r="F101" i="2" s="1"/>
  <c r="E109" i="2"/>
  <c r="F109" i="2" s="1"/>
  <c r="E117" i="2"/>
  <c r="F117" i="2" s="1"/>
  <c r="E125" i="2"/>
  <c r="F125" i="2" s="1"/>
  <c r="E133" i="2"/>
  <c r="F133" i="2" s="1"/>
  <c r="E141" i="2"/>
  <c r="F141" i="2" s="1"/>
  <c r="E149" i="2"/>
  <c r="F149" i="2" s="1"/>
  <c r="E157" i="2"/>
  <c r="F157" i="2" s="1"/>
  <c r="E165" i="2"/>
  <c r="F165" i="2" s="1"/>
  <c r="E173" i="2"/>
  <c r="F173" i="2" s="1"/>
  <c r="E181" i="2"/>
  <c r="F181" i="2" s="1"/>
  <c r="E189" i="2"/>
  <c r="F189" i="2" s="1"/>
  <c r="E197" i="2"/>
  <c r="F197" i="2" s="1"/>
  <c r="E205" i="2"/>
  <c r="F205" i="2" s="1"/>
  <c r="E213" i="2"/>
  <c r="F213" i="2" s="1"/>
  <c r="E221" i="2"/>
  <c r="F221" i="2" s="1"/>
  <c r="E229" i="2"/>
  <c r="F229" i="2" s="1"/>
  <c r="E237" i="2"/>
  <c r="F237" i="2" s="1"/>
  <c r="E245" i="2"/>
  <c r="F245" i="2" s="1"/>
  <c r="E253" i="2"/>
  <c r="F253" i="2" s="1"/>
  <c r="E261" i="2"/>
  <c r="F261" i="2" s="1"/>
  <c r="E269" i="2"/>
  <c r="F269" i="2" s="1"/>
  <c r="E277" i="2"/>
  <c r="F277" i="2" s="1"/>
  <c r="E285" i="2"/>
  <c r="F285" i="2" s="1"/>
  <c r="E293" i="2"/>
  <c r="F293" i="2" s="1"/>
  <c r="E301" i="2"/>
  <c r="F301" i="2" s="1"/>
  <c r="E309" i="2"/>
  <c r="F309" i="2" s="1"/>
  <c r="E317" i="2"/>
  <c r="F317" i="2" s="1"/>
  <c r="E325" i="2"/>
  <c r="F325" i="2" s="1"/>
  <c r="E333" i="2"/>
  <c r="F333" i="2" s="1"/>
  <c r="E341" i="2"/>
  <c r="F341" i="2" s="1"/>
  <c r="E349" i="2"/>
  <c r="F349" i="2" s="1"/>
  <c r="E357" i="2"/>
  <c r="F357" i="2" s="1"/>
  <c r="E8" i="2"/>
  <c r="F8" i="2" s="1"/>
  <c r="E16" i="2"/>
  <c r="F16" i="2" s="1"/>
  <c r="E24" i="2"/>
  <c r="F24" i="2" s="1"/>
  <c r="E32" i="2"/>
  <c r="F32" i="2" s="1"/>
  <c r="E40" i="2"/>
  <c r="F40" i="2" s="1"/>
  <c r="E48" i="2"/>
  <c r="F48" i="2" s="1"/>
  <c r="E56" i="2"/>
  <c r="F56" i="2" s="1"/>
  <c r="E64" i="2"/>
  <c r="F64" i="2" s="1"/>
  <c r="E72" i="2"/>
  <c r="F72" i="2" s="1"/>
  <c r="E80" i="2"/>
  <c r="F80" i="2" s="1"/>
  <c r="E88" i="2"/>
  <c r="F88" i="2" s="1"/>
  <c r="E96" i="2"/>
  <c r="F96" i="2" s="1"/>
  <c r="E104" i="2"/>
  <c r="F104" i="2" s="1"/>
  <c r="E112" i="2"/>
  <c r="F112" i="2" s="1"/>
  <c r="E120" i="2"/>
  <c r="F120" i="2" s="1"/>
  <c r="E128" i="2"/>
  <c r="F128" i="2" s="1"/>
  <c r="E136" i="2"/>
  <c r="F136" i="2" s="1"/>
  <c r="E144" i="2"/>
  <c r="F144" i="2" s="1"/>
  <c r="E152" i="2"/>
  <c r="F152" i="2" s="1"/>
  <c r="E160" i="2"/>
  <c r="F160" i="2" s="1"/>
  <c r="E168" i="2"/>
  <c r="F168" i="2" s="1"/>
  <c r="E176" i="2"/>
  <c r="F176" i="2" s="1"/>
  <c r="E184" i="2"/>
  <c r="F184" i="2" s="1"/>
  <c r="E192" i="2"/>
  <c r="F192" i="2" s="1"/>
  <c r="E200" i="2"/>
  <c r="F200" i="2" s="1"/>
  <c r="E208" i="2"/>
  <c r="F208" i="2" s="1"/>
  <c r="E216" i="2"/>
  <c r="F216" i="2" s="1"/>
  <c r="E224" i="2"/>
  <c r="F224" i="2" s="1"/>
  <c r="E232" i="2"/>
  <c r="F232" i="2" s="1"/>
  <c r="E240" i="2"/>
  <c r="F240" i="2" s="1"/>
  <c r="E248" i="2"/>
  <c r="F248" i="2" s="1"/>
  <c r="E256" i="2"/>
  <c r="F256" i="2" s="1"/>
  <c r="E264" i="2"/>
  <c r="F264" i="2" s="1"/>
  <c r="E272" i="2"/>
  <c r="F272" i="2" s="1"/>
  <c r="E280" i="2"/>
  <c r="F280" i="2" s="1"/>
  <c r="E288" i="2"/>
  <c r="F288" i="2" s="1"/>
  <c r="E296" i="2"/>
  <c r="F296" i="2" s="1"/>
  <c r="E304" i="2"/>
  <c r="F304" i="2" s="1"/>
  <c r="E312" i="2"/>
  <c r="F312" i="2" s="1"/>
  <c r="E320" i="2"/>
  <c r="F320" i="2" s="1"/>
  <c r="E328" i="2"/>
  <c r="F328" i="2" s="1"/>
  <c r="E336" i="2"/>
  <c r="F336" i="2" s="1"/>
  <c r="E344" i="2"/>
  <c r="F344" i="2" s="1"/>
  <c r="E352" i="2"/>
  <c r="F352" i="2" s="1"/>
  <c r="E7" i="2"/>
  <c r="F7" i="2" s="1"/>
  <c r="E18" i="2"/>
  <c r="F18" i="2" s="1"/>
  <c r="E28" i="2"/>
  <c r="F28" i="2" s="1"/>
  <c r="E39" i="2"/>
  <c r="F39" i="2" s="1"/>
  <c r="E50" i="2"/>
  <c r="F50" i="2" s="1"/>
  <c r="E60" i="2"/>
  <c r="F60" i="2" s="1"/>
  <c r="E71" i="2"/>
  <c r="F71" i="2" s="1"/>
  <c r="E82" i="2"/>
  <c r="F82" i="2" s="1"/>
  <c r="E92" i="2"/>
  <c r="F92" i="2" s="1"/>
  <c r="E103" i="2"/>
  <c r="F103" i="2" s="1"/>
  <c r="E114" i="2"/>
  <c r="F114" i="2" s="1"/>
  <c r="E124" i="2"/>
  <c r="F124" i="2" s="1"/>
  <c r="E135" i="2"/>
  <c r="F135" i="2" s="1"/>
  <c r="E146" i="2"/>
  <c r="F146" i="2" s="1"/>
  <c r="E156" i="2"/>
  <c r="F156" i="2" s="1"/>
  <c r="E167" i="2"/>
  <c r="F167" i="2" s="1"/>
  <c r="E178" i="2"/>
  <c r="F178" i="2" s="1"/>
  <c r="E188" i="2"/>
  <c r="F188" i="2" s="1"/>
  <c r="E199" i="2"/>
  <c r="F199" i="2" s="1"/>
  <c r="E210" i="2"/>
  <c r="F210" i="2" s="1"/>
  <c r="E220" i="2"/>
  <c r="F220" i="2" s="1"/>
  <c r="E231" i="2"/>
  <c r="F231" i="2" s="1"/>
  <c r="E242" i="2"/>
  <c r="F242" i="2" s="1"/>
  <c r="E252" i="2"/>
  <c r="F252" i="2" s="1"/>
  <c r="E263" i="2"/>
  <c r="F263" i="2" s="1"/>
  <c r="E274" i="2"/>
  <c r="F274" i="2" s="1"/>
  <c r="E284" i="2"/>
  <c r="F284" i="2" s="1"/>
  <c r="E295" i="2"/>
  <c r="F295" i="2" s="1"/>
  <c r="E306" i="2"/>
  <c r="F306" i="2" s="1"/>
  <c r="E316" i="2"/>
  <c r="F316" i="2" s="1"/>
  <c r="E327" i="2"/>
  <c r="F327" i="2" s="1"/>
  <c r="E338" i="2"/>
  <c r="F338" i="2" s="1"/>
  <c r="E348" i="2"/>
  <c r="F348" i="2" s="1"/>
  <c r="E359" i="2"/>
  <c r="F359" i="2" s="1"/>
  <c r="E367" i="2"/>
  <c r="F367" i="2" s="1"/>
  <c r="E375" i="2"/>
  <c r="F375" i="2" s="1"/>
  <c r="E383" i="2"/>
  <c r="F383" i="2" s="1"/>
  <c r="E391" i="2"/>
  <c r="F391" i="2" s="1"/>
  <c r="E399" i="2"/>
  <c r="F399" i="2" s="1"/>
  <c r="E407" i="2"/>
  <c r="F407" i="2" s="1"/>
  <c r="E415" i="2"/>
  <c r="F415" i="2" s="1"/>
  <c r="E423" i="2"/>
  <c r="F423" i="2" s="1"/>
  <c r="E431" i="2"/>
  <c r="F431" i="2" s="1"/>
  <c r="E439" i="2"/>
  <c r="F439" i="2" s="1"/>
  <c r="E447" i="2"/>
  <c r="F447" i="2" s="1"/>
  <c r="E455" i="2"/>
  <c r="F455" i="2" s="1"/>
  <c r="E463" i="2"/>
  <c r="F463" i="2" s="1"/>
  <c r="E471" i="2"/>
  <c r="F471" i="2" s="1"/>
  <c r="E479" i="2"/>
  <c r="F479" i="2" s="1"/>
  <c r="E487" i="2"/>
  <c r="F487" i="2" s="1"/>
  <c r="E495" i="2"/>
  <c r="F495" i="2" s="1"/>
  <c r="E503" i="2"/>
  <c r="F503" i="2" s="1"/>
  <c r="E511" i="2"/>
  <c r="F511" i="2" s="1"/>
  <c r="E9" i="2"/>
  <c r="F9" i="2" s="1"/>
  <c r="E19" i="2"/>
  <c r="F19" i="2" s="1"/>
  <c r="E30" i="2"/>
  <c r="F30" i="2" s="1"/>
  <c r="E41" i="2"/>
  <c r="F41" i="2" s="1"/>
  <c r="E51" i="2"/>
  <c r="F51" i="2" s="1"/>
  <c r="E62" i="2"/>
  <c r="F62" i="2" s="1"/>
  <c r="E73" i="2"/>
  <c r="F73" i="2" s="1"/>
  <c r="E83" i="2"/>
  <c r="F83" i="2" s="1"/>
  <c r="E94" i="2"/>
  <c r="F94" i="2" s="1"/>
  <c r="E105" i="2"/>
  <c r="F105" i="2" s="1"/>
  <c r="E115" i="2"/>
  <c r="F115" i="2" s="1"/>
  <c r="E126" i="2"/>
  <c r="F126" i="2" s="1"/>
  <c r="E137" i="2"/>
  <c r="F137" i="2" s="1"/>
  <c r="E147" i="2"/>
  <c r="F147" i="2" s="1"/>
  <c r="E158" i="2"/>
  <c r="F158" i="2" s="1"/>
  <c r="E169" i="2"/>
  <c r="F169" i="2" s="1"/>
  <c r="E179" i="2"/>
  <c r="F179" i="2" s="1"/>
  <c r="E190" i="2"/>
  <c r="F190" i="2" s="1"/>
  <c r="E201" i="2"/>
  <c r="F201" i="2" s="1"/>
  <c r="E211" i="2"/>
  <c r="F211" i="2" s="1"/>
  <c r="E222" i="2"/>
  <c r="F222" i="2" s="1"/>
  <c r="E233" i="2"/>
  <c r="F233" i="2" s="1"/>
  <c r="E243" i="2"/>
  <c r="F243" i="2" s="1"/>
  <c r="E254" i="2"/>
  <c r="F254" i="2" s="1"/>
  <c r="E265" i="2"/>
  <c r="F265" i="2" s="1"/>
  <c r="E275" i="2"/>
  <c r="F275" i="2" s="1"/>
  <c r="E286" i="2"/>
  <c r="F286" i="2" s="1"/>
  <c r="E297" i="2"/>
  <c r="F297" i="2" s="1"/>
  <c r="E307" i="2"/>
  <c r="F307" i="2" s="1"/>
  <c r="E318" i="2"/>
  <c r="F318" i="2" s="1"/>
  <c r="E329" i="2"/>
  <c r="F329" i="2" s="1"/>
  <c r="E339" i="2"/>
  <c r="F339" i="2" s="1"/>
  <c r="E350" i="2"/>
  <c r="F350" i="2" s="1"/>
  <c r="E360" i="2"/>
  <c r="F360" i="2" s="1"/>
  <c r="E368" i="2"/>
  <c r="F368" i="2" s="1"/>
  <c r="E376" i="2"/>
  <c r="F376" i="2" s="1"/>
  <c r="E384" i="2"/>
  <c r="F384" i="2" s="1"/>
  <c r="E392" i="2"/>
  <c r="F392" i="2" s="1"/>
  <c r="E400" i="2"/>
  <c r="F400" i="2" s="1"/>
  <c r="E408" i="2"/>
  <c r="F408" i="2" s="1"/>
  <c r="E416" i="2"/>
  <c r="F416" i="2" s="1"/>
  <c r="E424" i="2"/>
  <c r="F424" i="2" s="1"/>
  <c r="E432" i="2"/>
  <c r="F432" i="2" s="1"/>
  <c r="E440" i="2"/>
  <c r="F440" i="2" s="1"/>
  <c r="E448" i="2"/>
  <c r="F448" i="2" s="1"/>
  <c r="E456" i="2"/>
  <c r="F456" i="2" s="1"/>
  <c r="E464" i="2"/>
  <c r="F464" i="2" s="1"/>
  <c r="E472" i="2"/>
  <c r="F472" i="2" s="1"/>
  <c r="E480" i="2"/>
  <c r="F480" i="2" s="1"/>
  <c r="E488" i="2"/>
  <c r="F488" i="2" s="1"/>
  <c r="E496" i="2"/>
  <c r="F496" i="2" s="1"/>
  <c r="E504" i="2"/>
  <c r="F504" i="2" s="1"/>
  <c r="E512" i="2"/>
  <c r="F512" i="2" s="1"/>
  <c r="E520" i="2"/>
  <c r="F520" i="2" s="1"/>
  <c r="E10" i="2"/>
  <c r="F10" i="2" s="1"/>
  <c r="E20" i="2"/>
  <c r="F20" i="2" s="1"/>
  <c r="E31" i="2"/>
  <c r="F31" i="2" s="1"/>
  <c r="E42" i="2"/>
  <c r="F42" i="2" s="1"/>
  <c r="E52" i="2"/>
  <c r="F52" i="2" s="1"/>
  <c r="E12" i="2"/>
  <c r="F12" i="2" s="1"/>
  <c r="E23" i="2"/>
  <c r="F23" i="2" s="1"/>
  <c r="E34" i="2"/>
  <c r="F34" i="2" s="1"/>
  <c r="E44" i="2"/>
  <c r="F44" i="2" s="1"/>
  <c r="E55" i="2"/>
  <c r="F55" i="2" s="1"/>
  <c r="E66" i="2"/>
  <c r="F66" i="2" s="1"/>
  <c r="E76" i="2"/>
  <c r="F76" i="2" s="1"/>
  <c r="E87" i="2"/>
  <c r="F87" i="2" s="1"/>
  <c r="E98" i="2"/>
  <c r="F98" i="2" s="1"/>
  <c r="E108" i="2"/>
  <c r="F108" i="2" s="1"/>
  <c r="E119" i="2"/>
  <c r="F119" i="2" s="1"/>
  <c r="E130" i="2"/>
  <c r="F130" i="2" s="1"/>
  <c r="E140" i="2"/>
  <c r="F140" i="2" s="1"/>
  <c r="E151" i="2"/>
  <c r="F151" i="2" s="1"/>
  <c r="E162" i="2"/>
  <c r="F162" i="2" s="1"/>
  <c r="E172" i="2"/>
  <c r="F172" i="2" s="1"/>
  <c r="E183" i="2"/>
  <c r="F183" i="2" s="1"/>
  <c r="E194" i="2"/>
  <c r="F194" i="2" s="1"/>
  <c r="E204" i="2"/>
  <c r="F204" i="2" s="1"/>
  <c r="E215" i="2"/>
  <c r="F215" i="2" s="1"/>
  <c r="E226" i="2"/>
  <c r="F226" i="2" s="1"/>
  <c r="E236" i="2"/>
  <c r="F236" i="2" s="1"/>
  <c r="E247" i="2"/>
  <c r="F247" i="2" s="1"/>
  <c r="E258" i="2"/>
  <c r="F258" i="2" s="1"/>
  <c r="E268" i="2"/>
  <c r="F268" i="2" s="1"/>
  <c r="E279" i="2"/>
  <c r="F279" i="2" s="1"/>
  <c r="E290" i="2"/>
  <c r="F290" i="2" s="1"/>
  <c r="E300" i="2"/>
  <c r="F300" i="2" s="1"/>
  <c r="E311" i="2"/>
  <c r="F311" i="2" s="1"/>
  <c r="E322" i="2"/>
  <c r="F322" i="2" s="1"/>
  <c r="E332" i="2"/>
  <c r="F332" i="2" s="1"/>
  <c r="E343" i="2"/>
  <c r="F343" i="2" s="1"/>
  <c r="E354" i="2"/>
  <c r="F354" i="2" s="1"/>
  <c r="E363" i="2"/>
  <c r="F363" i="2" s="1"/>
  <c r="E371" i="2"/>
  <c r="F371" i="2" s="1"/>
  <c r="E379" i="2"/>
  <c r="F379" i="2" s="1"/>
  <c r="E387" i="2"/>
  <c r="F387" i="2" s="1"/>
  <c r="E395" i="2"/>
  <c r="F395" i="2" s="1"/>
  <c r="E403" i="2"/>
  <c r="F403" i="2" s="1"/>
  <c r="E411" i="2"/>
  <c r="F411" i="2" s="1"/>
  <c r="E419" i="2"/>
  <c r="F419" i="2" s="1"/>
  <c r="E427" i="2"/>
  <c r="F427" i="2" s="1"/>
  <c r="E435" i="2"/>
  <c r="F435" i="2" s="1"/>
  <c r="E17" i="2"/>
  <c r="F17" i="2" s="1"/>
  <c r="E38" i="2"/>
  <c r="F38" i="2" s="1"/>
  <c r="E59" i="2"/>
  <c r="F59" i="2" s="1"/>
  <c r="E78" i="2"/>
  <c r="F78" i="2" s="1"/>
  <c r="E95" i="2"/>
  <c r="F95" i="2" s="1"/>
  <c r="E111" i="2"/>
  <c r="F111" i="2" s="1"/>
  <c r="E129" i="2"/>
  <c r="F129" i="2" s="1"/>
  <c r="E145" i="2"/>
  <c r="F145" i="2" s="1"/>
  <c r="E163" i="2"/>
  <c r="F163" i="2" s="1"/>
  <c r="E180" i="2"/>
  <c r="F180" i="2" s="1"/>
  <c r="E196" i="2"/>
  <c r="F196" i="2" s="1"/>
  <c r="E214" i="2"/>
  <c r="F214" i="2" s="1"/>
  <c r="E230" i="2"/>
  <c r="F230" i="2" s="1"/>
  <c r="E249" i="2"/>
  <c r="F249" i="2" s="1"/>
  <c r="E266" i="2"/>
  <c r="F266" i="2" s="1"/>
  <c r="E282" i="2"/>
  <c r="F282" i="2" s="1"/>
  <c r="E299" i="2"/>
  <c r="F299" i="2" s="1"/>
  <c r="E315" i="2"/>
  <c r="F315" i="2" s="1"/>
  <c r="E334" i="2"/>
  <c r="F334" i="2" s="1"/>
  <c r="E351" i="2"/>
  <c r="F351" i="2" s="1"/>
  <c r="E365" i="2"/>
  <c r="F365" i="2" s="1"/>
  <c r="E378" i="2"/>
  <c r="F378" i="2" s="1"/>
  <c r="E390" i="2"/>
  <c r="F390" i="2" s="1"/>
  <c r="E404" i="2"/>
  <c r="F404" i="2" s="1"/>
  <c r="E417" i="2"/>
  <c r="F417" i="2" s="1"/>
  <c r="E429" i="2"/>
  <c r="F429" i="2" s="1"/>
  <c r="E442" i="2"/>
  <c r="F442" i="2" s="1"/>
  <c r="E452" i="2"/>
  <c r="F452" i="2" s="1"/>
  <c r="E462" i="2"/>
  <c r="F462" i="2" s="1"/>
  <c r="E474" i="2"/>
  <c r="F474" i="2" s="1"/>
  <c r="E484" i="2"/>
  <c r="F484" i="2" s="1"/>
  <c r="E494" i="2"/>
  <c r="F494" i="2" s="1"/>
  <c r="E506" i="2"/>
  <c r="F506" i="2" s="1"/>
  <c r="E516" i="2"/>
  <c r="F516" i="2" s="1"/>
  <c r="E525" i="2"/>
  <c r="F525" i="2" s="1"/>
  <c r="E533" i="2"/>
  <c r="F533" i="2" s="1"/>
  <c r="E541" i="2"/>
  <c r="F541" i="2" s="1"/>
  <c r="E549" i="2"/>
  <c r="F549" i="2" s="1"/>
  <c r="E557" i="2"/>
  <c r="F557" i="2" s="1"/>
  <c r="E565" i="2"/>
  <c r="F565" i="2" s="1"/>
  <c r="E573" i="2"/>
  <c r="F573" i="2" s="1"/>
  <c r="E581" i="2"/>
  <c r="F581" i="2" s="1"/>
  <c r="E589" i="2"/>
  <c r="F589" i="2" s="1"/>
  <c r="E597" i="2"/>
  <c r="F597" i="2" s="1"/>
  <c r="E605" i="2"/>
  <c r="F605" i="2" s="1"/>
  <c r="E2" i="2"/>
  <c r="F2" i="2" s="1"/>
  <c r="E22" i="2"/>
  <c r="F22" i="2" s="1"/>
  <c r="E43" i="2"/>
  <c r="F43" i="2" s="1"/>
  <c r="E63" i="2"/>
  <c r="F63" i="2" s="1"/>
  <c r="E79" i="2"/>
  <c r="F79" i="2" s="1"/>
  <c r="E97" i="2"/>
  <c r="F97" i="2" s="1"/>
  <c r="E113" i="2"/>
  <c r="F113" i="2" s="1"/>
  <c r="E131" i="2"/>
  <c r="F131" i="2" s="1"/>
  <c r="E148" i="2"/>
  <c r="F148" i="2" s="1"/>
  <c r="E164" i="2"/>
  <c r="F164" i="2" s="1"/>
  <c r="E182" i="2"/>
  <c r="F182" i="2" s="1"/>
  <c r="E198" i="2"/>
  <c r="F198" i="2" s="1"/>
  <c r="E217" i="2"/>
  <c r="F217" i="2" s="1"/>
  <c r="E234" i="2"/>
  <c r="F234" i="2" s="1"/>
  <c r="E250" i="2"/>
  <c r="F250" i="2" s="1"/>
  <c r="E267" i="2"/>
  <c r="F267" i="2" s="1"/>
  <c r="E283" i="2"/>
  <c r="F283" i="2" s="1"/>
  <c r="E302" i="2"/>
  <c r="F302" i="2" s="1"/>
  <c r="E319" i="2"/>
  <c r="F319" i="2" s="1"/>
  <c r="E335" i="2"/>
  <c r="F335" i="2" s="1"/>
  <c r="E353" i="2"/>
  <c r="F353" i="2" s="1"/>
  <c r="E366" i="2"/>
  <c r="F366" i="2" s="1"/>
  <c r="E380" i="2"/>
  <c r="F380" i="2" s="1"/>
  <c r="E393" i="2"/>
  <c r="F393" i="2" s="1"/>
  <c r="E405" i="2"/>
  <c r="F405" i="2" s="1"/>
  <c r="E418" i="2"/>
  <c r="F418" i="2" s="1"/>
  <c r="E430" i="2"/>
  <c r="F430" i="2" s="1"/>
  <c r="E443" i="2"/>
  <c r="F443" i="2" s="1"/>
  <c r="E453" i="2"/>
  <c r="F453" i="2" s="1"/>
  <c r="E465" i="2"/>
  <c r="F465" i="2" s="1"/>
  <c r="E475" i="2"/>
  <c r="F475" i="2" s="1"/>
  <c r="E485" i="2"/>
  <c r="F485" i="2" s="1"/>
  <c r="E497" i="2"/>
  <c r="F497" i="2" s="1"/>
  <c r="E507" i="2"/>
  <c r="F507" i="2" s="1"/>
  <c r="E517" i="2"/>
  <c r="F517" i="2" s="1"/>
  <c r="E526" i="2"/>
  <c r="F526" i="2" s="1"/>
  <c r="E534" i="2"/>
  <c r="F534" i="2" s="1"/>
  <c r="E542" i="2"/>
  <c r="F542" i="2" s="1"/>
  <c r="E550" i="2"/>
  <c r="F550" i="2" s="1"/>
  <c r="E558" i="2"/>
  <c r="F558" i="2" s="1"/>
  <c r="E566" i="2"/>
  <c r="F566" i="2" s="1"/>
  <c r="E574" i="2"/>
  <c r="F574" i="2" s="1"/>
  <c r="E582" i="2"/>
  <c r="F582" i="2" s="1"/>
  <c r="E590" i="2"/>
  <c r="F590" i="2" s="1"/>
  <c r="E598" i="2"/>
  <c r="F598" i="2" s="1"/>
  <c r="E606" i="2"/>
  <c r="F606" i="2" s="1"/>
  <c r="E3" i="2"/>
  <c r="F3" i="2" s="1"/>
  <c r="E25" i="2"/>
  <c r="F25" i="2" s="1"/>
  <c r="E46" i="2"/>
  <c r="F46" i="2" s="1"/>
  <c r="E65" i="2"/>
  <c r="F65" i="2" s="1"/>
  <c r="E81" i="2"/>
  <c r="F81" i="2" s="1"/>
  <c r="E99" i="2"/>
  <c r="F99" i="2" s="1"/>
  <c r="E116" i="2"/>
  <c r="F116" i="2" s="1"/>
  <c r="E132" i="2"/>
  <c r="F132" i="2" s="1"/>
  <c r="E150" i="2"/>
  <c r="F150" i="2" s="1"/>
  <c r="E166" i="2"/>
  <c r="F166" i="2" s="1"/>
  <c r="E185" i="2"/>
  <c r="F185" i="2" s="1"/>
  <c r="E202" i="2"/>
  <c r="F202" i="2" s="1"/>
  <c r="E218" i="2"/>
  <c r="F218" i="2" s="1"/>
  <c r="E235" i="2"/>
  <c r="F235" i="2" s="1"/>
  <c r="E251" i="2"/>
  <c r="F251" i="2" s="1"/>
  <c r="E270" i="2"/>
  <c r="F270" i="2" s="1"/>
  <c r="E287" i="2"/>
  <c r="F287" i="2" s="1"/>
  <c r="E303" i="2"/>
  <c r="F303" i="2" s="1"/>
  <c r="E321" i="2"/>
  <c r="F321" i="2" s="1"/>
  <c r="E337" i="2"/>
  <c r="F337" i="2" s="1"/>
  <c r="E355" i="2"/>
  <c r="F355" i="2" s="1"/>
  <c r="E369" i="2"/>
  <c r="F369" i="2" s="1"/>
  <c r="E381" i="2"/>
  <c r="F381" i="2" s="1"/>
  <c r="E394" i="2"/>
  <c r="F394" i="2" s="1"/>
  <c r="E406" i="2"/>
  <c r="F406" i="2" s="1"/>
  <c r="E420" i="2"/>
  <c r="F420" i="2" s="1"/>
  <c r="E433" i="2"/>
  <c r="F433" i="2" s="1"/>
  <c r="E444" i="2"/>
  <c r="F444" i="2" s="1"/>
  <c r="E454" i="2"/>
  <c r="F454" i="2" s="1"/>
  <c r="E466" i="2"/>
  <c r="F466" i="2" s="1"/>
  <c r="E476" i="2"/>
  <c r="F476" i="2" s="1"/>
  <c r="E486" i="2"/>
  <c r="F486" i="2" s="1"/>
  <c r="E498" i="2"/>
  <c r="F498" i="2" s="1"/>
  <c r="E508" i="2"/>
  <c r="F508" i="2" s="1"/>
  <c r="E518" i="2"/>
  <c r="F518" i="2" s="1"/>
  <c r="E527" i="2"/>
  <c r="F527" i="2" s="1"/>
  <c r="E535" i="2"/>
  <c r="F535" i="2" s="1"/>
  <c r="E543" i="2"/>
  <c r="F543" i="2" s="1"/>
  <c r="E551" i="2"/>
  <c r="F551" i="2" s="1"/>
  <c r="E559" i="2"/>
  <c r="F559" i="2" s="1"/>
  <c r="E567" i="2"/>
  <c r="F567" i="2" s="1"/>
  <c r="E575" i="2"/>
  <c r="F575" i="2" s="1"/>
  <c r="E583" i="2"/>
  <c r="F583" i="2" s="1"/>
  <c r="E591" i="2"/>
  <c r="F591" i="2" s="1"/>
  <c r="E599" i="2"/>
  <c r="F599" i="2" s="1"/>
  <c r="E607" i="2"/>
  <c r="F607" i="2" s="1"/>
  <c r="E4" i="2"/>
  <c r="F4" i="2" s="1"/>
  <c r="E26" i="2"/>
  <c r="F26" i="2" s="1"/>
  <c r="E47" i="2"/>
  <c r="F47" i="2" s="1"/>
  <c r="E67" i="2"/>
  <c r="F67" i="2" s="1"/>
  <c r="E84" i="2"/>
  <c r="F84" i="2" s="1"/>
  <c r="E100" i="2"/>
  <c r="F100" i="2" s="1"/>
  <c r="E118" i="2"/>
  <c r="F118" i="2" s="1"/>
  <c r="E134" i="2"/>
  <c r="F134" i="2" s="1"/>
  <c r="E153" i="2"/>
  <c r="F153" i="2" s="1"/>
  <c r="E170" i="2"/>
  <c r="F170" i="2" s="1"/>
  <c r="E186" i="2"/>
  <c r="F186" i="2" s="1"/>
  <c r="E203" i="2"/>
  <c r="F203" i="2" s="1"/>
  <c r="E219" i="2"/>
  <c r="F219" i="2" s="1"/>
  <c r="E238" i="2"/>
  <c r="F238" i="2" s="1"/>
  <c r="E255" i="2"/>
  <c r="F255" i="2" s="1"/>
  <c r="E271" i="2"/>
  <c r="F271" i="2" s="1"/>
  <c r="E289" i="2"/>
  <c r="F289" i="2" s="1"/>
  <c r="E305" i="2"/>
  <c r="F305" i="2" s="1"/>
  <c r="E323" i="2"/>
  <c r="F323" i="2" s="1"/>
  <c r="E340" i="2"/>
  <c r="F340" i="2" s="1"/>
  <c r="E356" i="2"/>
  <c r="F356" i="2" s="1"/>
  <c r="E370" i="2"/>
  <c r="F370" i="2" s="1"/>
  <c r="E382" i="2"/>
  <c r="F382" i="2" s="1"/>
  <c r="E396" i="2"/>
  <c r="F396" i="2" s="1"/>
  <c r="E409" i="2"/>
  <c r="F409" i="2" s="1"/>
  <c r="E421" i="2"/>
  <c r="F421" i="2" s="1"/>
  <c r="E434" i="2"/>
  <c r="F434" i="2" s="1"/>
  <c r="E445" i="2"/>
  <c r="F445" i="2" s="1"/>
  <c r="E457" i="2"/>
  <c r="F457" i="2" s="1"/>
  <c r="E467" i="2"/>
  <c r="F467" i="2" s="1"/>
  <c r="E477" i="2"/>
  <c r="F477" i="2" s="1"/>
  <c r="E489" i="2"/>
  <c r="F489" i="2" s="1"/>
  <c r="E499" i="2"/>
  <c r="F499" i="2" s="1"/>
  <c r="E509" i="2"/>
  <c r="F509" i="2" s="1"/>
  <c r="E519" i="2"/>
  <c r="F519" i="2" s="1"/>
  <c r="E528" i="2"/>
  <c r="F528" i="2" s="1"/>
  <c r="E536" i="2"/>
  <c r="F536" i="2" s="1"/>
  <c r="E544" i="2"/>
  <c r="F544" i="2" s="1"/>
  <c r="E552" i="2"/>
  <c r="F552" i="2" s="1"/>
  <c r="E560" i="2"/>
  <c r="F560" i="2" s="1"/>
  <c r="E568" i="2"/>
  <c r="F568" i="2" s="1"/>
  <c r="E576" i="2"/>
  <c r="F576" i="2" s="1"/>
  <c r="E584" i="2"/>
  <c r="F584" i="2" s="1"/>
  <c r="E592" i="2"/>
  <c r="F592" i="2" s="1"/>
  <c r="E600" i="2"/>
  <c r="F600" i="2" s="1"/>
  <c r="E608" i="2"/>
  <c r="F608" i="2" s="1"/>
  <c r="E11" i="2"/>
  <c r="F11" i="2" s="1"/>
  <c r="E54" i="2"/>
  <c r="F54" i="2" s="1"/>
  <c r="E106" i="2"/>
  <c r="F106" i="2" s="1"/>
  <c r="E139" i="2"/>
  <c r="F139" i="2" s="1"/>
  <c r="E174" i="2"/>
  <c r="F174" i="2" s="1"/>
  <c r="E207" i="2"/>
  <c r="F207" i="2" s="1"/>
  <c r="E241" i="2"/>
  <c r="F241" i="2" s="1"/>
  <c r="E276" i="2"/>
  <c r="F276" i="2" s="1"/>
  <c r="E310" i="2"/>
  <c r="F310" i="2" s="1"/>
  <c r="E345" i="2"/>
  <c r="F345" i="2" s="1"/>
  <c r="E386" i="2"/>
  <c r="F386" i="2" s="1"/>
  <c r="E412" i="2"/>
  <c r="F412" i="2" s="1"/>
  <c r="E437" i="2"/>
  <c r="F437" i="2" s="1"/>
  <c r="E459" i="2"/>
  <c r="F459" i="2" s="1"/>
  <c r="E481" i="2"/>
  <c r="F481" i="2" s="1"/>
  <c r="E501" i="2"/>
  <c r="F501" i="2" s="1"/>
  <c r="E522" i="2"/>
  <c r="F522" i="2" s="1"/>
  <c r="E538" i="2"/>
  <c r="F538" i="2" s="1"/>
  <c r="E554" i="2"/>
  <c r="F554" i="2" s="1"/>
  <c r="E6" i="2"/>
  <c r="F6" i="2" s="1"/>
  <c r="E27" i="2"/>
  <c r="F27" i="2" s="1"/>
  <c r="E49" i="2"/>
  <c r="F49" i="2" s="1"/>
  <c r="E68" i="2"/>
  <c r="F68" i="2" s="1"/>
  <c r="E86" i="2"/>
  <c r="F86" i="2" s="1"/>
  <c r="E102" i="2"/>
  <c r="F102" i="2" s="1"/>
  <c r="E121" i="2"/>
  <c r="F121" i="2" s="1"/>
  <c r="E138" i="2"/>
  <c r="F138" i="2" s="1"/>
  <c r="E154" i="2"/>
  <c r="F154" i="2" s="1"/>
  <c r="E171" i="2"/>
  <c r="F171" i="2" s="1"/>
  <c r="E187" i="2"/>
  <c r="F187" i="2" s="1"/>
  <c r="E206" i="2"/>
  <c r="F206" i="2" s="1"/>
  <c r="E223" i="2"/>
  <c r="F223" i="2" s="1"/>
  <c r="E239" i="2"/>
  <c r="F239" i="2" s="1"/>
  <c r="E257" i="2"/>
  <c r="F257" i="2" s="1"/>
  <c r="E273" i="2"/>
  <c r="F273" i="2" s="1"/>
  <c r="E291" i="2"/>
  <c r="F291" i="2" s="1"/>
  <c r="E308" i="2"/>
  <c r="F308" i="2" s="1"/>
  <c r="E324" i="2"/>
  <c r="F324" i="2" s="1"/>
  <c r="E342" i="2"/>
  <c r="F342" i="2" s="1"/>
  <c r="E358" i="2"/>
  <c r="F358" i="2" s="1"/>
  <c r="E372" i="2"/>
  <c r="F372" i="2" s="1"/>
  <c r="E385" i="2"/>
  <c r="F385" i="2" s="1"/>
  <c r="E397" i="2"/>
  <c r="F397" i="2" s="1"/>
  <c r="E410" i="2"/>
  <c r="F410" i="2" s="1"/>
  <c r="E422" i="2"/>
  <c r="F422" i="2" s="1"/>
  <c r="E436" i="2"/>
  <c r="F436" i="2" s="1"/>
  <c r="E446" i="2"/>
  <c r="F446" i="2" s="1"/>
  <c r="E458" i="2"/>
  <c r="F458" i="2" s="1"/>
  <c r="E468" i="2"/>
  <c r="F468" i="2" s="1"/>
  <c r="E478" i="2"/>
  <c r="F478" i="2" s="1"/>
  <c r="E490" i="2"/>
  <c r="F490" i="2" s="1"/>
  <c r="E500" i="2"/>
  <c r="F500" i="2" s="1"/>
  <c r="E510" i="2"/>
  <c r="F510" i="2" s="1"/>
  <c r="E521" i="2"/>
  <c r="F521" i="2" s="1"/>
  <c r="E529" i="2"/>
  <c r="F529" i="2" s="1"/>
  <c r="E537" i="2"/>
  <c r="F537" i="2" s="1"/>
  <c r="E545" i="2"/>
  <c r="F545" i="2" s="1"/>
  <c r="E553" i="2"/>
  <c r="F553" i="2" s="1"/>
  <c r="E561" i="2"/>
  <c r="F561" i="2" s="1"/>
  <c r="E569" i="2"/>
  <c r="F569" i="2" s="1"/>
  <c r="E577" i="2"/>
  <c r="F577" i="2" s="1"/>
  <c r="E585" i="2"/>
  <c r="F585" i="2" s="1"/>
  <c r="E593" i="2"/>
  <c r="F593" i="2" s="1"/>
  <c r="E601" i="2"/>
  <c r="F601" i="2" s="1"/>
  <c r="E33" i="2"/>
  <c r="F33" i="2" s="1"/>
  <c r="E89" i="2"/>
  <c r="F89" i="2" s="1"/>
  <c r="E122" i="2"/>
  <c r="F122" i="2" s="1"/>
  <c r="E155" i="2"/>
  <c r="F155" i="2" s="1"/>
  <c r="E191" i="2"/>
  <c r="F191" i="2" s="1"/>
  <c r="E259" i="2"/>
  <c r="F259" i="2" s="1"/>
  <c r="E292" i="2"/>
  <c r="F292" i="2" s="1"/>
  <c r="E326" i="2"/>
  <c r="F326" i="2" s="1"/>
  <c r="E373" i="2"/>
  <c r="F373" i="2" s="1"/>
  <c r="E398" i="2"/>
  <c r="F398" i="2" s="1"/>
  <c r="E425" i="2"/>
  <c r="F425" i="2" s="1"/>
  <c r="E449" i="2"/>
  <c r="F449" i="2" s="1"/>
  <c r="E469" i="2"/>
  <c r="F469" i="2" s="1"/>
  <c r="E491" i="2"/>
  <c r="F491" i="2" s="1"/>
  <c r="E513" i="2"/>
  <c r="F513" i="2" s="1"/>
  <c r="E530" i="2"/>
  <c r="F530" i="2" s="1"/>
  <c r="E546" i="2"/>
  <c r="F546" i="2" s="1"/>
  <c r="E15" i="2"/>
  <c r="F15" i="2" s="1"/>
  <c r="E90" i="2"/>
  <c r="F90" i="2" s="1"/>
  <c r="E159" i="2"/>
  <c r="F159" i="2" s="1"/>
  <c r="E225" i="2"/>
  <c r="F225" i="2" s="1"/>
  <c r="E281" i="2"/>
  <c r="F281" i="2" s="1"/>
  <c r="E347" i="2"/>
  <c r="F347" i="2" s="1"/>
  <c r="E401" i="2"/>
  <c r="F401" i="2" s="1"/>
  <c r="E450" i="2"/>
  <c r="F450" i="2" s="1"/>
  <c r="E492" i="2"/>
  <c r="F492" i="2" s="1"/>
  <c r="E531" i="2"/>
  <c r="F531" i="2" s="1"/>
  <c r="E562" i="2"/>
  <c r="F562" i="2" s="1"/>
  <c r="E580" i="2"/>
  <c r="F580" i="2" s="1"/>
  <c r="E603" i="2"/>
  <c r="F603" i="2" s="1"/>
  <c r="E414" i="2"/>
  <c r="F414" i="2" s="1"/>
  <c r="E588" i="2"/>
  <c r="F588" i="2" s="1"/>
  <c r="E35" i="2"/>
  <c r="F35" i="2" s="1"/>
  <c r="E91" i="2"/>
  <c r="F91" i="2" s="1"/>
  <c r="E161" i="2"/>
  <c r="F161" i="2" s="1"/>
  <c r="E227" i="2"/>
  <c r="F227" i="2" s="1"/>
  <c r="E294" i="2"/>
  <c r="F294" i="2" s="1"/>
  <c r="E361" i="2"/>
  <c r="F361" i="2" s="1"/>
  <c r="E402" i="2"/>
  <c r="F402" i="2" s="1"/>
  <c r="E451" i="2"/>
  <c r="F451" i="2" s="1"/>
  <c r="E493" i="2"/>
  <c r="F493" i="2" s="1"/>
  <c r="E532" i="2"/>
  <c r="F532" i="2" s="1"/>
  <c r="E563" i="2"/>
  <c r="F563" i="2" s="1"/>
  <c r="E586" i="2"/>
  <c r="F586" i="2" s="1"/>
  <c r="E604" i="2"/>
  <c r="F604" i="2" s="1"/>
  <c r="E262" i="2"/>
  <c r="F262" i="2" s="1"/>
  <c r="E36" i="2"/>
  <c r="F36" i="2" s="1"/>
  <c r="E107" i="2"/>
  <c r="F107" i="2" s="1"/>
  <c r="E175" i="2"/>
  <c r="F175" i="2" s="1"/>
  <c r="E228" i="2"/>
  <c r="F228" i="2" s="1"/>
  <c r="E298" i="2"/>
  <c r="F298" i="2" s="1"/>
  <c r="E362" i="2"/>
  <c r="F362" i="2" s="1"/>
  <c r="E413" i="2"/>
  <c r="F413" i="2" s="1"/>
  <c r="E460" i="2"/>
  <c r="F460" i="2" s="1"/>
  <c r="E502" i="2"/>
  <c r="F502" i="2" s="1"/>
  <c r="E539" i="2"/>
  <c r="F539" i="2" s="1"/>
  <c r="E564" i="2"/>
  <c r="F564" i="2" s="1"/>
  <c r="E587" i="2"/>
  <c r="F587" i="2" s="1"/>
  <c r="E57" i="2"/>
  <c r="F57" i="2" s="1"/>
  <c r="E110" i="2"/>
  <c r="F110" i="2" s="1"/>
  <c r="E177" i="2"/>
  <c r="F177" i="2" s="1"/>
  <c r="E244" i="2"/>
  <c r="F244" i="2" s="1"/>
  <c r="E313" i="2"/>
  <c r="F313" i="2" s="1"/>
  <c r="E364" i="2"/>
  <c r="F364" i="2" s="1"/>
  <c r="E461" i="2"/>
  <c r="F461" i="2" s="1"/>
  <c r="E505" i="2"/>
  <c r="F505" i="2" s="1"/>
  <c r="E540" i="2"/>
  <c r="F540" i="2" s="1"/>
  <c r="E570" i="2"/>
  <c r="F570" i="2" s="1"/>
  <c r="E74" i="2"/>
  <c r="F74" i="2" s="1"/>
  <c r="E209" i="2"/>
  <c r="F209" i="2" s="1"/>
  <c r="E388" i="2"/>
  <c r="F388" i="2" s="1"/>
  <c r="E482" i="2"/>
  <c r="F482" i="2" s="1"/>
  <c r="E555" i="2"/>
  <c r="F555" i="2" s="1"/>
  <c r="E596" i="2"/>
  <c r="F596" i="2" s="1"/>
  <c r="E14" i="2"/>
  <c r="F14" i="2" s="1"/>
  <c r="E143" i="2"/>
  <c r="F143" i="2" s="1"/>
  <c r="E278" i="2"/>
  <c r="F278" i="2" s="1"/>
  <c r="E389" i="2"/>
  <c r="F389" i="2" s="1"/>
  <c r="E524" i="2"/>
  <c r="F524" i="2" s="1"/>
  <c r="E579" i="2"/>
  <c r="F579" i="2" s="1"/>
  <c r="E58" i="2"/>
  <c r="F58" i="2" s="1"/>
  <c r="E123" i="2"/>
  <c r="F123" i="2" s="1"/>
  <c r="E193" i="2"/>
  <c r="F193" i="2" s="1"/>
  <c r="E246" i="2"/>
  <c r="F246" i="2" s="1"/>
  <c r="E314" i="2"/>
  <c r="F314" i="2" s="1"/>
  <c r="E374" i="2"/>
  <c r="F374" i="2" s="1"/>
  <c r="E426" i="2"/>
  <c r="F426" i="2" s="1"/>
  <c r="E470" i="2"/>
  <c r="F470" i="2" s="1"/>
  <c r="E514" i="2"/>
  <c r="F514" i="2" s="1"/>
  <c r="E547" i="2"/>
  <c r="F547" i="2" s="1"/>
  <c r="E571" i="2"/>
  <c r="F571" i="2" s="1"/>
  <c r="E594" i="2"/>
  <c r="F594" i="2" s="1"/>
  <c r="E441" i="2"/>
  <c r="F441" i="2" s="1"/>
  <c r="E70" i="2"/>
  <c r="F70" i="2" s="1"/>
  <c r="E127" i="2"/>
  <c r="F127" i="2" s="1"/>
  <c r="E195" i="2"/>
  <c r="F195" i="2" s="1"/>
  <c r="E260" i="2"/>
  <c r="F260" i="2" s="1"/>
  <c r="E330" i="2"/>
  <c r="F330" i="2" s="1"/>
  <c r="E377" i="2"/>
  <c r="F377" i="2" s="1"/>
  <c r="E428" i="2"/>
  <c r="F428" i="2" s="1"/>
  <c r="E473" i="2"/>
  <c r="F473" i="2" s="1"/>
  <c r="E515" i="2"/>
  <c r="F515" i="2" s="1"/>
  <c r="E548" i="2"/>
  <c r="F548" i="2" s="1"/>
  <c r="E572" i="2"/>
  <c r="F572" i="2" s="1"/>
  <c r="E595" i="2"/>
  <c r="F595" i="2" s="1"/>
  <c r="E142" i="2"/>
  <c r="F142" i="2" s="1"/>
  <c r="E331" i="2"/>
  <c r="F331" i="2" s="1"/>
  <c r="E438" i="2"/>
  <c r="F438" i="2" s="1"/>
  <c r="E523" i="2"/>
  <c r="F523" i="2" s="1"/>
  <c r="E578" i="2"/>
  <c r="F578" i="2" s="1"/>
  <c r="E75" i="2"/>
  <c r="F75" i="2" s="1"/>
  <c r="E212" i="2"/>
  <c r="F212" i="2" s="1"/>
  <c r="E346" i="2"/>
  <c r="F346" i="2" s="1"/>
  <c r="E483" i="2"/>
  <c r="F483" i="2" s="1"/>
  <c r="E556" i="2"/>
  <c r="F556" i="2" s="1"/>
  <c r="E602" i="2"/>
  <c r="F602" i="2" s="1"/>
  <c r="I5" i="1"/>
  <c r="E450" i="5"/>
  <c r="F450" i="5" s="1"/>
  <c r="E432" i="5"/>
  <c r="F432" i="5" s="1"/>
  <c r="E409" i="5"/>
  <c r="F409" i="5" s="1"/>
  <c r="E386" i="5"/>
  <c r="F386" i="5" s="1"/>
  <c r="E368" i="5"/>
  <c r="F368" i="5" s="1"/>
  <c r="E345" i="5"/>
  <c r="F345" i="5" s="1"/>
  <c r="E322" i="5"/>
  <c r="F322" i="5" s="1"/>
  <c r="E304" i="5"/>
  <c r="F304" i="5" s="1"/>
  <c r="E281" i="5"/>
  <c r="F281" i="5" s="1"/>
  <c r="E258" i="5"/>
  <c r="F258" i="5" s="1"/>
  <c r="E240" i="5"/>
  <c r="F240" i="5" s="1"/>
  <c r="E217" i="5"/>
  <c r="F217" i="5" s="1"/>
  <c r="E190" i="5"/>
  <c r="F190" i="5" s="1"/>
  <c r="E155" i="5"/>
  <c r="F155" i="5" s="1"/>
  <c r="E109" i="5"/>
  <c r="F109" i="5" s="1"/>
  <c r="E62" i="5"/>
  <c r="F62" i="5" s="1"/>
  <c r="E7" i="5"/>
  <c r="F7" i="5" s="1"/>
  <c r="E15" i="5"/>
  <c r="F15" i="5" s="1"/>
  <c r="E23" i="5"/>
  <c r="F23" i="5" s="1"/>
  <c r="E31" i="5"/>
  <c r="F31" i="5" s="1"/>
  <c r="E39" i="5"/>
  <c r="F39" i="5" s="1"/>
  <c r="E47" i="5"/>
  <c r="F47" i="5" s="1"/>
  <c r="E55" i="5"/>
  <c r="F55" i="5" s="1"/>
  <c r="E63" i="5"/>
  <c r="F63" i="5" s="1"/>
  <c r="E71" i="5"/>
  <c r="F71" i="5" s="1"/>
  <c r="E79" i="5"/>
  <c r="F79" i="5" s="1"/>
  <c r="E87" i="5"/>
  <c r="F87" i="5" s="1"/>
  <c r="E95" i="5"/>
  <c r="F95" i="5" s="1"/>
  <c r="E103" i="5"/>
  <c r="F103" i="5" s="1"/>
  <c r="E111" i="5"/>
  <c r="F111" i="5" s="1"/>
  <c r="E119" i="5"/>
  <c r="F119" i="5" s="1"/>
  <c r="E127" i="5"/>
  <c r="F127" i="5" s="1"/>
  <c r="E135" i="5"/>
  <c r="F135" i="5" s="1"/>
  <c r="E143" i="5"/>
  <c r="F143" i="5" s="1"/>
  <c r="E151" i="5"/>
  <c r="F151" i="5" s="1"/>
  <c r="E159" i="5"/>
  <c r="F159" i="5" s="1"/>
  <c r="E167" i="5"/>
  <c r="F167" i="5" s="1"/>
  <c r="E175" i="5"/>
  <c r="F175" i="5" s="1"/>
  <c r="E183" i="5"/>
  <c r="F183" i="5" s="1"/>
  <c r="E191" i="5"/>
  <c r="F191" i="5" s="1"/>
  <c r="E8" i="5"/>
  <c r="F8" i="5" s="1"/>
  <c r="E16" i="5"/>
  <c r="F16" i="5" s="1"/>
  <c r="E24" i="5"/>
  <c r="F24" i="5" s="1"/>
  <c r="E32" i="5"/>
  <c r="F32" i="5" s="1"/>
  <c r="E40" i="5"/>
  <c r="F40" i="5" s="1"/>
  <c r="E48" i="5"/>
  <c r="F48" i="5" s="1"/>
  <c r="E56" i="5"/>
  <c r="F56" i="5" s="1"/>
  <c r="E64" i="5"/>
  <c r="F64" i="5" s="1"/>
  <c r="E72" i="5"/>
  <c r="F72" i="5" s="1"/>
  <c r="E80" i="5"/>
  <c r="F80" i="5" s="1"/>
  <c r="E88" i="5"/>
  <c r="F88" i="5" s="1"/>
  <c r="E96" i="5"/>
  <c r="F96" i="5" s="1"/>
  <c r="E104" i="5"/>
  <c r="F104" i="5" s="1"/>
  <c r="E112" i="5"/>
  <c r="F112" i="5" s="1"/>
  <c r="E120" i="5"/>
  <c r="F120" i="5" s="1"/>
  <c r="E128" i="5"/>
  <c r="F128" i="5" s="1"/>
  <c r="E136" i="5"/>
  <c r="F136" i="5" s="1"/>
  <c r="E144" i="5"/>
  <c r="F144" i="5" s="1"/>
  <c r="E152" i="5"/>
  <c r="F152" i="5" s="1"/>
  <c r="E160" i="5"/>
  <c r="F160" i="5" s="1"/>
  <c r="E168" i="5"/>
  <c r="F168" i="5" s="1"/>
  <c r="E176" i="5"/>
  <c r="F176" i="5" s="1"/>
  <c r="E184" i="5"/>
  <c r="F184" i="5" s="1"/>
  <c r="E192" i="5"/>
  <c r="F192" i="5" s="1"/>
  <c r="E9" i="5"/>
  <c r="F9" i="5" s="1"/>
  <c r="E17" i="5"/>
  <c r="F17" i="5" s="1"/>
  <c r="E25" i="5"/>
  <c r="F25" i="5" s="1"/>
  <c r="E33" i="5"/>
  <c r="F33" i="5" s="1"/>
  <c r="E41" i="5"/>
  <c r="F41" i="5" s="1"/>
  <c r="E49" i="5"/>
  <c r="F49" i="5" s="1"/>
  <c r="E57" i="5"/>
  <c r="F57" i="5" s="1"/>
  <c r="E65" i="5"/>
  <c r="F65" i="5" s="1"/>
  <c r="E73" i="5"/>
  <c r="F73" i="5" s="1"/>
  <c r="E81" i="5"/>
  <c r="F81" i="5" s="1"/>
  <c r="E89" i="5"/>
  <c r="F89" i="5" s="1"/>
  <c r="E97" i="5"/>
  <c r="F97" i="5" s="1"/>
  <c r="E105" i="5"/>
  <c r="F105" i="5" s="1"/>
  <c r="E113" i="5"/>
  <c r="F113" i="5" s="1"/>
  <c r="E121" i="5"/>
  <c r="F121" i="5" s="1"/>
  <c r="E129" i="5"/>
  <c r="F129" i="5" s="1"/>
  <c r="E137" i="5"/>
  <c r="F137" i="5" s="1"/>
  <c r="E145" i="5"/>
  <c r="F145" i="5" s="1"/>
  <c r="E153" i="5"/>
  <c r="F153" i="5" s="1"/>
  <c r="E161" i="5"/>
  <c r="F161" i="5" s="1"/>
  <c r="E169" i="5"/>
  <c r="F169" i="5" s="1"/>
  <c r="E177" i="5"/>
  <c r="F177" i="5" s="1"/>
  <c r="E185" i="5"/>
  <c r="F185" i="5" s="1"/>
  <c r="E193" i="5"/>
  <c r="F193" i="5" s="1"/>
  <c r="E4" i="5"/>
  <c r="F4" i="5" s="1"/>
  <c r="E12" i="5"/>
  <c r="F12" i="5" s="1"/>
  <c r="E20" i="5"/>
  <c r="F20" i="5" s="1"/>
  <c r="E28" i="5"/>
  <c r="F28" i="5" s="1"/>
  <c r="E36" i="5"/>
  <c r="F36" i="5" s="1"/>
  <c r="E44" i="5"/>
  <c r="F44" i="5" s="1"/>
  <c r="E52" i="5"/>
  <c r="F52" i="5" s="1"/>
  <c r="E60" i="5"/>
  <c r="F60" i="5" s="1"/>
  <c r="E68" i="5"/>
  <c r="F68" i="5" s="1"/>
  <c r="E76" i="5"/>
  <c r="F76" i="5" s="1"/>
  <c r="E84" i="5"/>
  <c r="F84" i="5" s="1"/>
  <c r="E92" i="5"/>
  <c r="F92" i="5" s="1"/>
  <c r="E100" i="5"/>
  <c r="F100" i="5" s="1"/>
  <c r="E108" i="5"/>
  <c r="F108" i="5" s="1"/>
  <c r="E116" i="5"/>
  <c r="F116" i="5" s="1"/>
  <c r="E124" i="5"/>
  <c r="F124" i="5" s="1"/>
  <c r="E132" i="5"/>
  <c r="F132" i="5" s="1"/>
  <c r="E140" i="5"/>
  <c r="F140" i="5" s="1"/>
  <c r="E148" i="5"/>
  <c r="F148" i="5" s="1"/>
  <c r="E156" i="5"/>
  <c r="F156" i="5" s="1"/>
  <c r="E164" i="5"/>
  <c r="F164" i="5" s="1"/>
  <c r="E172" i="5"/>
  <c r="F172" i="5" s="1"/>
  <c r="E180" i="5"/>
  <c r="F180" i="5" s="1"/>
  <c r="E188" i="5"/>
  <c r="F188" i="5" s="1"/>
  <c r="E196" i="5"/>
  <c r="F196" i="5" s="1"/>
  <c r="E2" i="5"/>
  <c r="F2" i="5" s="1"/>
  <c r="E18" i="5"/>
  <c r="F18" i="5" s="1"/>
  <c r="E34" i="5"/>
  <c r="F34" i="5" s="1"/>
  <c r="E50" i="5"/>
  <c r="F50" i="5" s="1"/>
  <c r="E66" i="5"/>
  <c r="F66" i="5" s="1"/>
  <c r="E82" i="5"/>
  <c r="F82" i="5" s="1"/>
  <c r="E98" i="5"/>
  <c r="F98" i="5" s="1"/>
  <c r="E114" i="5"/>
  <c r="F114" i="5" s="1"/>
  <c r="E130" i="5"/>
  <c r="F130" i="5" s="1"/>
  <c r="E146" i="5"/>
  <c r="F146" i="5" s="1"/>
  <c r="E162" i="5"/>
  <c r="F162" i="5" s="1"/>
  <c r="E178" i="5"/>
  <c r="F178" i="5" s="1"/>
  <c r="E194" i="5"/>
  <c r="F194" i="5" s="1"/>
  <c r="E203" i="5"/>
  <c r="F203" i="5" s="1"/>
  <c r="E211" i="5"/>
  <c r="F211" i="5" s="1"/>
  <c r="E219" i="5"/>
  <c r="F219" i="5" s="1"/>
  <c r="E227" i="5"/>
  <c r="F227" i="5" s="1"/>
  <c r="E235" i="5"/>
  <c r="F235" i="5" s="1"/>
  <c r="E243" i="5"/>
  <c r="F243" i="5" s="1"/>
  <c r="E251" i="5"/>
  <c r="F251" i="5" s="1"/>
  <c r="E259" i="5"/>
  <c r="F259" i="5" s="1"/>
  <c r="E267" i="5"/>
  <c r="F267" i="5" s="1"/>
  <c r="E275" i="5"/>
  <c r="F275" i="5" s="1"/>
  <c r="E283" i="5"/>
  <c r="F283" i="5" s="1"/>
  <c r="E291" i="5"/>
  <c r="F291" i="5" s="1"/>
  <c r="E299" i="5"/>
  <c r="F299" i="5" s="1"/>
  <c r="E307" i="5"/>
  <c r="F307" i="5" s="1"/>
  <c r="E315" i="5"/>
  <c r="F315" i="5" s="1"/>
  <c r="E323" i="5"/>
  <c r="F323" i="5" s="1"/>
  <c r="E331" i="5"/>
  <c r="F331" i="5" s="1"/>
  <c r="E339" i="5"/>
  <c r="F339" i="5" s="1"/>
  <c r="E347" i="5"/>
  <c r="F347" i="5" s="1"/>
  <c r="E355" i="5"/>
  <c r="F355" i="5" s="1"/>
  <c r="E363" i="5"/>
  <c r="F363" i="5" s="1"/>
  <c r="E371" i="5"/>
  <c r="F371" i="5" s="1"/>
  <c r="E379" i="5"/>
  <c r="F379" i="5" s="1"/>
  <c r="E387" i="5"/>
  <c r="F387" i="5" s="1"/>
  <c r="E395" i="5"/>
  <c r="F395" i="5" s="1"/>
  <c r="E403" i="5"/>
  <c r="F403" i="5" s="1"/>
  <c r="E411" i="5"/>
  <c r="F411" i="5" s="1"/>
  <c r="E419" i="5"/>
  <c r="F419" i="5" s="1"/>
  <c r="E427" i="5"/>
  <c r="F427" i="5" s="1"/>
  <c r="E435" i="5"/>
  <c r="F435" i="5" s="1"/>
  <c r="E443" i="5"/>
  <c r="F443" i="5" s="1"/>
  <c r="E451" i="5"/>
  <c r="F451" i="5" s="1"/>
  <c r="E459" i="5"/>
  <c r="F459" i="5" s="1"/>
  <c r="E3" i="5"/>
  <c r="F3" i="5" s="1"/>
  <c r="E19" i="5"/>
  <c r="F19" i="5" s="1"/>
  <c r="E35" i="5"/>
  <c r="F35" i="5" s="1"/>
  <c r="E51" i="5"/>
  <c r="F51" i="5" s="1"/>
  <c r="E67" i="5"/>
  <c r="F67" i="5" s="1"/>
  <c r="E83" i="5"/>
  <c r="F83" i="5" s="1"/>
  <c r="E99" i="5"/>
  <c r="F99" i="5" s="1"/>
  <c r="E115" i="5"/>
  <c r="F115" i="5" s="1"/>
  <c r="E131" i="5"/>
  <c r="F131" i="5" s="1"/>
  <c r="E147" i="5"/>
  <c r="F147" i="5" s="1"/>
  <c r="E163" i="5"/>
  <c r="F163" i="5" s="1"/>
  <c r="E179" i="5"/>
  <c r="F179" i="5" s="1"/>
  <c r="E195" i="5"/>
  <c r="F195" i="5" s="1"/>
  <c r="E204" i="5"/>
  <c r="F204" i="5" s="1"/>
  <c r="E212" i="5"/>
  <c r="F212" i="5" s="1"/>
  <c r="E220" i="5"/>
  <c r="F220" i="5" s="1"/>
  <c r="E228" i="5"/>
  <c r="F228" i="5" s="1"/>
  <c r="E236" i="5"/>
  <c r="F236" i="5" s="1"/>
  <c r="E244" i="5"/>
  <c r="F244" i="5" s="1"/>
  <c r="E252" i="5"/>
  <c r="F252" i="5" s="1"/>
  <c r="E260" i="5"/>
  <c r="F260" i="5" s="1"/>
  <c r="E268" i="5"/>
  <c r="F268" i="5" s="1"/>
  <c r="E276" i="5"/>
  <c r="F276" i="5" s="1"/>
  <c r="E284" i="5"/>
  <c r="F284" i="5" s="1"/>
  <c r="E292" i="5"/>
  <c r="F292" i="5" s="1"/>
  <c r="E300" i="5"/>
  <c r="F300" i="5" s="1"/>
  <c r="E308" i="5"/>
  <c r="F308" i="5" s="1"/>
  <c r="E316" i="5"/>
  <c r="F316" i="5" s="1"/>
  <c r="E324" i="5"/>
  <c r="F324" i="5" s="1"/>
  <c r="E332" i="5"/>
  <c r="F332" i="5" s="1"/>
  <c r="E340" i="5"/>
  <c r="F340" i="5" s="1"/>
  <c r="E348" i="5"/>
  <c r="F348" i="5" s="1"/>
  <c r="E356" i="5"/>
  <c r="F356" i="5" s="1"/>
  <c r="E364" i="5"/>
  <c r="F364" i="5" s="1"/>
  <c r="E372" i="5"/>
  <c r="F372" i="5" s="1"/>
  <c r="E380" i="5"/>
  <c r="F380" i="5" s="1"/>
  <c r="E388" i="5"/>
  <c r="F388" i="5" s="1"/>
  <c r="E396" i="5"/>
  <c r="F396" i="5" s="1"/>
  <c r="E404" i="5"/>
  <c r="F404" i="5" s="1"/>
  <c r="E412" i="5"/>
  <c r="F412" i="5" s="1"/>
  <c r="E420" i="5"/>
  <c r="F420" i="5" s="1"/>
  <c r="E428" i="5"/>
  <c r="F428" i="5" s="1"/>
  <c r="E436" i="5"/>
  <c r="F436" i="5" s="1"/>
  <c r="E444" i="5"/>
  <c r="F444" i="5" s="1"/>
  <c r="E452" i="5"/>
  <c r="F452" i="5" s="1"/>
  <c r="E460" i="5"/>
  <c r="F460" i="5" s="1"/>
  <c r="E5" i="5"/>
  <c r="F5" i="5" s="1"/>
  <c r="E21" i="5"/>
  <c r="F21" i="5" s="1"/>
  <c r="E37" i="5"/>
  <c r="F37" i="5" s="1"/>
  <c r="E53" i="5"/>
  <c r="F53" i="5" s="1"/>
  <c r="E69" i="5"/>
  <c r="F69" i="5" s="1"/>
  <c r="E85" i="5"/>
  <c r="F85" i="5" s="1"/>
  <c r="E101" i="5"/>
  <c r="F101" i="5" s="1"/>
  <c r="E117" i="5"/>
  <c r="F117" i="5" s="1"/>
  <c r="E133" i="5"/>
  <c r="F133" i="5" s="1"/>
  <c r="E149" i="5"/>
  <c r="F149" i="5" s="1"/>
  <c r="E165" i="5"/>
  <c r="F165" i="5" s="1"/>
  <c r="E181" i="5"/>
  <c r="F181" i="5" s="1"/>
  <c r="E197" i="5"/>
  <c r="F197" i="5" s="1"/>
  <c r="E205" i="5"/>
  <c r="F205" i="5" s="1"/>
  <c r="E213" i="5"/>
  <c r="F213" i="5" s="1"/>
  <c r="E221" i="5"/>
  <c r="F221" i="5" s="1"/>
  <c r="E229" i="5"/>
  <c r="F229" i="5" s="1"/>
  <c r="E237" i="5"/>
  <c r="F237" i="5" s="1"/>
  <c r="E245" i="5"/>
  <c r="F245" i="5" s="1"/>
  <c r="E253" i="5"/>
  <c r="F253" i="5" s="1"/>
  <c r="E261" i="5"/>
  <c r="F261" i="5" s="1"/>
  <c r="E269" i="5"/>
  <c r="F269" i="5" s="1"/>
  <c r="E277" i="5"/>
  <c r="F277" i="5" s="1"/>
  <c r="E285" i="5"/>
  <c r="F285" i="5" s="1"/>
  <c r="E293" i="5"/>
  <c r="F293" i="5" s="1"/>
  <c r="E301" i="5"/>
  <c r="F301" i="5" s="1"/>
  <c r="E309" i="5"/>
  <c r="F309" i="5" s="1"/>
  <c r="E317" i="5"/>
  <c r="F317" i="5" s="1"/>
  <c r="E325" i="5"/>
  <c r="F325" i="5" s="1"/>
  <c r="E333" i="5"/>
  <c r="F333" i="5" s="1"/>
  <c r="E341" i="5"/>
  <c r="F341" i="5" s="1"/>
  <c r="E349" i="5"/>
  <c r="F349" i="5" s="1"/>
  <c r="E357" i="5"/>
  <c r="F357" i="5" s="1"/>
  <c r="E365" i="5"/>
  <c r="F365" i="5" s="1"/>
  <c r="E373" i="5"/>
  <c r="F373" i="5" s="1"/>
  <c r="E381" i="5"/>
  <c r="F381" i="5" s="1"/>
  <c r="E389" i="5"/>
  <c r="F389" i="5" s="1"/>
  <c r="E397" i="5"/>
  <c r="F397" i="5" s="1"/>
  <c r="E405" i="5"/>
  <c r="F405" i="5" s="1"/>
  <c r="E413" i="5"/>
  <c r="F413" i="5" s="1"/>
  <c r="E421" i="5"/>
  <c r="F421" i="5" s="1"/>
  <c r="E429" i="5"/>
  <c r="F429" i="5" s="1"/>
  <c r="E437" i="5"/>
  <c r="F437" i="5" s="1"/>
  <c r="E445" i="5"/>
  <c r="F445" i="5" s="1"/>
  <c r="E453" i="5"/>
  <c r="F453" i="5" s="1"/>
  <c r="E461" i="5"/>
  <c r="F461" i="5" s="1"/>
  <c r="E6" i="5"/>
  <c r="F6" i="5" s="1"/>
  <c r="E22" i="5"/>
  <c r="F22" i="5" s="1"/>
  <c r="E38" i="5"/>
  <c r="F38" i="5" s="1"/>
  <c r="E54" i="5"/>
  <c r="F54" i="5" s="1"/>
  <c r="E70" i="5"/>
  <c r="F70" i="5" s="1"/>
  <c r="E86" i="5"/>
  <c r="F86" i="5" s="1"/>
  <c r="E102" i="5"/>
  <c r="F102" i="5" s="1"/>
  <c r="E118" i="5"/>
  <c r="F118" i="5" s="1"/>
  <c r="E134" i="5"/>
  <c r="F134" i="5" s="1"/>
  <c r="E150" i="5"/>
  <c r="F150" i="5" s="1"/>
  <c r="E166" i="5"/>
  <c r="F166" i="5" s="1"/>
  <c r="E182" i="5"/>
  <c r="F182" i="5" s="1"/>
  <c r="E198" i="5"/>
  <c r="F198" i="5" s="1"/>
  <c r="E206" i="5"/>
  <c r="F206" i="5" s="1"/>
  <c r="E214" i="5"/>
  <c r="F214" i="5" s="1"/>
  <c r="E222" i="5"/>
  <c r="F222" i="5" s="1"/>
  <c r="E230" i="5"/>
  <c r="F230" i="5" s="1"/>
  <c r="E238" i="5"/>
  <c r="F238" i="5" s="1"/>
  <c r="E246" i="5"/>
  <c r="F246" i="5" s="1"/>
  <c r="E254" i="5"/>
  <c r="F254" i="5" s="1"/>
  <c r="E262" i="5"/>
  <c r="F262" i="5" s="1"/>
  <c r="E270" i="5"/>
  <c r="F270" i="5" s="1"/>
  <c r="E278" i="5"/>
  <c r="F278" i="5" s="1"/>
  <c r="E286" i="5"/>
  <c r="F286" i="5" s="1"/>
  <c r="E294" i="5"/>
  <c r="F294" i="5" s="1"/>
  <c r="E302" i="5"/>
  <c r="F302" i="5" s="1"/>
  <c r="E310" i="5"/>
  <c r="F310" i="5" s="1"/>
  <c r="E318" i="5"/>
  <c r="F318" i="5" s="1"/>
  <c r="E326" i="5"/>
  <c r="F326" i="5" s="1"/>
  <c r="E334" i="5"/>
  <c r="F334" i="5" s="1"/>
  <c r="E342" i="5"/>
  <c r="F342" i="5" s="1"/>
  <c r="E350" i="5"/>
  <c r="F350" i="5" s="1"/>
  <c r="E358" i="5"/>
  <c r="F358" i="5" s="1"/>
  <c r="E366" i="5"/>
  <c r="F366" i="5" s="1"/>
  <c r="E374" i="5"/>
  <c r="F374" i="5" s="1"/>
  <c r="E382" i="5"/>
  <c r="F382" i="5" s="1"/>
  <c r="E390" i="5"/>
  <c r="F390" i="5" s="1"/>
  <c r="E398" i="5"/>
  <c r="F398" i="5" s="1"/>
  <c r="E406" i="5"/>
  <c r="F406" i="5" s="1"/>
  <c r="E414" i="5"/>
  <c r="F414" i="5" s="1"/>
  <c r="E422" i="5"/>
  <c r="F422" i="5" s="1"/>
  <c r="E430" i="5"/>
  <c r="F430" i="5" s="1"/>
  <c r="E438" i="5"/>
  <c r="F438" i="5" s="1"/>
  <c r="E446" i="5"/>
  <c r="F446" i="5" s="1"/>
  <c r="E454" i="5"/>
  <c r="F454" i="5" s="1"/>
  <c r="E10" i="5"/>
  <c r="F10" i="5" s="1"/>
  <c r="E26" i="5"/>
  <c r="F26" i="5" s="1"/>
  <c r="E42" i="5"/>
  <c r="F42" i="5" s="1"/>
  <c r="E58" i="5"/>
  <c r="F58" i="5" s="1"/>
  <c r="E74" i="5"/>
  <c r="F74" i="5" s="1"/>
  <c r="E90" i="5"/>
  <c r="F90" i="5" s="1"/>
  <c r="E106" i="5"/>
  <c r="F106" i="5" s="1"/>
  <c r="E122" i="5"/>
  <c r="F122" i="5" s="1"/>
  <c r="E138" i="5"/>
  <c r="F138" i="5" s="1"/>
  <c r="E154" i="5"/>
  <c r="F154" i="5" s="1"/>
  <c r="E170" i="5"/>
  <c r="F170" i="5" s="1"/>
  <c r="E186" i="5"/>
  <c r="F186" i="5" s="1"/>
  <c r="E199" i="5"/>
  <c r="F199" i="5" s="1"/>
  <c r="E207" i="5"/>
  <c r="F207" i="5" s="1"/>
  <c r="E215" i="5"/>
  <c r="F215" i="5" s="1"/>
  <c r="E223" i="5"/>
  <c r="F223" i="5" s="1"/>
  <c r="E231" i="5"/>
  <c r="F231" i="5" s="1"/>
  <c r="E239" i="5"/>
  <c r="F239" i="5" s="1"/>
  <c r="E247" i="5"/>
  <c r="F247" i="5" s="1"/>
  <c r="E255" i="5"/>
  <c r="F255" i="5" s="1"/>
  <c r="E263" i="5"/>
  <c r="F263" i="5" s="1"/>
  <c r="E271" i="5"/>
  <c r="F271" i="5" s="1"/>
  <c r="E279" i="5"/>
  <c r="F279" i="5" s="1"/>
  <c r="E287" i="5"/>
  <c r="F287" i="5" s="1"/>
  <c r="E295" i="5"/>
  <c r="F295" i="5" s="1"/>
  <c r="E303" i="5"/>
  <c r="F303" i="5" s="1"/>
  <c r="E311" i="5"/>
  <c r="F311" i="5" s="1"/>
  <c r="E319" i="5"/>
  <c r="F319" i="5" s="1"/>
  <c r="E327" i="5"/>
  <c r="F327" i="5" s="1"/>
  <c r="E335" i="5"/>
  <c r="F335" i="5" s="1"/>
  <c r="E343" i="5"/>
  <c r="F343" i="5" s="1"/>
  <c r="E351" i="5"/>
  <c r="F351" i="5" s="1"/>
  <c r="E359" i="5"/>
  <c r="F359" i="5" s="1"/>
  <c r="E367" i="5"/>
  <c r="F367" i="5" s="1"/>
  <c r="E375" i="5"/>
  <c r="F375" i="5" s="1"/>
  <c r="E383" i="5"/>
  <c r="F383" i="5" s="1"/>
  <c r="E391" i="5"/>
  <c r="F391" i="5" s="1"/>
  <c r="E399" i="5"/>
  <c r="F399" i="5" s="1"/>
  <c r="E407" i="5"/>
  <c r="F407" i="5" s="1"/>
  <c r="E415" i="5"/>
  <c r="F415" i="5" s="1"/>
  <c r="E423" i="5"/>
  <c r="F423" i="5" s="1"/>
  <c r="E431" i="5"/>
  <c r="F431" i="5" s="1"/>
  <c r="E439" i="5"/>
  <c r="F439" i="5" s="1"/>
  <c r="E447" i="5"/>
  <c r="F447" i="5" s="1"/>
  <c r="E455" i="5"/>
  <c r="F455" i="5" s="1"/>
  <c r="E449" i="5"/>
  <c r="F449" i="5" s="1"/>
  <c r="E426" i="5"/>
  <c r="F426" i="5" s="1"/>
  <c r="E408" i="5"/>
  <c r="F408" i="5" s="1"/>
  <c r="E385" i="5"/>
  <c r="F385" i="5" s="1"/>
  <c r="E362" i="5"/>
  <c r="F362" i="5" s="1"/>
  <c r="E344" i="5"/>
  <c r="F344" i="5" s="1"/>
  <c r="E321" i="5"/>
  <c r="F321" i="5" s="1"/>
  <c r="E298" i="5"/>
  <c r="F298" i="5" s="1"/>
  <c r="E280" i="5"/>
  <c r="F280" i="5" s="1"/>
  <c r="E257" i="5"/>
  <c r="F257" i="5" s="1"/>
  <c r="E234" i="5"/>
  <c r="F234" i="5" s="1"/>
  <c r="E216" i="5"/>
  <c r="F216" i="5" s="1"/>
  <c r="E189" i="5"/>
  <c r="F189" i="5" s="1"/>
  <c r="E142" i="5"/>
  <c r="F142" i="5" s="1"/>
  <c r="E107" i="5"/>
  <c r="F107" i="5" s="1"/>
  <c r="E61" i="5"/>
  <c r="F61" i="5" s="1"/>
  <c r="E14" i="5"/>
  <c r="F14" i="5" s="1"/>
  <c r="E448" i="5"/>
  <c r="F448" i="5" s="1"/>
  <c r="E425" i="5"/>
  <c r="F425" i="5" s="1"/>
  <c r="E402" i="5"/>
  <c r="F402" i="5" s="1"/>
  <c r="E384" i="5"/>
  <c r="F384" i="5" s="1"/>
  <c r="E361" i="5"/>
  <c r="F361" i="5" s="1"/>
  <c r="E338" i="5"/>
  <c r="F338" i="5" s="1"/>
  <c r="E320" i="5"/>
  <c r="F320" i="5" s="1"/>
  <c r="E297" i="5"/>
  <c r="F297" i="5" s="1"/>
  <c r="E274" i="5"/>
  <c r="F274" i="5" s="1"/>
  <c r="E256" i="5"/>
  <c r="F256" i="5" s="1"/>
  <c r="E233" i="5"/>
  <c r="F233" i="5" s="1"/>
  <c r="E210" i="5"/>
  <c r="F210" i="5" s="1"/>
  <c r="E187" i="5"/>
  <c r="F187" i="5" s="1"/>
  <c r="E141" i="5"/>
  <c r="F141" i="5" s="1"/>
  <c r="E94" i="5"/>
  <c r="F94" i="5" s="1"/>
  <c r="E59" i="5"/>
  <c r="F59" i="5" s="1"/>
  <c r="E13" i="5"/>
  <c r="F13" i="5" s="1"/>
  <c r="E442" i="5"/>
  <c r="F442" i="5" s="1"/>
  <c r="E424" i="5"/>
  <c r="F424" i="5" s="1"/>
  <c r="E401" i="5"/>
  <c r="F401" i="5" s="1"/>
  <c r="E378" i="5"/>
  <c r="F378" i="5" s="1"/>
  <c r="E360" i="5"/>
  <c r="F360" i="5" s="1"/>
  <c r="E337" i="5"/>
  <c r="F337" i="5" s="1"/>
  <c r="E314" i="5"/>
  <c r="F314" i="5" s="1"/>
  <c r="E296" i="5"/>
  <c r="F296" i="5" s="1"/>
  <c r="E273" i="5"/>
  <c r="F273" i="5" s="1"/>
  <c r="E250" i="5"/>
  <c r="F250" i="5" s="1"/>
  <c r="E232" i="5"/>
  <c r="F232" i="5" s="1"/>
  <c r="E209" i="5"/>
  <c r="F209" i="5" s="1"/>
  <c r="E174" i="5"/>
  <c r="F174" i="5" s="1"/>
  <c r="E139" i="5"/>
  <c r="F139" i="5" s="1"/>
  <c r="E93" i="5"/>
  <c r="F93" i="5" s="1"/>
  <c r="E46" i="5"/>
  <c r="F46" i="5" s="1"/>
  <c r="E11" i="5"/>
  <c r="F11" i="5" s="1"/>
  <c r="E458" i="5"/>
  <c r="F458" i="5" s="1"/>
  <c r="E440" i="5"/>
  <c r="F440" i="5" s="1"/>
  <c r="E417" i="5"/>
  <c r="F417" i="5" s="1"/>
  <c r="E394" i="5"/>
  <c r="F394" i="5" s="1"/>
  <c r="E376" i="5"/>
  <c r="F376" i="5" s="1"/>
  <c r="E353" i="5"/>
  <c r="F353" i="5" s="1"/>
  <c r="E330" i="5"/>
  <c r="F330" i="5" s="1"/>
  <c r="E312" i="5"/>
  <c r="F312" i="5" s="1"/>
  <c r="E289" i="5"/>
  <c r="F289" i="5" s="1"/>
  <c r="E266" i="5"/>
  <c r="F266" i="5" s="1"/>
  <c r="E248" i="5"/>
  <c r="F248" i="5" s="1"/>
  <c r="E225" i="5"/>
  <c r="F225" i="5" s="1"/>
  <c r="E202" i="5"/>
  <c r="F202" i="5" s="1"/>
  <c r="E171" i="5"/>
  <c r="F171" i="5" s="1"/>
  <c r="E125" i="5"/>
  <c r="F125" i="5" s="1"/>
  <c r="E78" i="5"/>
  <c r="F78" i="5" s="1"/>
  <c r="E43" i="5"/>
  <c r="F43" i="5" s="1"/>
  <c r="E317" i="4" l="1"/>
  <c r="F317" i="4" s="1"/>
  <c r="E61" i="4"/>
  <c r="F61" i="4" s="1"/>
  <c r="E436" i="4"/>
  <c r="F436" i="4" s="1"/>
  <c r="E672" i="4"/>
  <c r="F672" i="4" s="1"/>
  <c r="E696" i="4"/>
  <c r="F696" i="4" s="1"/>
  <c r="E704" i="4"/>
  <c r="F704" i="4" s="1"/>
  <c r="E632" i="4"/>
  <c r="F632" i="4" s="1"/>
  <c r="E688" i="4"/>
  <c r="F688" i="4" s="1"/>
  <c r="E60" i="4"/>
  <c r="F60" i="4" s="1"/>
  <c r="E124" i="4"/>
  <c r="F124" i="4" s="1"/>
  <c r="E188" i="4"/>
  <c r="F188" i="4" s="1"/>
  <c r="E252" i="4"/>
  <c r="F252" i="4" s="1"/>
  <c r="E316" i="4"/>
  <c r="F316" i="4" s="1"/>
  <c r="E380" i="4"/>
  <c r="F380" i="4" s="1"/>
  <c r="E444" i="4"/>
  <c r="F444" i="4" s="1"/>
  <c r="E21" i="4"/>
  <c r="F21" i="4" s="1"/>
  <c r="E85" i="4"/>
  <c r="F85" i="4" s="1"/>
  <c r="E149" i="4"/>
  <c r="F149" i="4" s="1"/>
  <c r="E213" i="4"/>
  <c r="F213" i="4" s="1"/>
  <c r="E277" i="4"/>
  <c r="F277" i="4" s="1"/>
  <c r="E341" i="4"/>
  <c r="F341" i="4" s="1"/>
  <c r="E54" i="4"/>
  <c r="F54" i="4" s="1"/>
  <c r="E118" i="4"/>
  <c r="F118" i="4" s="1"/>
  <c r="E182" i="4"/>
  <c r="F182" i="4" s="1"/>
  <c r="E246" i="4"/>
  <c r="F246" i="4" s="1"/>
  <c r="E310" i="4"/>
  <c r="F310" i="4" s="1"/>
  <c r="E374" i="4"/>
  <c r="F374" i="4" s="1"/>
  <c r="E438" i="4"/>
  <c r="F438" i="4" s="1"/>
  <c r="E15" i="4"/>
  <c r="F15" i="4" s="1"/>
  <c r="E79" i="4"/>
  <c r="F79" i="4" s="1"/>
  <c r="E143" i="4"/>
  <c r="F143" i="4" s="1"/>
  <c r="E207" i="4"/>
  <c r="F207" i="4" s="1"/>
  <c r="E271" i="4"/>
  <c r="F271" i="4" s="1"/>
  <c r="E335" i="4"/>
  <c r="F335" i="4" s="1"/>
  <c r="E399" i="4"/>
  <c r="F399" i="4" s="1"/>
  <c r="E463" i="4"/>
  <c r="F463" i="4" s="1"/>
  <c r="E41" i="4"/>
  <c r="F41" i="4" s="1"/>
  <c r="E105" i="4"/>
  <c r="F105" i="4" s="1"/>
  <c r="E169" i="4"/>
  <c r="F169" i="4" s="1"/>
  <c r="E233" i="4"/>
  <c r="F233" i="4" s="1"/>
  <c r="E297" i="4"/>
  <c r="F297" i="4" s="1"/>
  <c r="E361" i="4"/>
  <c r="F361" i="4" s="1"/>
  <c r="E425" i="4"/>
  <c r="F425" i="4" s="1"/>
  <c r="E489" i="4"/>
  <c r="F489" i="4" s="1"/>
  <c r="E66" i="4"/>
  <c r="F66" i="4" s="1"/>
  <c r="E130" i="4"/>
  <c r="F130" i="4" s="1"/>
  <c r="E194" i="4"/>
  <c r="F194" i="4" s="1"/>
  <c r="E112" i="4"/>
  <c r="F112" i="4" s="1"/>
  <c r="E328" i="4"/>
  <c r="F328" i="4" s="1"/>
  <c r="E464" i="4"/>
  <c r="F464" i="4" s="1"/>
  <c r="E545" i="4"/>
  <c r="F545" i="4" s="1"/>
  <c r="E609" i="4"/>
  <c r="F609" i="4" s="1"/>
  <c r="E673" i="4"/>
  <c r="F673" i="4" s="1"/>
  <c r="E459" i="4"/>
  <c r="F459" i="4" s="1"/>
  <c r="E680" i="4"/>
  <c r="F680" i="4" s="1"/>
  <c r="E4" i="4"/>
  <c r="F4" i="4" s="1"/>
  <c r="E68" i="4"/>
  <c r="F68" i="4" s="1"/>
  <c r="E132" i="4"/>
  <c r="F132" i="4" s="1"/>
  <c r="E196" i="4"/>
  <c r="F196" i="4" s="1"/>
  <c r="E260" i="4"/>
  <c r="F260" i="4" s="1"/>
  <c r="E324" i="4"/>
  <c r="F324" i="4" s="1"/>
  <c r="E388" i="4"/>
  <c r="F388" i="4" s="1"/>
  <c r="E452" i="4"/>
  <c r="F452" i="4" s="1"/>
  <c r="E29" i="4"/>
  <c r="F29" i="4" s="1"/>
  <c r="E93" i="4"/>
  <c r="F93" i="4" s="1"/>
  <c r="E157" i="4"/>
  <c r="F157" i="4" s="1"/>
  <c r="E221" i="4"/>
  <c r="F221" i="4" s="1"/>
  <c r="E285" i="4"/>
  <c r="F285" i="4" s="1"/>
  <c r="E349" i="4"/>
  <c r="F349" i="4" s="1"/>
  <c r="E62" i="4"/>
  <c r="F62" i="4" s="1"/>
  <c r="E126" i="4"/>
  <c r="F126" i="4" s="1"/>
  <c r="E190" i="4"/>
  <c r="F190" i="4" s="1"/>
  <c r="E254" i="4"/>
  <c r="F254" i="4" s="1"/>
  <c r="E318" i="4"/>
  <c r="F318" i="4" s="1"/>
  <c r="E382" i="4"/>
  <c r="F382" i="4" s="1"/>
  <c r="E446" i="4"/>
  <c r="F446" i="4" s="1"/>
  <c r="E23" i="4"/>
  <c r="F23" i="4" s="1"/>
  <c r="E87" i="4"/>
  <c r="F87" i="4" s="1"/>
  <c r="E151" i="4"/>
  <c r="F151" i="4" s="1"/>
  <c r="E215" i="4"/>
  <c r="F215" i="4" s="1"/>
  <c r="E279" i="4"/>
  <c r="F279" i="4" s="1"/>
  <c r="E343" i="4"/>
  <c r="F343" i="4" s="1"/>
  <c r="E407" i="4"/>
  <c r="F407" i="4" s="1"/>
  <c r="E471" i="4"/>
  <c r="F471" i="4" s="1"/>
  <c r="E49" i="4"/>
  <c r="F49" i="4" s="1"/>
  <c r="E113" i="4"/>
  <c r="F113" i="4" s="1"/>
  <c r="E177" i="4"/>
  <c r="F177" i="4" s="1"/>
  <c r="E241" i="4"/>
  <c r="F241" i="4" s="1"/>
  <c r="E305" i="4"/>
  <c r="F305" i="4" s="1"/>
  <c r="E369" i="4"/>
  <c r="F369" i="4" s="1"/>
  <c r="E433" i="4"/>
  <c r="F433" i="4" s="1"/>
  <c r="E497" i="4"/>
  <c r="F497" i="4" s="1"/>
  <c r="E10" i="4"/>
  <c r="F10" i="4" s="1"/>
  <c r="E74" i="4"/>
  <c r="F74" i="4" s="1"/>
  <c r="E138" i="4"/>
  <c r="F138" i="4" s="1"/>
  <c r="E202" i="4"/>
  <c r="F202" i="4" s="1"/>
  <c r="E144" i="4"/>
  <c r="F144" i="4" s="1"/>
  <c r="E347" i="4"/>
  <c r="F347" i="4" s="1"/>
  <c r="E480" i="4"/>
  <c r="F480" i="4" s="1"/>
  <c r="E553" i="4"/>
  <c r="F553" i="4" s="1"/>
  <c r="E617" i="4"/>
  <c r="F617" i="4" s="1"/>
  <c r="E681" i="4"/>
  <c r="F681" i="4" s="1"/>
  <c r="E519" i="4"/>
  <c r="F519" i="4" s="1"/>
  <c r="E323" i="4"/>
  <c r="F323" i="4" s="1"/>
  <c r="E115" i="4"/>
  <c r="F115" i="4" s="1"/>
  <c r="E330" i="4"/>
  <c r="F330" i="4" s="1"/>
  <c r="E466" i="4"/>
  <c r="F466" i="4" s="1"/>
  <c r="E546" i="4"/>
  <c r="F546" i="4" s="1"/>
  <c r="E610" i="4"/>
  <c r="F610" i="4" s="1"/>
  <c r="E674" i="4"/>
  <c r="F674" i="4" s="1"/>
  <c r="E8" i="4"/>
  <c r="F8" i="4" s="1"/>
  <c r="E491" i="4"/>
  <c r="F491" i="4" s="1"/>
  <c r="E43" i="4"/>
  <c r="F43" i="4" s="1"/>
  <c r="E536" i="4"/>
  <c r="F536" i="4" s="1"/>
  <c r="E248" i="4"/>
  <c r="F248" i="4" s="1"/>
  <c r="E403" i="4"/>
  <c r="F403" i="4" s="1"/>
  <c r="E515" i="4"/>
  <c r="F515" i="4" s="1"/>
  <c r="E579" i="4"/>
  <c r="F579" i="4" s="1"/>
  <c r="E643" i="4"/>
  <c r="F643" i="4" s="1"/>
  <c r="E707" i="4"/>
  <c r="F707" i="4" s="1"/>
  <c r="E2" i="4"/>
  <c r="F2" i="4" s="1"/>
  <c r="E12" i="4"/>
  <c r="F12" i="4" s="1"/>
  <c r="E76" i="4"/>
  <c r="F76" i="4" s="1"/>
  <c r="E140" i="4"/>
  <c r="F140" i="4" s="1"/>
  <c r="E204" i="4"/>
  <c r="F204" i="4" s="1"/>
  <c r="E268" i="4"/>
  <c r="F268" i="4" s="1"/>
  <c r="E332" i="4"/>
  <c r="F332" i="4" s="1"/>
  <c r="E396" i="4"/>
  <c r="F396" i="4" s="1"/>
  <c r="E460" i="4"/>
  <c r="F460" i="4" s="1"/>
  <c r="E37" i="4"/>
  <c r="F37" i="4" s="1"/>
  <c r="E101" i="4"/>
  <c r="F101" i="4" s="1"/>
  <c r="E165" i="4"/>
  <c r="F165" i="4" s="1"/>
  <c r="E229" i="4"/>
  <c r="F229" i="4" s="1"/>
  <c r="E293" i="4"/>
  <c r="F293" i="4" s="1"/>
  <c r="E357" i="4"/>
  <c r="F357" i="4" s="1"/>
  <c r="E6" i="4"/>
  <c r="F6" i="4" s="1"/>
  <c r="E70" i="4"/>
  <c r="F70" i="4" s="1"/>
  <c r="E134" i="4"/>
  <c r="F134" i="4" s="1"/>
  <c r="E198" i="4"/>
  <c r="F198" i="4" s="1"/>
  <c r="E262" i="4"/>
  <c r="F262" i="4" s="1"/>
  <c r="E326" i="4"/>
  <c r="F326" i="4" s="1"/>
  <c r="E390" i="4"/>
  <c r="F390" i="4" s="1"/>
  <c r="E454" i="4"/>
  <c r="F454" i="4" s="1"/>
  <c r="E31" i="4"/>
  <c r="F31" i="4" s="1"/>
  <c r="E95" i="4"/>
  <c r="F95" i="4" s="1"/>
  <c r="E159" i="4"/>
  <c r="F159" i="4" s="1"/>
  <c r="E223" i="4"/>
  <c r="F223" i="4" s="1"/>
  <c r="E287" i="4"/>
  <c r="F287" i="4" s="1"/>
  <c r="E351" i="4"/>
  <c r="F351" i="4" s="1"/>
  <c r="E415" i="4"/>
  <c r="F415" i="4" s="1"/>
  <c r="E479" i="4"/>
  <c r="F479" i="4" s="1"/>
  <c r="E57" i="4"/>
  <c r="F57" i="4" s="1"/>
  <c r="E121" i="4"/>
  <c r="F121" i="4" s="1"/>
  <c r="E185" i="4"/>
  <c r="F185" i="4" s="1"/>
  <c r="E249" i="4"/>
  <c r="F249" i="4" s="1"/>
  <c r="E313" i="4"/>
  <c r="F313" i="4" s="1"/>
  <c r="E377" i="4"/>
  <c r="F377" i="4" s="1"/>
  <c r="E441" i="4"/>
  <c r="F441" i="4" s="1"/>
  <c r="E18" i="4"/>
  <c r="F18" i="4" s="1"/>
  <c r="E82" i="4"/>
  <c r="F82" i="4" s="1"/>
  <c r="E146" i="4"/>
  <c r="F146" i="4" s="1"/>
  <c r="E210" i="4"/>
  <c r="F210" i="4" s="1"/>
  <c r="E176" i="4"/>
  <c r="F176" i="4" s="1"/>
  <c r="E368" i="4"/>
  <c r="F368" i="4" s="1"/>
  <c r="E496" i="4"/>
  <c r="F496" i="4" s="1"/>
  <c r="E561" i="4"/>
  <c r="F561" i="4" s="1"/>
  <c r="E625" i="4"/>
  <c r="F625" i="4" s="1"/>
  <c r="E689" i="4"/>
  <c r="F689" i="4" s="1"/>
  <c r="E543" i="4"/>
  <c r="F543" i="4" s="1"/>
  <c r="E413" i="4"/>
  <c r="F413" i="4" s="1"/>
  <c r="E147" i="4"/>
  <c r="F147" i="4" s="1"/>
  <c r="E352" i="4"/>
  <c r="F352" i="4" s="1"/>
  <c r="E482" i="4"/>
  <c r="F482" i="4" s="1"/>
  <c r="E20" i="4"/>
  <c r="F20" i="4" s="1"/>
  <c r="E84" i="4"/>
  <c r="F84" i="4" s="1"/>
  <c r="E148" i="4"/>
  <c r="F148" i="4" s="1"/>
  <c r="E212" i="4"/>
  <c r="F212" i="4" s="1"/>
  <c r="E276" i="4"/>
  <c r="F276" i="4" s="1"/>
  <c r="E340" i="4"/>
  <c r="F340" i="4" s="1"/>
  <c r="E404" i="4"/>
  <c r="F404" i="4" s="1"/>
  <c r="E468" i="4"/>
  <c r="F468" i="4" s="1"/>
  <c r="E45" i="4"/>
  <c r="F45" i="4" s="1"/>
  <c r="E109" i="4"/>
  <c r="F109" i="4" s="1"/>
  <c r="E173" i="4"/>
  <c r="F173" i="4" s="1"/>
  <c r="E237" i="4"/>
  <c r="F237" i="4" s="1"/>
  <c r="E301" i="4"/>
  <c r="F301" i="4" s="1"/>
  <c r="E14" i="4"/>
  <c r="F14" i="4" s="1"/>
  <c r="E78" i="4"/>
  <c r="F78" i="4" s="1"/>
  <c r="E142" i="4"/>
  <c r="F142" i="4" s="1"/>
  <c r="E206" i="4"/>
  <c r="F206" i="4" s="1"/>
  <c r="E270" i="4"/>
  <c r="F270" i="4" s="1"/>
  <c r="E334" i="4"/>
  <c r="F334" i="4" s="1"/>
  <c r="E398" i="4"/>
  <c r="F398" i="4" s="1"/>
  <c r="E462" i="4"/>
  <c r="F462" i="4" s="1"/>
  <c r="E39" i="4"/>
  <c r="F39" i="4" s="1"/>
  <c r="E103" i="4"/>
  <c r="F103" i="4" s="1"/>
  <c r="E167" i="4"/>
  <c r="F167" i="4" s="1"/>
  <c r="E231" i="4"/>
  <c r="F231" i="4" s="1"/>
  <c r="E295" i="4"/>
  <c r="F295" i="4" s="1"/>
  <c r="E359" i="4"/>
  <c r="F359" i="4" s="1"/>
  <c r="E423" i="4"/>
  <c r="F423" i="4" s="1"/>
  <c r="E487" i="4"/>
  <c r="F487" i="4" s="1"/>
  <c r="E65" i="4"/>
  <c r="F65" i="4" s="1"/>
  <c r="E129" i="4"/>
  <c r="F129" i="4" s="1"/>
  <c r="E193" i="4"/>
  <c r="F193" i="4" s="1"/>
  <c r="E257" i="4"/>
  <c r="F257" i="4" s="1"/>
  <c r="E321" i="4"/>
  <c r="F321" i="4" s="1"/>
  <c r="E385" i="4"/>
  <c r="F385" i="4" s="1"/>
  <c r="E449" i="4"/>
  <c r="F449" i="4" s="1"/>
  <c r="E26" i="4"/>
  <c r="F26" i="4" s="1"/>
  <c r="E90" i="4"/>
  <c r="F90" i="4" s="1"/>
  <c r="E154" i="4"/>
  <c r="F154" i="4" s="1"/>
  <c r="E218" i="4"/>
  <c r="F218" i="4" s="1"/>
  <c r="E208" i="4"/>
  <c r="F208" i="4" s="1"/>
  <c r="E384" i="4"/>
  <c r="F384" i="4" s="1"/>
  <c r="E505" i="4"/>
  <c r="F505" i="4" s="1"/>
  <c r="E569" i="4"/>
  <c r="F569" i="4" s="1"/>
  <c r="E633" i="4"/>
  <c r="F633" i="4" s="1"/>
  <c r="E697" i="4"/>
  <c r="F697" i="4" s="1"/>
  <c r="E583" i="4"/>
  <c r="F583" i="4" s="1"/>
  <c r="E493" i="4"/>
  <c r="F493" i="4" s="1"/>
  <c r="E179" i="4"/>
  <c r="F179" i="4" s="1"/>
  <c r="E370" i="4"/>
  <c r="F370" i="4" s="1"/>
  <c r="E498" i="4"/>
  <c r="F498" i="4" s="1"/>
  <c r="E562" i="4"/>
  <c r="F562" i="4" s="1"/>
  <c r="E626" i="4"/>
  <c r="F626" i="4" s="1"/>
  <c r="E690" i="4"/>
  <c r="F690" i="4" s="1"/>
  <c r="E168" i="4"/>
  <c r="F168" i="4" s="1"/>
  <c r="E559" i="4"/>
  <c r="F559" i="4" s="1"/>
  <c r="E203" i="4"/>
  <c r="F203" i="4" s="1"/>
  <c r="E600" i="4"/>
  <c r="F600" i="4" s="1"/>
  <c r="E56" i="4"/>
  <c r="F56" i="4" s="1"/>
  <c r="E28" i="4"/>
  <c r="F28" i="4" s="1"/>
  <c r="E92" i="4"/>
  <c r="F92" i="4" s="1"/>
  <c r="E156" i="4"/>
  <c r="F156" i="4" s="1"/>
  <c r="E220" i="4"/>
  <c r="F220" i="4" s="1"/>
  <c r="E284" i="4"/>
  <c r="F284" i="4" s="1"/>
  <c r="E348" i="4"/>
  <c r="F348" i="4" s="1"/>
  <c r="E412" i="4"/>
  <c r="F412" i="4" s="1"/>
  <c r="E476" i="4"/>
  <c r="F476" i="4" s="1"/>
  <c r="E53" i="4"/>
  <c r="F53" i="4" s="1"/>
  <c r="E117" i="4"/>
  <c r="F117" i="4" s="1"/>
  <c r="E181" i="4"/>
  <c r="F181" i="4" s="1"/>
  <c r="E245" i="4"/>
  <c r="F245" i="4" s="1"/>
  <c r="E309" i="4"/>
  <c r="F309" i="4" s="1"/>
  <c r="E22" i="4"/>
  <c r="F22" i="4" s="1"/>
  <c r="E86" i="4"/>
  <c r="F86" i="4" s="1"/>
  <c r="E150" i="4"/>
  <c r="F150" i="4" s="1"/>
  <c r="E214" i="4"/>
  <c r="F214" i="4" s="1"/>
  <c r="E278" i="4"/>
  <c r="F278" i="4" s="1"/>
  <c r="E342" i="4"/>
  <c r="F342" i="4" s="1"/>
  <c r="E406" i="4"/>
  <c r="F406" i="4" s="1"/>
  <c r="E470" i="4"/>
  <c r="F470" i="4" s="1"/>
  <c r="E47" i="4"/>
  <c r="F47" i="4" s="1"/>
  <c r="E111" i="4"/>
  <c r="F111" i="4" s="1"/>
  <c r="E175" i="4"/>
  <c r="F175" i="4" s="1"/>
  <c r="E239" i="4"/>
  <c r="F239" i="4" s="1"/>
  <c r="E303" i="4"/>
  <c r="F303" i="4" s="1"/>
  <c r="E367" i="4"/>
  <c r="F367" i="4" s="1"/>
  <c r="E431" i="4"/>
  <c r="F431" i="4" s="1"/>
  <c r="E495" i="4"/>
  <c r="F495" i="4" s="1"/>
  <c r="E9" i="4"/>
  <c r="F9" i="4" s="1"/>
  <c r="E73" i="4"/>
  <c r="F73" i="4" s="1"/>
  <c r="E137" i="4"/>
  <c r="F137" i="4" s="1"/>
  <c r="E201" i="4"/>
  <c r="F201" i="4" s="1"/>
  <c r="E265" i="4"/>
  <c r="F265" i="4" s="1"/>
  <c r="E329" i="4"/>
  <c r="F329" i="4" s="1"/>
  <c r="E393" i="4"/>
  <c r="F393" i="4" s="1"/>
  <c r="E457" i="4"/>
  <c r="F457" i="4" s="1"/>
  <c r="E34" i="4"/>
  <c r="F34" i="4" s="1"/>
  <c r="E98" i="4"/>
  <c r="F98" i="4" s="1"/>
  <c r="E162" i="4"/>
  <c r="F162" i="4" s="1"/>
  <c r="E226" i="4"/>
  <c r="F226" i="4" s="1"/>
  <c r="E240" i="4"/>
  <c r="F240" i="4" s="1"/>
  <c r="E400" i="4"/>
  <c r="F400" i="4" s="1"/>
  <c r="E513" i="4"/>
  <c r="F513" i="4" s="1"/>
  <c r="E577" i="4"/>
  <c r="F577" i="4" s="1"/>
  <c r="E641" i="4"/>
  <c r="F641" i="4" s="1"/>
  <c r="E705" i="4"/>
  <c r="F705" i="4" s="1"/>
  <c r="E36" i="4"/>
  <c r="F36" i="4" s="1"/>
  <c r="E100" i="4"/>
  <c r="F100" i="4" s="1"/>
  <c r="E164" i="4"/>
  <c r="F164" i="4" s="1"/>
  <c r="E228" i="4"/>
  <c r="F228" i="4" s="1"/>
  <c r="E292" i="4"/>
  <c r="F292" i="4" s="1"/>
  <c r="E356" i="4"/>
  <c r="F356" i="4" s="1"/>
  <c r="E420" i="4"/>
  <c r="F420" i="4" s="1"/>
  <c r="E44" i="4"/>
  <c r="F44" i="4" s="1"/>
  <c r="E108" i="4"/>
  <c r="F108" i="4" s="1"/>
  <c r="E172" i="4"/>
  <c r="F172" i="4" s="1"/>
  <c r="E236" i="4"/>
  <c r="F236" i="4" s="1"/>
  <c r="E300" i="4"/>
  <c r="F300" i="4" s="1"/>
  <c r="E364" i="4"/>
  <c r="F364" i="4" s="1"/>
  <c r="E428" i="4"/>
  <c r="F428" i="4" s="1"/>
  <c r="E492" i="4"/>
  <c r="F492" i="4" s="1"/>
  <c r="E5" i="4"/>
  <c r="F5" i="4" s="1"/>
  <c r="E69" i="4"/>
  <c r="F69" i="4" s="1"/>
  <c r="E133" i="4"/>
  <c r="F133" i="4" s="1"/>
  <c r="E197" i="4"/>
  <c r="F197" i="4" s="1"/>
  <c r="E261" i="4"/>
  <c r="F261" i="4" s="1"/>
  <c r="E325" i="4"/>
  <c r="F325" i="4" s="1"/>
  <c r="E38" i="4"/>
  <c r="F38" i="4" s="1"/>
  <c r="E102" i="4"/>
  <c r="F102" i="4" s="1"/>
  <c r="E166" i="4"/>
  <c r="F166" i="4" s="1"/>
  <c r="E230" i="4"/>
  <c r="F230" i="4" s="1"/>
  <c r="E294" i="4"/>
  <c r="F294" i="4" s="1"/>
  <c r="E358" i="4"/>
  <c r="F358" i="4" s="1"/>
  <c r="E422" i="4"/>
  <c r="F422" i="4" s="1"/>
  <c r="E486" i="4"/>
  <c r="F486" i="4" s="1"/>
  <c r="E63" i="4"/>
  <c r="F63" i="4" s="1"/>
  <c r="E127" i="4"/>
  <c r="F127" i="4" s="1"/>
  <c r="E191" i="4"/>
  <c r="F191" i="4" s="1"/>
  <c r="E255" i="4"/>
  <c r="F255" i="4" s="1"/>
  <c r="E319" i="4"/>
  <c r="F319" i="4" s="1"/>
  <c r="E383" i="4"/>
  <c r="F383" i="4" s="1"/>
  <c r="E447" i="4"/>
  <c r="F447" i="4" s="1"/>
  <c r="E25" i="4"/>
  <c r="F25" i="4" s="1"/>
  <c r="E89" i="4"/>
  <c r="F89" i="4" s="1"/>
  <c r="E153" i="4"/>
  <c r="F153" i="4" s="1"/>
  <c r="E217" i="4"/>
  <c r="F217" i="4" s="1"/>
  <c r="E281" i="4"/>
  <c r="F281" i="4" s="1"/>
  <c r="E345" i="4"/>
  <c r="F345" i="4" s="1"/>
  <c r="E409" i="4"/>
  <c r="F409" i="4" s="1"/>
  <c r="E473" i="4"/>
  <c r="F473" i="4" s="1"/>
  <c r="E50" i="4"/>
  <c r="F50" i="4" s="1"/>
  <c r="E114" i="4"/>
  <c r="F114" i="4" s="1"/>
  <c r="E178" i="4"/>
  <c r="F178" i="4" s="1"/>
  <c r="E242" i="4"/>
  <c r="F242" i="4" s="1"/>
  <c r="E48" i="4"/>
  <c r="F48" i="4" s="1"/>
  <c r="E283" i="4"/>
  <c r="F283" i="4" s="1"/>
  <c r="E432" i="4"/>
  <c r="F432" i="4" s="1"/>
  <c r="E529" i="4"/>
  <c r="F529" i="4" s="1"/>
  <c r="E593" i="4"/>
  <c r="F593" i="4" s="1"/>
  <c r="E27" i="5"/>
  <c r="F27" i="5" s="1"/>
  <c r="E400" i="5"/>
  <c r="F400" i="5" s="1"/>
  <c r="E418" i="5"/>
  <c r="F418" i="5" s="1"/>
  <c r="E457" i="5"/>
  <c r="F457" i="5" s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</calcChain>
</file>

<file path=xl/sharedStrings.xml><?xml version="1.0" encoding="utf-8"?>
<sst xmlns="http://schemas.openxmlformats.org/spreadsheetml/2006/main" count="68" uniqueCount="22">
  <si>
    <t>Tempo(s)</t>
  </si>
  <si>
    <t>Alongamento(mm)</t>
  </si>
  <si>
    <t>Deformação(mm)</t>
  </si>
  <si>
    <t>Força(N)</t>
  </si>
  <si>
    <t>Tensão(Pa)</t>
  </si>
  <si>
    <t>Tensão(Mpa)</t>
  </si>
  <si>
    <t>Unidade</t>
  </si>
  <si>
    <t>Comprimento</t>
  </si>
  <si>
    <t>Largura</t>
  </si>
  <si>
    <t>Espessura</t>
  </si>
  <si>
    <t>mm</t>
  </si>
  <si>
    <t>m</t>
  </si>
  <si>
    <t>Área (m^2)</t>
  </si>
  <si>
    <t>Alongamento (mm/mm)</t>
  </si>
  <si>
    <t>Deformação (mm/mm)</t>
  </si>
  <si>
    <t>Forτa(N)</t>
  </si>
  <si>
    <t>Tensão (Pa)</t>
  </si>
  <si>
    <t>Tensão (MPa)</t>
  </si>
  <si>
    <t>Força (N)</t>
  </si>
  <si>
    <t>Desvio Padrão</t>
  </si>
  <si>
    <t>Média</t>
  </si>
  <si>
    <t>media força maxima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</si>
</sst>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47">
    <dxf>
      <numFmt numFmtId="2" formatCode="0.00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164" formatCode="0.00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164" formatCode="0.0000"/>
      <alignment horizontal="center" vertical="center"/>
    </dxf>
    <dxf>
      <numFmt numFmtId="164" formatCode="0.0000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Tensão x Deformação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'A11-1'!$F$1</c:f>
              <c:strCache>
                <c:ptCount val="1"/>
                <c:pt idx="0">
                  <c:v>Tensão(Mpa)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'A11-1'!$C$2:$C$607</c:f>
              <c:numCache>
                <c:formatCode>0.0000</c:formatCode>
                <c:ptCount val="606"/>
                <c:pt idx="0">
                  <c:v>1.17254E-4</c:v>
                </c:pt>
                <c:pt idx="1">
                  <c:v>1.70948E-2</c:v>
                </c:pt>
                <c:pt idx="2">
                  <c:v>1.7232400000000002E-2</c:v>
                </c:pt>
                <c:pt idx="3">
                  <c:v>1.7372000000000002E-2</c:v>
                </c:pt>
                <c:pt idx="4">
                  <c:v>1.7511600000000002E-2</c:v>
                </c:pt>
                <c:pt idx="5">
                  <c:v>1.7649399999999999E-2</c:v>
                </c:pt>
                <c:pt idx="6">
                  <c:v>1.7788999999999999E-2</c:v>
                </c:pt>
                <c:pt idx="7">
                  <c:v>1.7928599999999999E-2</c:v>
                </c:pt>
                <c:pt idx="8">
                  <c:v>1.8094200000000001E-2</c:v>
                </c:pt>
                <c:pt idx="9">
                  <c:v>1.8233800000000001E-2</c:v>
                </c:pt>
                <c:pt idx="10">
                  <c:v>1.83994E-2</c:v>
                </c:pt>
                <c:pt idx="11">
                  <c:v>1.8565000000000002E-2</c:v>
                </c:pt>
                <c:pt idx="12">
                  <c:v>1.8732599999999999E-2</c:v>
                </c:pt>
                <c:pt idx="13">
                  <c:v>1.89E-2</c:v>
                </c:pt>
                <c:pt idx="14">
                  <c:v>1.9067600000000001E-2</c:v>
                </c:pt>
                <c:pt idx="15">
                  <c:v>1.9233199999999999E-2</c:v>
                </c:pt>
                <c:pt idx="16">
                  <c:v>1.9398800000000001E-2</c:v>
                </c:pt>
                <c:pt idx="17">
                  <c:v>1.9566399999999998E-2</c:v>
                </c:pt>
                <c:pt idx="18">
                  <c:v>1.9733799999999999E-2</c:v>
                </c:pt>
                <c:pt idx="19">
                  <c:v>1.98996E-2</c:v>
                </c:pt>
                <c:pt idx="20">
                  <c:v>2.0066000000000001E-2</c:v>
                </c:pt>
                <c:pt idx="21">
                  <c:v>2.0204E-2</c:v>
                </c:pt>
                <c:pt idx="22">
                  <c:v>2.0316000000000001E-2</c:v>
                </c:pt>
                <c:pt idx="23">
                  <c:v>2.0483999999999999E-2</c:v>
                </c:pt>
                <c:pt idx="24">
                  <c:v>2.0648E-2</c:v>
                </c:pt>
                <c:pt idx="25">
                  <c:v>2.0818E-2</c:v>
                </c:pt>
                <c:pt idx="26">
                  <c:v>2.0981999999999997E-2</c:v>
                </c:pt>
                <c:pt idx="27">
                  <c:v>2.1147999999999997E-2</c:v>
                </c:pt>
                <c:pt idx="28">
                  <c:v>2.1316000000000002E-2</c:v>
                </c:pt>
                <c:pt idx="29">
                  <c:v>2.1482000000000001E-2</c:v>
                </c:pt>
                <c:pt idx="30">
                  <c:v>2.1649999999999999E-2</c:v>
                </c:pt>
                <c:pt idx="31">
                  <c:v>2.1844000000000002E-2</c:v>
                </c:pt>
                <c:pt idx="32">
                  <c:v>2.2038000000000002E-2</c:v>
                </c:pt>
                <c:pt idx="33">
                  <c:v>2.2233999999999997E-2</c:v>
                </c:pt>
                <c:pt idx="34">
                  <c:v>2.2425999999999998E-2</c:v>
                </c:pt>
                <c:pt idx="35">
                  <c:v>2.2622E-2</c:v>
                </c:pt>
                <c:pt idx="36">
                  <c:v>2.2815999999999999E-2</c:v>
                </c:pt>
                <c:pt idx="37">
                  <c:v>2.3010000000000003E-2</c:v>
                </c:pt>
                <c:pt idx="38">
                  <c:v>2.3203999999999999E-2</c:v>
                </c:pt>
                <c:pt idx="39">
                  <c:v>2.3399999999999997E-2</c:v>
                </c:pt>
                <c:pt idx="40">
                  <c:v>2.3595999999999999E-2</c:v>
                </c:pt>
                <c:pt idx="41">
                  <c:v>2.3789999999999999E-2</c:v>
                </c:pt>
                <c:pt idx="42">
                  <c:v>2.3982E-2</c:v>
                </c:pt>
                <c:pt idx="43">
                  <c:v>2.4176000000000003E-2</c:v>
                </c:pt>
                <c:pt idx="44">
                  <c:v>2.4369999999999999E-2</c:v>
                </c:pt>
                <c:pt idx="45">
                  <c:v>2.4565999999999998E-2</c:v>
                </c:pt>
                <c:pt idx="46">
                  <c:v>2.4760000000000001E-2</c:v>
                </c:pt>
                <c:pt idx="47">
                  <c:v>2.4955999999999999E-2</c:v>
                </c:pt>
                <c:pt idx="48">
                  <c:v>2.5150000000000002E-2</c:v>
                </c:pt>
                <c:pt idx="49">
                  <c:v>2.5371999999999999E-2</c:v>
                </c:pt>
                <c:pt idx="50">
                  <c:v>2.5594000000000002E-2</c:v>
                </c:pt>
                <c:pt idx="51">
                  <c:v>2.5814E-2</c:v>
                </c:pt>
                <c:pt idx="52">
                  <c:v>2.6038000000000002E-2</c:v>
                </c:pt>
                <c:pt idx="53">
                  <c:v>2.6259999999999999E-2</c:v>
                </c:pt>
                <c:pt idx="54">
                  <c:v>2.6482000000000002E-2</c:v>
                </c:pt>
                <c:pt idx="55">
                  <c:v>2.6705999999999997E-2</c:v>
                </c:pt>
                <c:pt idx="56">
                  <c:v>2.6928000000000001E-2</c:v>
                </c:pt>
                <c:pt idx="57">
                  <c:v>2.7149999999999997E-2</c:v>
                </c:pt>
                <c:pt idx="58">
                  <c:v>2.7370000000000002E-2</c:v>
                </c:pt>
                <c:pt idx="59">
                  <c:v>2.7593999999999997E-2</c:v>
                </c:pt>
                <c:pt idx="60">
                  <c:v>2.7816E-2</c:v>
                </c:pt>
                <c:pt idx="61">
                  <c:v>2.8037999999999997E-2</c:v>
                </c:pt>
                <c:pt idx="62">
                  <c:v>2.8261999999999999E-2</c:v>
                </c:pt>
                <c:pt idx="63">
                  <c:v>2.8483999999999999E-2</c:v>
                </c:pt>
                <c:pt idx="64">
                  <c:v>2.8704E-2</c:v>
                </c:pt>
                <c:pt idx="65">
                  <c:v>2.8955999999999999E-2</c:v>
                </c:pt>
                <c:pt idx="66">
                  <c:v>2.9205999999999999E-2</c:v>
                </c:pt>
                <c:pt idx="67">
                  <c:v>2.9453999999999998E-2</c:v>
                </c:pt>
                <c:pt idx="68">
                  <c:v>2.9706E-2</c:v>
                </c:pt>
                <c:pt idx="69">
                  <c:v>2.9956E-2</c:v>
                </c:pt>
                <c:pt idx="70">
                  <c:v>3.0206E-2</c:v>
                </c:pt>
                <c:pt idx="71">
                  <c:v>3.0453999999999998E-2</c:v>
                </c:pt>
                <c:pt idx="72">
                  <c:v>3.0706000000000001E-2</c:v>
                </c:pt>
                <c:pt idx="73">
                  <c:v>3.0956000000000001E-2</c:v>
                </c:pt>
                <c:pt idx="74">
                  <c:v>3.1203999999999999E-2</c:v>
                </c:pt>
                <c:pt idx="75">
                  <c:v>3.1455999999999998E-2</c:v>
                </c:pt>
                <c:pt idx="76">
                  <c:v>3.1703999999999996E-2</c:v>
                </c:pt>
                <c:pt idx="77">
                  <c:v>3.1956000000000005E-2</c:v>
                </c:pt>
                <c:pt idx="78">
                  <c:v>3.2205999999999999E-2</c:v>
                </c:pt>
                <c:pt idx="79">
                  <c:v>3.2482000000000004E-2</c:v>
                </c:pt>
                <c:pt idx="80">
                  <c:v>3.2759999999999997E-2</c:v>
                </c:pt>
                <c:pt idx="81">
                  <c:v>3.304E-2</c:v>
                </c:pt>
                <c:pt idx="82">
                  <c:v>3.3315999999999998E-2</c:v>
                </c:pt>
                <c:pt idx="83">
                  <c:v>3.3481999999999998E-2</c:v>
                </c:pt>
                <c:pt idx="84">
                  <c:v>3.3621999999999999E-2</c:v>
                </c:pt>
                <c:pt idx="85">
                  <c:v>3.3787999999999999E-2</c:v>
                </c:pt>
                <c:pt idx="86">
                  <c:v>3.3956E-2</c:v>
                </c:pt>
                <c:pt idx="87">
                  <c:v>3.4203999999999998E-2</c:v>
                </c:pt>
                <c:pt idx="88">
                  <c:v>3.4428E-2</c:v>
                </c:pt>
                <c:pt idx="89">
                  <c:v>3.4651999999999995E-2</c:v>
                </c:pt>
                <c:pt idx="90">
                  <c:v>3.4872E-2</c:v>
                </c:pt>
                <c:pt idx="91">
                  <c:v>3.5150000000000001E-2</c:v>
                </c:pt>
                <c:pt idx="92">
                  <c:v>3.5316E-2</c:v>
                </c:pt>
                <c:pt idx="93">
                  <c:v>3.5566E-2</c:v>
                </c:pt>
                <c:pt idx="94">
                  <c:v>3.5706000000000002E-2</c:v>
                </c:pt>
                <c:pt idx="95">
                  <c:v>3.5954E-2</c:v>
                </c:pt>
                <c:pt idx="96">
                  <c:v>3.6178000000000002E-2</c:v>
                </c:pt>
                <c:pt idx="97">
                  <c:v>3.637E-2</c:v>
                </c:pt>
                <c:pt idx="98">
                  <c:v>3.6538000000000001E-2</c:v>
                </c:pt>
                <c:pt idx="99">
                  <c:v>3.6734000000000003E-2</c:v>
                </c:pt>
                <c:pt idx="100">
                  <c:v>3.6928000000000002E-2</c:v>
                </c:pt>
                <c:pt idx="101">
                  <c:v>3.7092E-2</c:v>
                </c:pt>
                <c:pt idx="102">
                  <c:v>3.7260000000000001E-2</c:v>
                </c:pt>
                <c:pt idx="103">
                  <c:v>3.7427999999999996E-2</c:v>
                </c:pt>
                <c:pt idx="104">
                  <c:v>3.7568000000000004E-2</c:v>
                </c:pt>
                <c:pt idx="105">
                  <c:v>3.7705999999999996E-2</c:v>
                </c:pt>
                <c:pt idx="106">
                  <c:v>3.7871999999999996E-2</c:v>
                </c:pt>
                <c:pt idx="107">
                  <c:v>3.8010000000000002E-2</c:v>
                </c:pt>
                <c:pt idx="108">
                  <c:v>3.8149999999999996E-2</c:v>
                </c:pt>
                <c:pt idx="109">
                  <c:v>3.8290000000000005E-2</c:v>
                </c:pt>
                <c:pt idx="110">
                  <c:v>3.8427999999999997E-2</c:v>
                </c:pt>
                <c:pt idx="111">
                  <c:v>3.8565999999999996E-2</c:v>
                </c:pt>
                <c:pt idx="112">
                  <c:v>3.8732000000000003E-2</c:v>
                </c:pt>
                <c:pt idx="113">
                  <c:v>3.8871999999999997E-2</c:v>
                </c:pt>
                <c:pt idx="114">
                  <c:v>3.9037999999999996E-2</c:v>
                </c:pt>
                <c:pt idx="115">
                  <c:v>3.9178000000000004E-2</c:v>
                </c:pt>
                <c:pt idx="116">
                  <c:v>3.9317999999999999E-2</c:v>
                </c:pt>
                <c:pt idx="117">
                  <c:v>3.9453999999999996E-2</c:v>
                </c:pt>
                <c:pt idx="118">
                  <c:v>3.9622000000000004E-2</c:v>
                </c:pt>
                <c:pt idx="119">
                  <c:v>3.9759999999999997E-2</c:v>
                </c:pt>
                <c:pt idx="120">
                  <c:v>3.9927999999999998E-2</c:v>
                </c:pt>
                <c:pt idx="121">
                  <c:v>4.0065999999999997E-2</c:v>
                </c:pt>
                <c:pt idx="122">
                  <c:v>4.0204000000000004E-2</c:v>
                </c:pt>
                <c:pt idx="123">
                  <c:v>4.0343999999999998E-2</c:v>
                </c:pt>
                <c:pt idx="124">
                  <c:v>4.0483999999999999E-2</c:v>
                </c:pt>
                <c:pt idx="125">
                  <c:v>4.0621999999999998E-2</c:v>
                </c:pt>
                <c:pt idx="126">
                  <c:v>4.0734000000000006E-2</c:v>
                </c:pt>
                <c:pt idx="127">
                  <c:v>4.0871999999999999E-2</c:v>
                </c:pt>
                <c:pt idx="128">
                  <c:v>4.1007999999999996E-2</c:v>
                </c:pt>
                <c:pt idx="129">
                  <c:v>4.1121999999999999E-2</c:v>
                </c:pt>
                <c:pt idx="130">
                  <c:v>4.1231999999999998E-2</c:v>
                </c:pt>
                <c:pt idx="131">
                  <c:v>4.1371999999999999E-2</c:v>
                </c:pt>
                <c:pt idx="132">
                  <c:v>4.1512E-2</c:v>
                </c:pt>
                <c:pt idx="133">
                  <c:v>4.1622000000000006E-2</c:v>
                </c:pt>
                <c:pt idx="134">
                  <c:v>4.1731999999999998E-2</c:v>
                </c:pt>
                <c:pt idx="135">
                  <c:v>4.1841999999999997E-2</c:v>
                </c:pt>
                <c:pt idx="136">
                  <c:v>4.1954000000000005E-2</c:v>
                </c:pt>
                <c:pt idx="137">
                  <c:v>4.2096000000000001E-2</c:v>
                </c:pt>
                <c:pt idx="138">
                  <c:v>4.2206E-2</c:v>
                </c:pt>
                <c:pt idx="139">
                  <c:v>4.2317999999999995E-2</c:v>
                </c:pt>
                <c:pt idx="140">
                  <c:v>4.2428E-2</c:v>
                </c:pt>
                <c:pt idx="141">
                  <c:v>4.2537999999999999E-2</c:v>
                </c:pt>
                <c:pt idx="142">
                  <c:v>4.2649999999999993E-2</c:v>
                </c:pt>
                <c:pt idx="143">
                  <c:v>4.2759999999999999E-2</c:v>
                </c:pt>
                <c:pt idx="144">
                  <c:v>4.2869999999999998E-2</c:v>
                </c:pt>
                <c:pt idx="145">
                  <c:v>4.2981999999999992E-2</c:v>
                </c:pt>
                <c:pt idx="146">
                  <c:v>4.3094E-2</c:v>
                </c:pt>
                <c:pt idx="147">
                  <c:v>4.3203999999999999E-2</c:v>
                </c:pt>
                <c:pt idx="148">
                  <c:v>4.3316E-2</c:v>
                </c:pt>
                <c:pt idx="149">
                  <c:v>4.3428000000000001E-2</c:v>
                </c:pt>
                <c:pt idx="150">
                  <c:v>4.3537999999999993E-2</c:v>
                </c:pt>
                <c:pt idx="151">
                  <c:v>4.3650000000000001E-2</c:v>
                </c:pt>
                <c:pt idx="152">
                  <c:v>4.3761999999999995E-2</c:v>
                </c:pt>
                <c:pt idx="153">
                  <c:v>4.3874000000000003E-2</c:v>
                </c:pt>
                <c:pt idx="154">
                  <c:v>4.3956000000000002E-2</c:v>
                </c:pt>
                <c:pt idx="155">
                  <c:v>4.4066000000000001E-2</c:v>
                </c:pt>
                <c:pt idx="156">
                  <c:v>4.4177999999999995E-2</c:v>
                </c:pt>
                <c:pt idx="157">
                  <c:v>4.4288000000000001E-2</c:v>
                </c:pt>
                <c:pt idx="158">
                  <c:v>4.4371999999999995E-2</c:v>
                </c:pt>
                <c:pt idx="159">
                  <c:v>4.4484000000000003E-2</c:v>
                </c:pt>
                <c:pt idx="160">
                  <c:v>4.4593999999999995E-2</c:v>
                </c:pt>
                <c:pt idx="161">
                  <c:v>4.4679999999999997E-2</c:v>
                </c:pt>
                <c:pt idx="162">
                  <c:v>4.4787999999999994E-2</c:v>
                </c:pt>
                <c:pt idx="163">
                  <c:v>4.4900000000000002E-2</c:v>
                </c:pt>
                <c:pt idx="164">
                  <c:v>4.4984000000000003E-2</c:v>
                </c:pt>
                <c:pt idx="165">
                  <c:v>4.5094000000000002E-2</c:v>
                </c:pt>
                <c:pt idx="166">
                  <c:v>4.5178000000000003E-2</c:v>
                </c:pt>
                <c:pt idx="167">
                  <c:v>4.5289999999999997E-2</c:v>
                </c:pt>
                <c:pt idx="168">
                  <c:v>4.5400000000000003E-2</c:v>
                </c:pt>
                <c:pt idx="169">
                  <c:v>4.5483999999999997E-2</c:v>
                </c:pt>
                <c:pt idx="170">
                  <c:v>4.5594000000000003E-2</c:v>
                </c:pt>
                <c:pt idx="171">
                  <c:v>4.5675999999999994E-2</c:v>
                </c:pt>
                <c:pt idx="172">
                  <c:v>4.5789999999999997E-2</c:v>
                </c:pt>
                <c:pt idx="173">
                  <c:v>4.5872000000000003E-2</c:v>
                </c:pt>
                <c:pt idx="174">
                  <c:v>4.5982000000000002E-2</c:v>
                </c:pt>
                <c:pt idx="175">
                  <c:v>4.6093999999999996E-2</c:v>
                </c:pt>
                <c:pt idx="176">
                  <c:v>4.6205999999999997E-2</c:v>
                </c:pt>
                <c:pt idx="177">
                  <c:v>4.6288000000000003E-2</c:v>
                </c:pt>
                <c:pt idx="178">
                  <c:v>4.6371999999999997E-2</c:v>
                </c:pt>
                <c:pt idx="179">
                  <c:v>4.6482000000000002E-2</c:v>
                </c:pt>
                <c:pt idx="180">
                  <c:v>4.6566000000000003E-2</c:v>
                </c:pt>
                <c:pt idx="181">
                  <c:v>4.6677999999999997E-2</c:v>
                </c:pt>
                <c:pt idx="182">
                  <c:v>4.6790000000000005E-2</c:v>
                </c:pt>
                <c:pt idx="183">
                  <c:v>4.6873999999999999E-2</c:v>
                </c:pt>
                <c:pt idx="184">
                  <c:v>4.6984000000000005E-2</c:v>
                </c:pt>
                <c:pt idx="185">
                  <c:v>4.7093999999999997E-2</c:v>
                </c:pt>
                <c:pt idx="186">
                  <c:v>4.7178000000000005E-2</c:v>
                </c:pt>
                <c:pt idx="187">
                  <c:v>4.7287999999999997E-2</c:v>
                </c:pt>
                <c:pt idx="188">
                  <c:v>4.7400000000000005E-2</c:v>
                </c:pt>
                <c:pt idx="189">
                  <c:v>4.7510000000000004E-2</c:v>
                </c:pt>
                <c:pt idx="190">
                  <c:v>4.7621999999999998E-2</c:v>
                </c:pt>
                <c:pt idx="191">
                  <c:v>4.7733999999999999E-2</c:v>
                </c:pt>
                <c:pt idx="192">
                  <c:v>4.7815999999999997E-2</c:v>
                </c:pt>
                <c:pt idx="193">
                  <c:v>4.7899999999999998E-2</c:v>
                </c:pt>
                <c:pt idx="194">
                  <c:v>4.8010000000000004E-2</c:v>
                </c:pt>
                <c:pt idx="195">
                  <c:v>4.8121999999999998E-2</c:v>
                </c:pt>
                <c:pt idx="196">
                  <c:v>4.8205999999999999E-2</c:v>
                </c:pt>
                <c:pt idx="197">
                  <c:v>4.8288000000000005E-2</c:v>
                </c:pt>
                <c:pt idx="198">
                  <c:v>4.8399999999999999E-2</c:v>
                </c:pt>
                <c:pt idx="199">
                  <c:v>4.8512000000000007E-2</c:v>
                </c:pt>
                <c:pt idx="200">
                  <c:v>4.8593999999999998E-2</c:v>
                </c:pt>
                <c:pt idx="201">
                  <c:v>4.8676000000000004E-2</c:v>
                </c:pt>
                <c:pt idx="202">
                  <c:v>4.8787999999999998E-2</c:v>
                </c:pt>
                <c:pt idx="203">
                  <c:v>4.8899999999999999E-2</c:v>
                </c:pt>
                <c:pt idx="204">
                  <c:v>4.9009999999999998E-2</c:v>
                </c:pt>
                <c:pt idx="205">
                  <c:v>4.9122000000000006E-2</c:v>
                </c:pt>
                <c:pt idx="206">
                  <c:v>4.9206E-2</c:v>
                </c:pt>
                <c:pt idx="207">
                  <c:v>4.9287999999999998E-2</c:v>
                </c:pt>
                <c:pt idx="208">
                  <c:v>4.9370000000000004E-2</c:v>
                </c:pt>
                <c:pt idx="209">
                  <c:v>4.9456E-2</c:v>
                </c:pt>
                <c:pt idx="210">
                  <c:v>4.9568000000000001E-2</c:v>
                </c:pt>
                <c:pt idx="211">
                  <c:v>4.9678000000000007E-2</c:v>
                </c:pt>
                <c:pt idx="212">
                  <c:v>4.9762000000000001E-2</c:v>
                </c:pt>
                <c:pt idx="213">
                  <c:v>4.9843999999999999E-2</c:v>
                </c:pt>
                <c:pt idx="214">
                  <c:v>4.9955999999999993E-2</c:v>
                </c:pt>
                <c:pt idx="215">
                  <c:v>5.0068000000000001E-2</c:v>
                </c:pt>
                <c:pt idx="216">
                  <c:v>5.0147999999999998E-2</c:v>
                </c:pt>
                <c:pt idx="217">
                  <c:v>5.0231999999999999E-2</c:v>
                </c:pt>
                <c:pt idx="218">
                  <c:v>5.0342000000000005E-2</c:v>
                </c:pt>
                <c:pt idx="219">
                  <c:v>5.0453999999999999E-2</c:v>
                </c:pt>
                <c:pt idx="220">
                  <c:v>5.0538E-2</c:v>
                </c:pt>
                <c:pt idx="221">
                  <c:v>5.0650000000000001E-2</c:v>
                </c:pt>
                <c:pt idx="222">
                  <c:v>5.0734000000000001E-2</c:v>
                </c:pt>
                <c:pt idx="223">
                  <c:v>5.0818000000000002E-2</c:v>
                </c:pt>
                <c:pt idx="224">
                  <c:v>5.0900000000000001E-2</c:v>
                </c:pt>
                <c:pt idx="225">
                  <c:v>5.101E-2</c:v>
                </c:pt>
                <c:pt idx="226">
                  <c:v>5.1094000000000001E-2</c:v>
                </c:pt>
                <c:pt idx="227">
                  <c:v>5.1178000000000001E-2</c:v>
                </c:pt>
                <c:pt idx="228">
                  <c:v>5.126E-2</c:v>
                </c:pt>
                <c:pt idx="229">
                  <c:v>5.1344000000000001E-2</c:v>
                </c:pt>
                <c:pt idx="230">
                  <c:v>5.1428000000000001E-2</c:v>
                </c:pt>
                <c:pt idx="231">
                  <c:v>5.1512000000000002E-2</c:v>
                </c:pt>
                <c:pt idx="232">
                  <c:v>5.1596000000000003E-2</c:v>
                </c:pt>
                <c:pt idx="233">
                  <c:v>5.1676E-2</c:v>
                </c:pt>
                <c:pt idx="234">
                  <c:v>5.176E-2</c:v>
                </c:pt>
                <c:pt idx="235">
                  <c:v>5.1844000000000001E-2</c:v>
                </c:pt>
                <c:pt idx="236">
                  <c:v>5.1928000000000002E-2</c:v>
                </c:pt>
                <c:pt idx="237">
                  <c:v>5.2009999999999994E-2</c:v>
                </c:pt>
                <c:pt idx="238">
                  <c:v>5.2093999999999994E-2</c:v>
                </c:pt>
                <c:pt idx="239">
                  <c:v>5.2176E-2</c:v>
                </c:pt>
                <c:pt idx="240">
                  <c:v>5.2262000000000003E-2</c:v>
                </c:pt>
                <c:pt idx="241">
                  <c:v>5.2346000000000004E-2</c:v>
                </c:pt>
                <c:pt idx="242">
                  <c:v>5.2428000000000002E-2</c:v>
                </c:pt>
                <c:pt idx="243">
                  <c:v>5.2510000000000001E-2</c:v>
                </c:pt>
                <c:pt idx="244">
                  <c:v>5.2592E-2</c:v>
                </c:pt>
                <c:pt idx="245">
                  <c:v>5.2678000000000003E-2</c:v>
                </c:pt>
                <c:pt idx="246">
                  <c:v>5.2762000000000003E-2</c:v>
                </c:pt>
                <c:pt idx="247">
                  <c:v>5.2816000000000002E-2</c:v>
                </c:pt>
                <c:pt idx="248">
                  <c:v>5.2900000000000003E-2</c:v>
                </c:pt>
                <c:pt idx="249">
                  <c:v>5.2984000000000003E-2</c:v>
                </c:pt>
                <c:pt idx="250">
                  <c:v>5.3094000000000002E-2</c:v>
                </c:pt>
                <c:pt idx="251">
                  <c:v>5.3204000000000001E-2</c:v>
                </c:pt>
                <c:pt idx="252">
                  <c:v>5.3316000000000002E-2</c:v>
                </c:pt>
                <c:pt idx="253">
                  <c:v>5.3426000000000001E-2</c:v>
                </c:pt>
                <c:pt idx="254">
                  <c:v>5.3537999999999995E-2</c:v>
                </c:pt>
                <c:pt idx="255">
                  <c:v>5.3650000000000003E-2</c:v>
                </c:pt>
                <c:pt idx="256">
                  <c:v>5.3760000000000002E-2</c:v>
                </c:pt>
                <c:pt idx="257">
                  <c:v>5.3872000000000003E-2</c:v>
                </c:pt>
                <c:pt idx="258">
                  <c:v>5.3982000000000002E-2</c:v>
                </c:pt>
                <c:pt idx="259">
                  <c:v>5.4093999999999996E-2</c:v>
                </c:pt>
                <c:pt idx="260">
                  <c:v>5.4206000000000004E-2</c:v>
                </c:pt>
                <c:pt idx="261">
                  <c:v>5.4317999999999998E-2</c:v>
                </c:pt>
                <c:pt idx="262">
                  <c:v>5.4428000000000004E-2</c:v>
                </c:pt>
                <c:pt idx="263">
                  <c:v>5.4538000000000003E-2</c:v>
                </c:pt>
                <c:pt idx="264">
                  <c:v>5.4649999999999997E-2</c:v>
                </c:pt>
                <c:pt idx="265">
                  <c:v>5.4760000000000003E-2</c:v>
                </c:pt>
                <c:pt idx="266">
                  <c:v>5.4843999999999997E-2</c:v>
                </c:pt>
                <c:pt idx="267">
                  <c:v>5.4954000000000003E-2</c:v>
                </c:pt>
                <c:pt idx="268">
                  <c:v>5.5039999999999999E-2</c:v>
                </c:pt>
                <c:pt idx="269">
                  <c:v>5.5149999999999998E-2</c:v>
                </c:pt>
                <c:pt idx="270">
                  <c:v>5.5262000000000006E-2</c:v>
                </c:pt>
                <c:pt idx="271">
                  <c:v>5.5372000000000005E-2</c:v>
                </c:pt>
                <c:pt idx="272">
                  <c:v>5.5483999999999999E-2</c:v>
                </c:pt>
                <c:pt idx="273">
                  <c:v>5.5591999999999996E-2</c:v>
                </c:pt>
                <c:pt idx="274">
                  <c:v>5.5704000000000004E-2</c:v>
                </c:pt>
                <c:pt idx="275">
                  <c:v>5.5815999999999998E-2</c:v>
                </c:pt>
                <c:pt idx="276">
                  <c:v>5.5898000000000003E-2</c:v>
                </c:pt>
                <c:pt idx="277">
                  <c:v>5.6009999999999997E-2</c:v>
                </c:pt>
                <c:pt idx="278">
                  <c:v>5.6121999999999998E-2</c:v>
                </c:pt>
                <c:pt idx="279">
                  <c:v>5.6205999999999999E-2</c:v>
                </c:pt>
                <c:pt idx="280">
                  <c:v>5.6287999999999998E-2</c:v>
                </c:pt>
                <c:pt idx="281">
                  <c:v>5.6398000000000004E-2</c:v>
                </c:pt>
                <c:pt idx="282">
                  <c:v>5.6482000000000004E-2</c:v>
                </c:pt>
                <c:pt idx="283">
                  <c:v>5.6593999999999998E-2</c:v>
                </c:pt>
                <c:pt idx="284">
                  <c:v>5.6677999999999999E-2</c:v>
                </c:pt>
                <c:pt idx="285">
                  <c:v>5.6762E-2</c:v>
                </c:pt>
                <c:pt idx="286">
                  <c:v>5.6843999999999999E-2</c:v>
                </c:pt>
                <c:pt idx="287">
                  <c:v>5.6956E-2</c:v>
                </c:pt>
                <c:pt idx="288">
                  <c:v>5.7038000000000005E-2</c:v>
                </c:pt>
                <c:pt idx="289">
                  <c:v>5.7121999999999999E-2</c:v>
                </c:pt>
                <c:pt idx="290">
                  <c:v>5.7232000000000005E-2</c:v>
                </c:pt>
                <c:pt idx="291">
                  <c:v>5.7342000000000004E-2</c:v>
                </c:pt>
                <c:pt idx="292">
                  <c:v>5.7453999999999998E-2</c:v>
                </c:pt>
                <c:pt idx="293">
                  <c:v>5.7565999999999999E-2</c:v>
                </c:pt>
                <c:pt idx="294">
                  <c:v>5.7678E-2</c:v>
                </c:pt>
                <c:pt idx="295">
                  <c:v>5.7788000000000006E-2</c:v>
                </c:pt>
                <c:pt idx="296">
                  <c:v>5.7897999999999998E-2</c:v>
                </c:pt>
                <c:pt idx="297">
                  <c:v>5.8011999999999994E-2</c:v>
                </c:pt>
                <c:pt idx="298">
                  <c:v>5.8122E-2</c:v>
                </c:pt>
                <c:pt idx="299">
                  <c:v>5.8231999999999999E-2</c:v>
                </c:pt>
                <c:pt idx="300">
                  <c:v>5.8343999999999993E-2</c:v>
                </c:pt>
                <c:pt idx="301">
                  <c:v>5.8456000000000001E-2</c:v>
                </c:pt>
                <c:pt idx="302">
                  <c:v>5.8566E-2</c:v>
                </c:pt>
                <c:pt idx="303">
                  <c:v>5.8676000000000006E-2</c:v>
                </c:pt>
                <c:pt idx="304">
                  <c:v>5.8788E-2</c:v>
                </c:pt>
                <c:pt idx="305">
                  <c:v>5.8899999999999994E-2</c:v>
                </c:pt>
                <c:pt idx="306">
                  <c:v>5.901E-2</c:v>
                </c:pt>
                <c:pt idx="307">
                  <c:v>5.9122000000000001E-2</c:v>
                </c:pt>
                <c:pt idx="308">
                  <c:v>5.9234000000000002E-2</c:v>
                </c:pt>
                <c:pt idx="309">
                  <c:v>5.9344000000000001E-2</c:v>
                </c:pt>
                <c:pt idx="310">
                  <c:v>5.9426E-2</c:v>
                </c:pt>
                <c:pt idx="311">
                  <c:v>5.9538000000000001E-2</c:v>
                </c:pt>
                <c:pt idx="312">
                  <c:v>5.9648000000000007E-2</c:v>
                </c:pt>
                <c:pt idx="313">
                  <c:v>5.9760000000000001E-2</c:v>
                </c:pt>
                <c:pt idx="314">
                  <c:v>5.9874000000000004E-2</c:v>
                </c:pt>
                <c:pt idx="315">
                  <c:v>5.9955999999999995E-2</c:v>
                </c:pt>
                <c:pt idx="316">
                  <c:v>6.0065999999999994E-2</c:v>
                </c:pt>
                <c:pt idx="317">
                  <c:v>6.0148E-2</c:v>
                </c:pt>
                <c:pt idx="318">
                  <c:v>6.0260000000000001E-2</c:v>
                </c:pt>
                <c:pt idx="319">
                  <c:v>6.0343999999999995E-2</c:v>
                </c:pt>
                <c:pt idx="320">
                  <c:v>6.0484000000000003E-2</c:v>
                </c:pt>
                <c:pt idx="321">
                  <c:v>6.0624000000000004E-2</c:v>
                </c:pt>
                <c:pt idx="322">
                  <c:v>6.0735999999999998E-2</c:v>
                </c:pt>
                <c:pt idx="323">
                  <c:v>6.0845999999999997E-2</c:v>
                </c:pt>
                <c:pt idx="324">
                  <c:v>6.0982000000000001E-2</c:v>
                </c:pt>
                <c:pt idx="325">
                  <c:v>6.1121999999999996E-2</c:v>
                </c:pt>
                <c:pt idx="326">
                  <c:v>6.1234000000000004E-2</c:v>
                </c:pt>
                <c:pt idx="327">
                  <c:v>6.1344000000000003E-2</c:v>
                </c:pt>
                <c:pt idx="328">
                  <c:v>6.1455999999999997E-2</c:v>
                </c:pt>
                <c:pt idx="329">
                  <c:v>6.1567999999999998E-2</c:v>
                </c:pt>
                <c:pt idx="330">
                  <c:v>6.1676000000000002E-2</c:v>
                </c:pt>
                <c:pt idx="331">
                  <c:v>6.1787999999999996E-2</c:v>
                </c:pt>
                <c:pt idx="332">
                  <c:v>6.1898000000000002E-2</c:v>
                </c:pt>
                <c:pt idx="333">
                  <c:v>6.2009999999999996E-2</c:v>
                </c:pt>
                <c:pt idx="334">
                  <c:v>6.2119999999999995E-2</c:v>
                </c:pt>
                <c:pt idx="335">
                  <c:v>6.2233999999999998E-2</c:v>
                </c:pt>
                <c:pt idx="336">
                  <c:v>6.2343999999999997E-2</c:v>
                </c:pt>
                <c:pt idx="337">
                  <c:v>6.2454000000000003E-2</c:v>
                </c:pt>
                <c:pt idx="338">
                  <c:v>6.2565999999999997E-2</c:v>
                </c:pt>
                <c:pt idx="339">
                  <c:v>6.2677999999999998E-2</c:v>
                </c:pt>
                <c:pt idx="340">
                  <c:v>6.2789999999999999E-2</c:v>
                </c:pt>
                <c:pt idx="341">
                  <c:v>6.2899999999999998E-2</c:v>
                </c:pt>
                <c:pt idx="342">
                  <c:v>6.3011999999999999E-2</c:v>
                </c:pt>
                <c:pt idx="343">
                  <c:v>6.3124E-2</c:v>
                </c:pt>
                <c:pt idx="344">
                  <c:v>6.3231999999999997E-2</c:v>
                </c:pt>
                <c:pt idx="345">
                  <c:v>6.3369999999999996E-2</c:v>
                </c:pt>
                <c:pt idx="346">
                  <c:v>6.3509999999999997E-2</c:v>
                </c:pt>
                <c:pt idx="347">
                  <c:v>6.3649999999999998E-2</c:v>
                </c:pt>
                <c:pt idx="348">
                  <c:v>6.3787999999999997E-2</c:v>
                </c:pt>
                <c:pt idx="349">
                  <c:v>6.3927999999999999E-2</c:v>
                </c:pt>
                <c:pt idx="350">
                  <c:v>6.4065999999999998E-2</c:v>
                </c:pt>
                <c:pt idx="351">
                  <c:v>6.4205999999999999E-2</c:v>
                </c:pt>
                <c:pt idx="352">
                  <c:v>6.4346E-2</c:v>
                </c:pt>
                <c:pt idx="353">
                  <c:v>6.4484E-2</c:v>
                </c:pt>
                <c:pt idx="354">
                  <c:v>6.4624000000000001E-2</c:v>
                </c:pt>
                <c:pt idx="355">
                  <c:v>6.4759999999999998E-2</c:v>
                </c:pt>
                <c:pt idx="356">
                  <c:v>6.4897999999999997E-2</c:v>
                </c:pt>
                <c:pt idx="357">
                  <c:v>6.5037999999999999E-2</c:v>
                </c:pt>
                <c:pt idx="358">
                  <c:v>6.5178E-2</c:v>
                </c:pt>
                <c:pt idx="359">
                  <c:v>6.5315999999999999E-2</c:v>
                </c:pt>
                <c:pt idx="360">
                  <c:v>6.5428E-2</c:v>
                </c:pt>
                <c:pt idx="361">
                  <c:v>6.5565999999999999E-2</c:v>
                </c:pt>
                <c:pt idx="362">
                  <c:v>6.5703999999999999E-2</c:v>
                </c:pt>
                <c:pt idx="363">
                  <c:v>6.5841999999999998E-2</c:v>
                </c:pt>
                <c:pt idx="364">
                  <c:v>6.5984000000000001E-2</c:v>
                </c:pt>
                <c:pt idx="365">
                  <c:v>6.6122E-2</c:v>
                </c:pt>
                <c:pt idx="366">
                  <c:v>6.6262000000000001E-2</c:v>
                </c:pt>
                <c:pt idx="367">
                  <c:v>6.6400000000000001E-2</c:v>
                </c:pt>
                <c:pt idx="368">
                  <c:v>6.6538E-2</c:v>
                </c:pt>
                <c:pt idx="369">
                  <c:v>6.6678000000000001E-2</c:v>
                </c:pt>
                <c:pt idx="370">
                  <c:v>6.6818000000000002E-2</c:v>
                </c:pt>
                <c:pt idx="371">
                  <c:v>6.6956000000000002E-2</c:v>
                </c:pt>
                <c:pt idx="372">
                  <c:v>6.7091999999999999E-2</c:v>
                </c:pt>
                <c:pt idx="373">
                  <c:v>6.7232E-2</c:v>
                </c:pt>
                <c:pt idx="374">
                  <c:v>6.7372000000000001E-2</c:v>
                </c:pt>
                <c:pt idx="375">
                  <c:v>6.7510000000000001E-2</c:v>
                </c:pt>
                <c:pt idx="376">
                  <c:v>6.7650000000000002E-2</c:v>
                </c:pt>
                <c:pt idx="377">
                  <c:v>6.7790000000000003E-2</c:v>
                </c:pt>
                <c:pt idx="378">
                  <c:v>6.7926E-2</c:v>
                </c:pt>
                <c:pt idx="379">
                  <c:v>6.8068000000000004E-2</c:v>
                </c:pt>
                <c:pt idx="380">
                  <c:v>6.8206000000000003E-2</c:v>
                </c:pt>
                <c:pt idx="381">
                  <c:v>6.8372000000000002E-2</c:v>
                </c:pt>
                <c:pt idx="382">
                  <c:v>6.8510000000000001E-2</c:v>
                </c:pt>
                <c:pt idx="383">
                  <c:v>6.8648000000000001E-2</c:v>
                </c:pt>
                <c:pt idx="384">
                  <c:v>6.8788000000000002E-2</c:v>
                </c:pt>
                <c:pt idx="385">
                  <c:v>6.8926000000000001E-2</c:v>
                </c:pt>
                <c:pt idx="386">
                  <c:v>6.9066000000000002E-2</c:v>
                </c:pt>
                <c:pt idx="387">
                  <c:v>6.9206000000000004E-2</c:v>
                </c:pt>
                <c:pt idx="388">
                  <c:v>6.9344000000000003E-2</c:v>
                </c:pt>
                <c:pt idx="389">
                  <c:v>6.9482000000000002E-2</c:v>
                </c:pt>
                <c:pt idx="390">
                  <c:v>6.9622000000000003E-2</c:v>
                </c:pt>
                <c:pt idx="391">
                  <c:v>6.9760000000000003E-2</c:v>
                </c:pt>
                <c:pt idx="392">
                  <c:v>6.9900000000000004E-2</c:v>
                </c:pt>
                <c:pt idx="393">
                  <c:v>7.0039999999999991E-2</c:v>
                </c:pt>
                <c:pt idx="394">
                  <c:v>7.0176000000000002E-2</c:v>
                </c:pt>
                <c:pt idx="395">
                  <c:v>7.0316000000000004E-2</c:v>
                </c:pt>
                <c:pt idx="396">
                  <c:v>7.0481999999999989E-2</c:v>
                </c:pt>
                <c:pt idx="397">
                  <c:v>7.0650000000000004E-2</c:v>
                </c:pt>
                <c:pt idx="398">
                  <c:v>7.0816000000000004E-2</c:v>
                </c:pt>
                <c:pt idx="399">
                  <c:v>7.0982000000000003E-2</c:v>
                </c:pt>
                <c:pt idx="400">
                  <c:v>7.1150000000000005E-2</c:v>
                </c:pt>
                <c:pt idx="401">
                  <c:v>7.1315999999999991E-2</c:v>
                </c:pt>
                <c:pt idx="402">
                  <c:v>7.1483999999999992E-2</c:v>
                </c:pt>
                <c:pt idx="403">
                  <c:v>7.1650000000000005E-2</c:v>
                </c:pt>
                <c:pt idx="404">
                  <c:v>7.1816000000000005E-2</c:v>
                </c:pt>
                <c:pt idx="405">
                  <c:v>7.1984000000000006E-2</c:v>
                </c:pt>
                <c:pt idx="406">
                  <c:v>7.2149999999999992E-2</c:v>
                </c:pt>
                <c:pt idx="407">
                  <c:v>7.2317999999999993E-2</c:v>
                </c:pt>
                <c:pt idx="408">
                  <c:v>7.2481999999999991E-2</c:v>
                </c:pt>
                <c:pt idx="409">
                  <c:v>7.2648000000000004E-2</c:v>
                </c:pt>
                <c:pt idx="410">
                  <c:v>7.2816000000000006E-2</c:v>
                </c:pt>
                <c:pt idx="411">
                  <c:v>7.2983999999999993E-2</c:v>
                </c:pt>
                <c:pt idx="412">
                  <c:v>7.3150000000000007E-2</c:v>
                </c:pt>
                <c:pt idx="413">
                  <c:v>7.3315999999999992E-2</c:v>
                </c:pt>
                <c:pt idx="414">
                  <c:v>7.3482000000000006E-2</c:v>
                </c:pt>
                <c:pt idx="415">
                  <c:v>7.3650000000000007E-2</c:v>
                </c:pt>
                <c:pt idx="416">
                  <c:v>7.3817999999999995E-2</c:v>
                </c:pt>
                <c:pt idx="417">
                  <c:v>7.3982000000000006E-2</c:v>
                </c:pt>
                <c:pt idx="418">
                  <c:v>7.4149999999999994E-2</c:v>
                </c:pt>
                <c:pt idx="419">
                  <c:v>7.4316000000000007E-2</c:v>
                </c:pt>
                <c:pt idx="420">
                  <c:v>7.4484000000000009E-2</c:v>
                </c:pt>
                <c:pt idx="421">
                  <c:v>7.4678000000000008E-2</c:v>
                </c:pt>
                <c:pt idx="422">
                  <c:v>7.4843999999999994E-2</c:v>
                </c:pt>
                <c:pt idx="423">
                  <c:v>7.5037999999999994E-2</c:v>
                </c:pt>
                <c:pt idx="424">
                  <c:v>7.5233999999999995E-2</c:v>
                </c:pt>
                <c:pt idx="425">
                  <c:v>7.5427999999999995E-2</c:v>
                </c:pt>
                <c:pt idx="426">
                  <c:v>7.5621999999999995E-2</c:v>
                </c:pt>
                <c:pt idx="427">
                  <c:v>7.5817999999999997E-2</c:v>
                </c:pt>
                <c:pt idx="428">
                  <c:v>7.5982000000000008E-2</c:v>
                </c:pt>
                <c:pt idx="429">
                  <c:v>7.6177999999999996E-2</c:v>
                </c:pt>
                <c:pt idx="430">
                  <c:v>7.6344000000000009E-2</c:v>
                </c:pt>
                <c:pt idx="431">
                  <c:v>7.6538000000000009E-2</c:v>
                </c:pt>
                <c:pt idx="432">
                  <c:v>7.6733999999999997E-2</c:v>
                </c:pt>
                <c:pt idx="433">
                  <c:v>7.6927999999999996E-2</c:v>
                </c:pt>
                <c:pt idx="434">
                  <c:v>7.7119999999999994E-2</c:v>
                </c:pt>
                <c:pt idx="435">
                  <c:v>7.7313999999999994E-2</c:v>
                </c:pt>
                <c:pt idx="436">
                  <c:v>7.7510000000000009E-2</c:v>
                </c:pt>
                <c:pt idx="437">
                  <c:v>7.7705999999999997E-2</c:v>
                </c:pt>
                <c:pt idx="438">
                  <c:v>7.7897999999999995E-2</c:v>
                </c:pt>
                <c:pt idx="439">
                  <c:v>7.8093999999999997E-2</c:v>
                </c:pt>
                <c:pt idx="440">
                  <c:v>7.8289999999999998E-2</c:v>
                </c:pt>
                <c:pt idx="441">
                  <c:v>7.8483999999999998E-2</c:v>
                </c:pt>
                <c:pt idx="442">
                  <c:v>7.867600000000001E-2</c:v>
                </c:pt>
                <c:pt idx="443">
                  <c:v>7.8869999999999996E-2</c:v>
                </c:pt>
                <c:pt idx="444">
                  <c:v>7.9065999999999997E-2</c:v>
                </c:pt>
                <c:pt idx="445">
                  <c:v>7.9261999999999999E-2</c:v>
                </c:pt>
                <c:pt idx="446">
                  <c:v>7.9455999999999999E-2</c:v>
                </c:pt>
                <c:pt idx="447">
                  <c:v>7.9649999999999999E-2</c:v>
                </c:pt>
                <c:pt idx="448">
                  <c:v>7.9843999999999998E-2</c:v>
                </c:pt>
                <c:pt idx="449">
                  <c:v>8.004E-2</c:v>
                </c:pt>
                <c:pt idx="450">
                  <c:v>8.0231999999999998E-2</c:v>
                </c:pt>
                <c:pt idx="451">
                  <c:v>8.0425999999999997E-2</c:v>
                </c:pt>
                <c:pt idx="452">
                  <c:v>8.0622000000000013E-2</c:v>
                </c:pt>
                <c:pt idx="453">
                  <c:v>8.0843999999999999E-2</c:v>
                </c:pt>
                <c:pt idx="454">
                  <c:v>8.1065999999999999E-2</c:v>
                </c:pt>
                <c:pt idx="455">
                  <c:v>8.1290000000000001E-2</c:v>
                </c:pt>
                <c:pt idx="456">
                  <c:v>8.1511999999999987E-2</c:v>
                </c:pt>
                <c:pt idx="457">
                  <c:v>8.1731999999999999E-2</c:v>
                </c:pt>
                <c:pt idx="458">
                  <c:v>8.1928000000000001E-2</c:v>
                </c:pt>
                <c:pt idx="459">
                  <c:v>8.2150000000000001E-2</c:v>
                </c:pt>
                <c:pt idx="460">
                  <c:v>8.2372000000000001E-2</c:v>
                </c:pt>
                <c:pt idx="461">
                  <c:v>8.2591999999999999E-2</c:v>
                </c:pt>
                <c:pt idx="462">
                  <c:v>8.2815999999999987E-2</c:v>
                </c:pt>
                <c:pt idx="463">
                  <c:v>8.3040000000000003E-2</c:v>
                </c:pt>
                <c:pt idx="464">
                  <c:v>8.3260000000000001E-2</c:v>
                </c:pt>
                <c:pt idx="465">
                  <c:v>8.3482000000000001E-2</c:v>
                </c:pt>
                <c:pt idx="466">
                  <c:v>8.3706000000000003E-2</c:v>
                </c:pt>
                <c:pt idx="467">
                  <c:v>8.3927999999999989E-2</c:v>
                </c:pt>
                <c:pt idx="468">
                  <c:v>8.4148000000000001E-2</c:v>
                </c:pt>
                <c:pt idx="469">
                  <c:v>8.4399999999999989E-2</c:v>
                </c:pt>
                <c:pt idx="470">
                  <c:v>8.4621999999999989E-2</c:v>
                </c:pt>
                <c:pt idx="471">
                  <c:v>8.4870000000000001E-2</c:v>
                </c:pt>
                <c:pt idx="472">
                  <c:v>8.5093999999999989E-2</c:v>
                </c:pt>
                <c:pt idx="473">
                  <c:v>8.5344000000000003E-2</c:v>
                </c:pt>
                <c:pt idx="474">
                  <c:v>8.5565999999999989E-2</c:v>
                </c:pt>
                <c:pt idx="475">
                  <c:v>8.5787999999999989E-2</c:v>
                </c:pt>
                <c:pt idx="476">
                  <c:v>8.6039999999999991E-2</c:v>
                </c:pt>
                <c:pt idx="477">
                  <c:v>8.6288000000000004E-2</c:v>
                </c:pt>
                <c:pt idx="478">
                  <c:v>8.6538000000000004E-2</c:v>
                </c:pt>
                <c:pt idx="479">
                  <c:v>8.6790000000000006E-2</c:v>
                </c:pt>
                <c:pt idx="480">
                  <c:v>8.703799999999999E-2</c:v>
                </c:pt>
                <c:pt idx="481">
                  <c:v>8.7287999999999991E-2</c:v>
                </c:pt>
                <c:pt idx="482">
                  <c:v>8.7538000000000005E-2</c:v>
                </c:pt>
                <c:pt idx="483">
                  <c:v>8.7789999999999993E-2</c:v>
                </c:pt>
                <c:pt idx="484">
                  <c:v>8.8038000000000005E-2</c:v>
                </c:pt>
                <c:pt idx="485">
                  <c:v>8.8287999999999991E-2</c:v>
                </c:pt>
                <c:pt idx="486">
                  <c:v>8.8539999999999994E-2</c:v>
                </c:pt>
                <c:pt idx="487">
                  <c:v>8.8786000000000004E-2</c:v>
                </c:pt>
                <c:pt idx="488">
                  <c:v>8.9038000000000006E-2</c:v>
                </c:pt>
                <c:pt idx="489">
                  <c:v>8.9290000000000008E-2</c:v>
                </c:pt>
                <c:pt idx="490">
                  <c:v>8.9537999999999993E-2</c:v>
                </c:pt>
                <c:pt idx="491">
                  <c:v>8.9789999999999995E-2</c:v>
                </c:pt>
                <c:pt idx="492">
                  <c:v>9.0038000000000007E-2</c:v>
                </c:pt>
                <c:pt idx="493">
                  <c:v>9.0288000000000007E-2</c:v>
                </c:pt>
                <c:pt idx="494">
                  <c:v>9.0538000000000007E-2</c:v>
                </c:pt>
                <c:pt idx="495">
                  <c:v>9.0787999999999994E-2</c:v>
                </c:pt>
                <c:pt idx="496">
                  <c:v>9.1037999999999994E-2</c:v>
                </c:pt>
                <c:pt idx="497">
                  <c:v>9.1316000000000008E-2</c:v>
                </c:pt>
                <c:pt idx="498">
                  <c:v>9.1593999999999995E-2</c:v>
                </c:pt>
                <c:pt idx="499">
                  <c:v>9.1869999999999993E-2</c:v>
                </c:pt>
                <c:pt idx="500">
                  <c:v>9.2149999999999996E-2</c:v>
                </c:pt>
                <c:pt idx="501">
                  <c:v>9.242800000000001E-2</c:v>
                </c:pt>
                <c:pt idx="502">
                  <c:v>9.2704000000000009E-2</c:v>
                </c:pt>
                <c:pt idx="503">
                  <c:v>9.2984000000000011E-2</c:v>
                </c:pt>
                <c:pt idx="504">
                  <c:v>9.326000000000001E-2</c:v>
                </c:pt>
                <c:pt idx="505">
                  <c:v>9.3537999999999996E-2</c:v>
                </c:pt>
                <c:pt idx="506">
                  <c:v>9.3817999999999999E-2</c:v>
                </c:pt>
                <c:pt idx="507">
                  <c:v>9.4093999999999997E-2</c:v>
                </c:pt>
                <c:pt idx="508">
                  <c:v>9.4369999999999996E-2</c:v>
                </c:pt>
                <c:pt idx="509">
                  <c:v>9.4675999999999996E-2</c:v>
                </c:pt>
                <c:pt idx="510">
                  <c:v>9.4979999999999995E-2</c:v>
                </c:pt>
                <c:pt idx="511">
                  <c:v>9.5287999999999998E-2</c:v>
                </c:pt>
                <c:pt idx="512">
                  <c:v>9.559200000000001E-2</c:v>
                </c:pt>
                <c:pt idx="513">
                  <c:v>9.5899999999999999E-2</c:v>
                </c:pt>
                <c:pt idx="514">
                  <c:v>9.6206E-2</c:v>
                </c:pt>
                <c:pt idx="515">
                  <c:v>9.6509999999999999E-2</c:v>
                </c:pt>
                <c:pt idx="516">
                  <c:v>9.6818000000000015E-2</c:v>
                </c:pt>
                <c:pt idx="517">
                  <c:v>9.7121999999999986E-2</c:v>
                </c:pt>
                <c:pt idx="518">
                  <c:v>9.7428000000000015E-2</c:v>
                </c:pt>
                <c:pt idx="519">
                  <c:v>9.7734000000000001E-2</c:v>
                </c:pt>
                <c:pt idx="520">
                  <c:v>9.8040000000000002E-2</c:v>
                </c:pt>
                <c:pt idx="521">
                  <c:v>9.8371999999999987E-2</c:v>
                </c:pt>
                <c:pt idx="522">
                  <c:v>9.8678000000000002E-2</c:v>
                </c:pt>
                <c:pt idx="523">
                  <c:v>9.8984000000000003E-2</c:v>
                </c:pt>
                <c:pt idx="524">
                  <c:v>9.9290000000000003E-2</c:v>
                </c:pt>
                <c:pt idx="525">
                  <c:v>9.9594000000000002E-2</c:v>
                </c:pt>
                <c:pt idx="526">
                  <c:v>9.9900000000000003E-2</c:v>
                </c:pt>
                <c:pt idx="527">
                  <c:v>0.100204</c:v>
                </c:pt>
                <c:pt idx="528">
                  <c:v>0.10054</c:v>
                </c:pt>
                <c:pt idx="529">
                  <c:v>0.10084600000000001</c:v>
                </c:pt>
                <c:pt idx="530">
                  <c:v>0.10117599999999999</c:v>
                </c:pt>
                <c:pt idx="531">
                  <c:v>0.10151</c:v>
                </c:pt>
                <c:pt idx="532">
                  <c:v>0.101844</c:v>
                </c:pt>
                <c:pt idx="533">
                  <c:v>0.102178</c:v>
                </c:pt>
                <c:pt idx="534">
                  <c:v>0.10250999999999999</c:v>
                </c:pt>
                <c:pt idx="535">
                  <c:v>0.10284399999999999</c:v>
                </c:pt>
                <c:pt idx="536">
                  <c:v>0.10317800000000001</c:v>
                </c:pt>
                <c:pt idx="537">
                  <c:v>0.10353799999999999</c:v>
                </c:pt>
                <c:pt idx="538">
                  <c:v>0.10390000000000001</c:v>
                </c:pt>
                <c:pt idx="539">
                  <c:v>0.10426000000000001</c:v>
                </c:pt>
                <c:pt idx="540">
                  <c:v>0.10462199999999999</c:v>
                </c:pt>
                <c:pt idx="541">
                  <c:v>0.10498400000000001</c:v>
                </c:pt>
                <c:pt idx="542">
                  <c:v>0.105346</c:v>
                </c:pt>
                <c:pt idx="543">
                  <c:v>0.10570399999999999</c:v>
                </c:pt>
                <c:pt idx="544">
                  <c:v>0.10606600000000001</c:v>
                </c:pt>
                <c:pt idx="545">
                  <c:v>0.10642799999999999</c:v>
                </c:pt>
                <c:pt idx="546">
                  <c:v>0.10678800000000001</c:v>
                </c:pt>
                <c:pt idx="547">
                  <c:v>0.10715</c:v>
                </c:pt>
                <c:pt idx="548">
                  <c:v>0.10753799999999999</c:v>
                </c:pt>
                <c:pt idx="549">
                  <c:v>0.10792600000000001</c:v>
                </c:pt>
                <c:pt idx="550">
                  <c:v>0.10829000000000001</c:v>
                </c:pt>
                <c:pt idx="551">
                  <c:v>0.10864800000000001</c:v>
                </c:pt>
                <c:pt idx="552">
                  <c:v>0.10904</c:v>
                </c:pt>
                <c:pt idx="553">
                  <c:v>0.10942600000000001</c:v>
                </c:pt>
                <c:pt idx="554">
                  <c:v>0.109816</c:v>
                </c:pt>
                <c:pt idx="555">
                  <c:v>0.11020400000000001</c:v>
                </c:pt>
                <c:pt idx="556">
                  <c:v>0.110594</c:v>
                </c:pt>
                <c:pt idx="557">
                  <c:v>0.110982</c:v>
                </c:pt>
                <c:pt idx="558">
                  <c:v>0.111372</c:v>
                </c:pt>
                <c:pt idx="559">
                  <c:v>0.11176</c:v>
                </c:pt>
                <c:pt idx="560">
                  <c:v>0.112178</c:v>
                </c:pt>
                <c:pt idx="561">
                  <c:v>0.112594</c:v>
                </c:pt>
                <c:pt idx="562">
                  <c:v>0.113012</c:v>
                </c:pt>
                <c:pt idx="563">
                  <c:v>0.11342599999999999</c:v>
                </c:pt>
                <c:pt idx="564">
                  <c:v>0.113846</c:v>
                </c:pt>
                <c:pt idx="565">
                  <c:v>0.11426</c:v>
                </c:pt>
                <c:pt idx="566">
                  <c:v>0.114678</c:v>
                </c:pt>
                <c:pt idx="567">
                  <c:v>0.11509399999999999</c:v>
                </c:pt>
                <c:pt idx="568">
                  <c:v>0.115538</c:v>
                </c:pt>
                <c:pt idx="569">
                  <c:v>0.115982</c:v>
                </c:pt>
                <c:pt idx="570">
                  <c:v>0.116426</c:v>
                </c:pt>
                <c:pt idx="571">
                  <c:v>0.116872</c:v>
                </c:pt>
                <c:pt idx="572">
                  <c:v>0.117314</c:v>
                </c:pt>
                <c:pt idx="573">
                  <c:v>0.11776</c:v>
                </c:pt>
                <c:pt idx="574">
                  <c:v>0.11820600000000001</c:v>
                </c:pt>
                <c:pt idx="575">
                  <c:v>0.11867599999999999</c:v>
                </c:pt>
                <c:pt idx="576">
                  <c:v>0.11914999999999999</c:v>
                </c:pt>
                <c:pt idx="577">
                  <c:v>0.11959199999999999</c:v>
                </c:pt>
                <c:pt idx="578">
                  <c:v>0.12006800000000001</c:v>
                </c:pt>
                <c:pt idx="579">
                  <c:v>0.12053800000000001</c:v>
                </c:pt>
                <c:pt idx="580">
                  <c:v>0.12101000000000001</c:v>
                </c:pt>
                <c:pt idx="581">
                  <c:v>0.12148199999999999</c:v>
                </c:pt>
                <c:pt idx="582">
                  <c:v>0.12195399999999999</c:v>
                </c:pt>
                <c:pt idx="583">
                  <c:v>0.122456</c:v>
                </c:pt>
                <c:pt idx="584">
                  <c:v>0.12295600000000001</c:v>
                </c:pt>
                <c:pt idx="585">
                  <c:v>0.12345399999999999</c:v>
                </c:pt>
                <c:pt idx="586">
                  <c:v>0.123956</c:v>
                </c:pt>
                <c:pt idx="587">
                  <c:v>0.124482</c:v>
                </c:pt>
                <c:pt idx="588">
                  <c:v>0.12501200000000001</c:v>
                </c:pt>
                <c:pt idx="589">
                  <c:v>0.12553800000000001</c:v>
                </c:pt>
                <c:pt idx="590">
                  <c:v>0.12606799999999999</c:v>
                </c:pt>
                <c:pt idx="591">
                  <c:v>0.12662000000000001</c:v>
                </c:pt>
                <c:pt idx="592">
                  <c:v>0.12717599999999998</c:v>
                </c:pt>
                <c:pt idx="593">
                  <c:v>0.12770599999999999</c:v>
                </c:pt>
                <c:pt idx="594">
                  <c:v>0.12826199999999999</c:v>
                </c:pt>
                <c:pt idx="595">
                  <c:v>0.12881600000000001</c:v>
                </c:pt>
                <c:pt idx="596">
                  <c:v>0.12937200000000001</c:v>
                </c:pt>
                <c:pt idx="597">
                  <c:v>0.12995599999999999</c:v>
                </c:pt>
                <c:pt idx="598">
                  <c:v>0.13053800000000002</c:v>
                </c:pt>
                <c:pt idx="599">
                  <c:v>0.13112199999999999</c:v>
                </c:pt>
                <c:pt idx="600">
                  <c:v>0.13175999999999999</c:v>
                </c:pt>
                <c:pt idx="601">
                  <c:v>0.13239999999999999</c:v>
                </c:pt>
                <c:pt idx="602">
                  <c:v>0.13306800000000002</c:v>
                </c:pt>
                <c:pt idx="603">
                  <c:v>0.13375999999999999</c:v>
                </c:pt>
                <c:pt idx="604">
                  <c:v>0.13451000000000002</c:v>
                </c:pt>
                <c:pt idx="605">
                  <c:v>0.13534599999999999</c:v>
                </c:pt>
              </c:numCache>
            </c:numRef>
          </c:cat>
          <c:val>
            <c:numRef>
              <c:f>'A11-1'!$F$2:$F$607</c:f>
              <c:numCache>
                <c:formatCode>0.0000</c:formatCode>
                <c:ptCount val="606"/>
                <c:pt idx="0">
                  <c:v>0</c:v>
                </c:pt>
                <c:pt idx="1">
                  <c:v>0.13257989088074826</c:v>
                </c:pt>
                <c:pt idx="2">
                  <c:v>0.13257989088074826</c:v>
                </c:pt>
                <c:pt idx="3">
                  <c:v>0.13647929943606438</c:v>
                </c:pt>
                <c:pt idx="4">
                  <c:v>0.13647929943606438</c:v>
                </c:pt>
                <c:pt idx="5">
                  <c:v>0.13257989088074826</c:v>
                </c:pt>
                <c:pt idx="6">
                  <c:v>0.13257989088074826</c:v>
                </c:pt>
                <c:pt idx="7">
                  <c:v>0.13257989088074826</c:v>
                </c:pt>
                <c:pt idx="8">
                  <c:v>0.1403787079913805</c:v>
                </c:pt>
                <c:pt idx="9">
                  <c:v>0.1403787079913805</c:v>
                </c:pt>
                <c:pt idx="10">
                  <c:v>0.1403787079913805</c:v>
                </c:pt>
                <c:pt idx="11">
                  <c:v>0.14427811654669664</c:v>
                </c:pt>
                <c:pt idx="12">
                  <c:v>0.14817752510201276</c:v>
                </c:pt>
                <c:pt idx="13">
                  <c:v>0.15207693365732888</c:v>
                </c:pt>
                <c:pt idx="14">
                  <c:v>0.15597634221264503</c:v>
                </c:pt>
                <c:pt idx="15">
                  <c:v>0.16767227545733804</c:v>
                </c:pt>
                <c:pt idx="16">
                  <c:v>0.17157168401265419</c:v>
                </c:pt>
                <c:pt idx="17">
                  <c:v>0.1754710925679703</c:v>
                </c:pt>
                <c:pt idx="18">
                  <c:v>0.18326990967860257</c:v>
                </c:pt>
                <c:pt idx="19">
                  <c:v>0.18716931823391869</c:v>
                </c:pt>
                <c:pt idx="20">
                  <c:v>0.1949681353445509</c:v>
                </c:pt>
                <c:pt idx="21">
                  <c:v>0.1793705011232864</c:v>
                </c:pt>
                <c:pt idx="22">
                  <c:v>0.16377515932327724</c:v>
                </c:pt>
                <c:pt idx="23">
                  <c:v>0.15987575076796115</c:v>
                </c:pt>
                <c:pt idx="24">
                  <c:v>0.15987575076796115</c:v>
                </c:pt>
                <c:pt idx="25">
                  <c:v>0.16767227545733804</c:v>
                </c:pt>
                <c:pt idx="26">
                  <c:v>0.1754710925679703</c:v>
                </c:pt>
                <c:pt idx="27">
                  <c:v>0.18326990967860257</c:v>
                </c:pt>
                <c:pt idx="28">
                  <c:v>0.1949681353445509</c:v>
                </c:pt>
                <c:pt idx="29">
                  <c:v>0.2027669524551832</c:v>
                </c:pt>
                <c:pt idx="30">
                  <c:v>0.20666636101049929</c:v>
                </c:pt>
                <c:pt idx="31">
                  <c:v>0.20666636101049929</c:v>
                </c:pt>
                <c:pt idx="32">
                  <c:v>0.20666636101049929</c:v>
                </c:pt>
                <c:pt idx="33">
                  <c:v>0.20666636101049929</c:v>
                </c:pt>
                <c:pt idx="34">
                  <c:v>0.20666636101049929</c:v>
                </c:pt>
                <c:pt idx="35">
                  <c:v>0.20666636101049929</c:v>
                </c:pt>
                <c:pt idx="36">
                  <c:v>0.20666636101049929</c:v>
                </c:pt>
                <c:pt idx="37">
                  <c:v>0.20666636101049929</c:v>
                </c:pt>
                <c:pt idx="38">
                  <c:v>0.20666636101049929</c:v>
                </c:pt>
                <c:pt idx="39">
                  <c:v>0.20666636101049929</c:v>
                </c:pt>
                <c:pt idx="40">
                  <c:v>0.20666636101049929</c:v>
                </c:pt>
                <c:pt idx="41">
                  <c:v>0.21056576956581544</c:v>
                </c:pt>
                <c:pt idx="42">
                  <c:v>0.21056576956581544</c:v>
                </c:pt>
                <c:pt idx="43">
                  <c:v>0.21056576956581544</c:v>
                </c:pt>
                <c:pt idx="44">
                  <c:v>0.22226399523176382</c:v>
                </c:pt>
                <c:pt idx="45">
                  <c:v>0.2378616294530283</c:v>
                </c:pt>
                <c:pt idx="46">
                  <c:v>0.2417587455870891</c:v>
                </c:pt>
                <c:pt idx="47">
                  <c:v>0.24955297785521069</c:v>
                </c:pt>
                <c:pt idx="48">
                  <c:v>0.24955297785521069</c:v>
                </c:pt>
                <c:pt idx="49">
                  <c:v>0.25345009398927149</c:v>
                </c:pt>
                <c:pt idx="50">
                  <c:v>0.25345009398927149</c:v>
                </c:pt>
                <c:pt idx="51">
                  <c:v>0.25345009398927149</c:v>
                </c:pt>
                <c:pt idx="52">
                  <c:v>0.25345009398927149</c:v>
                </c:pt>
                <c:pt idx="53">
                  <c:v>0.25345009398927149</c:v>
                </c:pt>
                <c:pt idx="54">
                  <c:v>0.25345009398927149</c:v>
                </c:pt>
                <c:pt idx="55">
                  <c:v>0.25345009398927149</c:v>
                </c:pt>
                <c:pt idx="56">
                  <c:v>0.25345009398927149</c:v>
                </c:pt>
                <c:pt idx="57">
                  <c:v>0.25345009398927149</c:v>
                </c:pt>
                <c:pt idx="58">
                  <c:v>0.25737013433588557</c:v>
                </c:pt>
                <c:pt idx="59">
                  <c:v>0.25737013433588557</c:v>
                </c:pt>
                <c:pt idx="60">
                  <c:v>0.25737013433588557</c:v>
                </c:pt>
                <c:pt idx="61">
                  <c:v>0.25737013433588557</c:v>
                </c:pt>
                <c:pt idx="62">
                  <c:v>0.25737013433588557</c:v>
                </c:pt>
                <c:pt idx="63">
                  <c:v>0.25737013433588557</c:v>
                </c:pt>
                <c:pt idx="64">
                  <c:v>0.25737013433588557</c:v>
                </c:pt>
                <c:pt idx="65">
                  <c:v>0.25737013433588557</c:v>
                </c:pt>
                <c:pt idx="66">
                  <c:v>0.25737013433588557</c:v>
                </c:pt>
                <c:pt idx="67">
                  <c:v>0.25737013433588557</c:v>
                </c:pt>
                <c:pt idx="68">
                  <c:v>0.25737013433588557</c:v>
                </c:pt>
                <c:pt idx="69">
                  <c:v>0.26126725046994637</c:v>
                </c:pt>
                <c:pt idx="70">
                  <c:v>0.26126725046994637</c:v>
                </c:pt>
                <c:pt idx="71">
                  <c:v>0.26126725046994637</c:v>
                </c:pt>
                <c:pt idx="72">
                  <c:v>0.26516436660400722</c:v>
                </c:pt>
                <c:pt idx="73">
                  <c:v>0.26516436660400722</c:v>
                </c:pt>
                <c:pt idx="74">
                  <c:v>0.26906148273806796</c:v>
                </c:pt>
                <c:pt idx="75">
                  <c:v>0.26906148273806796</c:v>
                </c:pt>
                <c:pt idx="76">
                  <c:v>0.26906148273806796</c:v>
                </c:pt>
                <c:pt idx="77">
                  <c:v>0.26906148273806796</c:v>
                </c:pt>
                <c:pt idx="78">
                  <c:v>0.27295859887212875</c:v>
                </c:pt>
                <c:pt idx="79">
                  <c:v>0.27685571500618955</c:v>
                </c:pt>
                <c:pt idx="80">
                  <c:v>0.28854706340837194</c:v>
                </c:pt>
                <c:pt idx="81">
                  <c:v>0.29636421988904688</c:v>
                </c:pt>
                <c:pt idx="82">
                  <c:v>0.30026133602310762</c:v>
                </c:pt>
                <c:pt idx="83">
                  <c:v>0.3158498005593508</c:v>
                </c:pt>
                <c:pt idx="84">
                  <c:v>0.33143826509559399</c:v>
                </c:pt>
                <c:pt idx="85">
                  <c:v>0.34704965384439046</c:v>
                </c:pt>
                <c:pt idx="86">
                  <c:v>0.36263811838063365</c:v>
                </c:pt>
                <c:pt idx="87">
                  <c:v>0.37824950712943012</c:v>
                </c:pt>
                <c:pt idx="88">
                  <c:v>0.3938379716656733</c:v>
                </c:pt>
                <c:pt idx="89">
                  <c:v>0.41332355233597734</c:v>
                </c:pt>
                <c:pt idx="90">
                  <c:v>0.42893494108477376</c:v>
                </c:pt>
                <c:pt idx="91">
                  <c:v>0.44452340562101694</c:v>
                </c:pt>
                <c:pt idx="92">
                  <c:v>0.46013479436981342</c:v>
                </c:pt>
                <c:pt idx="93">
                  <c:v>0.4757232589060566</c:v>
                </c:pt>
                <c:pt idx="94">
                  <c:v>0.49131172344229973</c:v>
                </c:pt>
                <c:pt idx="95">
                  <c:v>0.51082022832515706</c:v>
                </c:pt>
                <c:pt idx="96">
                  <c:v>0.52640869286140035</c:v>
                </c:pt>
                <c:pt idx="97">
                  <c:v>0.54202008161019677</c:v>
                </c:pt>
                <c:pt idx="98">
                  <c:v>0.55760854614643995</c:v>
                </c:pt>
                <c:pt idx="99">
                  <c:v>0.57321993489523637</c:v>
                </c:pt>
                <c:pt idx="100">
                  <c:v>0.58880839943147956</c:v>
                </c:pt>
                <c:pt idx="101">
                  <c:v>0.60439686396772274</c:v>
                </c:pt>
                <c:pt idx="102">
                  <c:v>0.62000825271651916</c:v>
                </c:pt>
                <c:pt idx="103">
                  <c:v>0.63559671725276246</c:v>
                </c:pt>
                <c:pt idx="104">
                  <c:v>0.65120810600155898</c:v>
                </c:pt>
                <c:pt idx="105">
                  <c:v>0.66679657053780206</c:v>
                </c:pt>
                <c:pt idx="106">
                  <c:v>0.68238503507404535</c:v>
                </c:pt>
                <c:pt idx="107">
                  <c:v>0.69799642382284177</c:v>
                </c:pt>
                <c:pt idx="108">
                  <c:v>0.71358488835908496</c:v>
                </c:pt>
                <c:pt idx="109">
                  <c:v>0.72917335289532803</c:v>
                </c:pt>
                <c:pt idx="110">
                  <c:v>0.74478474164412445</c:v>
                </c:pt>
                <c:pt idx="111">
                  <c:v>0.76037320618036774</c:v>
                </c:pt>
                <c:pt idx="112">
                  <c:v>0.77598459492916427</c:v>
                </c:pt>
                <c:pt idx="113">
                  <c:v>0.79157305946540735</c:v>
                </c:pt>
                <c:pt idx="114">
                  <c:v>0.80716152400165064</c:v>
                </c:pt>
                <c:pt idx="115">
                  <c:v>0.82277291275044706</c:v>
                </c:pt>
                <c:pt idx="116">
                  <c:v>0.83836137728669013</c:v>
                </c:pt>
                <c:pt idx="117">
                  <c:v>0.85397276603548677</c:v>
                </c:pt>
                <c:pt idx="118">
                  <c:v>0.86956123057172996</c:v>
                </c:pt>
                <c:pt idx="119">
                  <c:v>0.88514969510797314</c:v>
                </c:pt>
                <c:pt idx="120">
                  <c:v>0.90076108385676956</c:v>
                </c:pt>
                <c:pt idx="121">
                  <c:v>0.91634954839301275</c:v>
                </c:pt>
                <c:pt idx="122">
                  <c:v>0.93196093714180939</c:v>
                </c:pt>
                <c:pt idx="123">
                  <c:v>0.94754940167805246</c:v>
                </c:pt>
                <c:pt idx="124">
                  <c:v>0.96313786621429576</c:v>
                </c:pt>
                <c:pt idx="125">
                  <c:v>0.97874925496309206</c:v>
                </c:pt>
                <c:pt idx="126">
                  <c:v>0.99433771949933525</c:v>
                </c:pt>
                <c:pt idx="127">
                  <c:v>1.0099491082481318</c:v>
                </c:pt>
                <c:pt idx="128">
                  <c:v>1.0255375727843747</c:v>
                </c:pt>
                <c:pt idx="129">
                  <c:v>1.0411260373206181</c:v>
                </c:pt>
                <c:pt idx="130">
                  <c:v>1.0567374260694147</c:v>
                </c:pt>
                <c:pt idx="131">
                  <c:v>1.0723258906056579</c:v>
                </c:pt>
                <c:pt idx="132">
                  <c:v>1.0879372793544542</c:v>
                </c:pt>
                <c:pt idx="133">
                  <c:v>1.1035257438906974</c:v>
                </c:pt>
                <c:pt idx="134">
                  <c:v>1.1191142084269405</c:v>
                </c:pt>
                <c:pt idx="135">
                  <c:v>1.1347255971757371</c:v>
                </c:pt>
                <c:pt idx="136">
                  <c:v>1.1503140617119803</c:v>
                </c:pt>
                <c:pt idx="137">
                  <c:v>1.1659254504607768</c:v>
                </c:pt>
                <c:pt idx="138">
                  <c:v>1.18151391499702</c:v>
                </c:pt>
                <c:pt idx="139">
                  <c:v>1.1971023795332632</c:v>
                </c:pt>
                <c:pt idx="140">
                  <c:v>1.2127137682820597</c:v>
                </c:pt>
                <c:pt idx="141">
                  <c:v>1.2283022328183029</c:v>
                </c:pt>
                <c:pt idx="142">
                  <c:v>1.2439136215670994</c:v>
                </c:pt>
                <c:pt idx="143">
                  <c:v>1.2595020861033426</c:v>
                </c:pt>
                <c:pt idx="144">
                  <c:v>1.2750905506395855</c:v>
                </c:pt>
                <c:pt idx="145">
                  <c:v>1.2907019393883821</c:v>
                </c:pt>
                <c:pt idx="146">
                  <c:v>1.306290403924625</c:v>
                </c:pt>
                <c:pt idx="147">
                  <c:v>1.3218788684608684</c:v>
                </c:pt>
                <c:pt idx="148">
                  <c:v>1.337490257209665</c:v>
                </c:pt>
                <c:pt idx="149">
                  <c:v>1.3530787217459082</c:v>
                </c:pt>
                <c:pt idx="150">
                  <c:v>1.3686901104947047</c:v>
                </c:pt>
                <c:pt idx="151">
                  <c:v>1.3842785750309479</c:v>
                </c:pt>
                <c:pt idx="152">
                  <c:v>1.3998670395671908</c:v>
                </c:pt>
                <c:pt idx="153">
                  <c:v>1.4154784283159876</c:v>
                </c:pt>
                <c:pt idx="154">
                  <c:v>1.4310668928522308</c:v>
                </c:pt>
                <c:pt idx="155">
                  <c:v>1.4466782816010271</c:v>
                </c:pt>
                <c:pt idx="156">
                  <c:v>1.4622667461372703</c:v>
                </c:pt>
                <c:pt idx="157">
                  <c:v>1.4778552106735134</c:v>
                </c:pt>
                <c:pt idx="158">
                  <c:v>1.4934665994223097</c:v>
                </c:pt>
                <c:pt idx="159">
                  <c:v>1.5090550639585532</c:v>
                </c:pt>
                <c:pt idx="160">
                  <c:v>1.5246664527073495</c:v>
                </c:pt>
                <c:pt idx="161">
                  <c:v>1.5402549172435926</c:v>
                </c:pt>
                <c:pt idx="162">
                  <c:v>1.5558433817798361</c:v>
                </c:pt>
                <c:pt idx="163">
                  <c:v>1.5714547705286324</c:v>
                </c:pt>
                <c:pt idx="164">
                  <c:v>1.5870432350648758</c:v>
                </c:pt>
                <c:pt idx="165">
                  <c:v>1.6026546238136723</c:v>
                </c:pt>
                <c:pt idx="166">
                  <c:v>1.618243088349915</c:v>
                </c:pt>
                <c:pt idx="167">
                  <c:v>1.6338315528861584</c:v>
                </c:pt>
                <c:pt idx="168">
                  <c:v>1.649442941634955</c:v>
                </c:pt>
                <c:pt idx="169">
                  <c:v>1.6650314061711982</c:v>
                </c:pt>
                <c:pt idx="170">
                  <c:v>1.6806427949199947</c:v>
                </c:pt>
                <c:pt idx="171">
                  <c:v>1.6962312594562379</c:v>
                </c:pt>
                <c:pt idx="172">
                  <c:v>1.7118197239924811</c:v>
                </c:pt>
                <c:pt idx="173">
                  <c:v>1.7274311127412776</c:v>
                </c:pt>
                <c:pt idx="174">
                  <c:v>1.7430195772775208</c:v>
                </c:pt>
                <c:pt idx="175">
                  <c:v>1.7625280821603782</c:v>
                </c:pt>
                <c:pt idx="176">
                  <c:v>1.7781165466966209</c:v>
                </c:pt>
                <c:pt idx="177">
                  <c:v>1.7937050112328643</c:v>
                </c:pt>
                <c:pt idx="178">
                  <c:v>1.8093163999816608</c:v>
                </c:pt>
                <c:pt idx="179">
                  <c:v>1.8249048645179038</c:v>
                </c:pt>
                <c:pt idx="180">
                  <c:v>1.8405162532667005</c:v>
                </c:pt>
                <c:pt idx="181">
                  <c:v>1.8600018339370044</c:v>
                </c:pt>
                <c:pt idx="182">
                  <c:v>1.8756132226858009</c:v>
                </c:pt>
                <c:pt idx="183">
                  <c:v>1.8912016872220443</c:v>
                </c:pt>
                <c:pt idx="184">
                  <c:v>1.9106872678923481</c:v>
                </c:pt>
                <c:pt idx="185">
                  <c:v>1.9262986566411446</c:v>
                </c:pt>
                <c:pt idx="186">
                  <c:v>1.9418871211773878</c:v>
                </c:pt>
                <c:pt idx="187">
                  <c:v>1.9613956260602452</c:v>
                </c:pt>
                <c:pt idx="188">
                  <c:v>1.980881206730549</c:v>
                </c:pt>
                <c:pt idx="189">
                  <c:v>1.9964925954793451</c:v>
                </c:pt>
                <c:pt idx="190">
                  <c:v>2.0159781761496496</c:v>
                </c:pt>
                <c:pt idx="191">
                  <c:v>2.0315666406858925</c:v>
                </c:pt>
                <c:pt idx="192">
                  <c:v>2.0471780294346895</c:v>
                </c:pt>
                <c:pt idx="193">
                  <c:v>2.062766493970932</c:v>
                </c:pt>
                <c:pt idx="194">
                  <c:v>2.0822749988537894</c:v>
                </c:pt>
                <c:pt idx="195">
                  <c:v>2.0978634633900328</c:v>
                </c:pt>
                <c:pt idx="196">
                  <c:v>2.1134748521388294</c:v>
                </c:pt>
                <c:pt idx="197">
                  <c:v>2.1290633166750719</c:v>
                </c:pt>
                <c:pt idx="198">
                  <c:v>2.1485488973453766</c:v>
                </c:pt>
                <c:pt idx="199">
                  <c:v>2.1641602860941727</c:v>
                </c:pt>
                <c:pt idx="200">
                  <c:v>2.1797487506304161</c:v>
                </c:pt>
                <c:pt idx="201">
                  <c:v>2.1953601393792126</c:v>
                </c:pt>
                <c:pt idx="202">
                  <c:v>2.2148457200495164</c:v>
                </c:pt>
                <c:pt idx="203">
                  <c:v>2.2343542249323733</c:v>
                </c:pt>
                <c:pt idx="204">
                  <c:v>2.2538398056026776</c:v>
                </c:pt>
                <c:pt idx="205">
                  <c:v>2.2694511943514741</c:v>
                </c:pt>
                <c:pt idx="206">
                  <c:v>2.2850396588877175</c:v>
                </c:pt>
                <c:pt idx="207">
                  <c:v>2.3006739718490672</c:v>
                </c:pt>
                <c:pt idx="208">
                  <c:v>2.3162624363853102</c:v>
                </c:pt>
                <c:pt idx="209">
                  <c:v>2.3318509009215536</c:v>
                </c:pt>
                <c:pt idx="210">
                  <c:v>2.3513364815918574</c:v>
                </c:pt>
                <c:pt idx="211">
                  <c:v>2.3669249461281008</c:v>
                </c:pt>
                <c:pt idx="212">
                  <c:v>2.3825134106643442</c:v>
                </c:pt>
                <c:pt idx="213">
                  <c:v>2.3981018752005867</c:v>
                </c:pt>
                <c:pt idx="214">
                  <c:v>2.417587455870891</c:v>
                </c:pt>
                <c:pt idx="215">
                  <c:v>2.4331759204071339</c:v>
                </c:pt>
                <c:pt idx="216">
                  <c:v>2.4487643849433773</c:v>
                </c:pt>
                <c:pt idx="217">
                  <c:v>2.4643528494796203</c:v>
                </c:pt>
                <c:pt idx="218">
                  <c:v>2.4838384301499246</c:v>
                </c:pt>
                <c:pt idx="219">
                  <c:v>2.5033240108202288</c:v>
                </c:pt>
                <c:pt idx="220">
                  <c:v>2.5189124753564718</c:v>
                </c:pt>
                <c:pt idx="221">
                  <c:v>2.5345009398927147</c:v>
                </c:pt>
                <c:pt idx="222">
                  <c:v>2.5500894044289582</c:v>
                </c:pt>
                <c:pt idx="223">
                  <c:v>2.5659071110907345</c:v>
                </c:pt>
                <c:pt idx="224">
                  <c:v>2.5814955756269771</c:v>
                </c:pt>
                <c:pt idx="225">
                  <c:v>2.6009811562972813</c:v>
                </c:pt>
                <c:pt idx="226">
                  <c:v>2.6165696208335243</c:v>
                </c:pt>
                <c:pt idx="227">
                  <c:v>2.6321580853697677</c:v>
                </c:pt>
                <c:pt idx="228">
                  <c:v>2.6477465499060107</c:v>
                </c:pt>
                <c:pt idx="229">
                  <c:v>2.6633350144422545</c:v>
                </c:pt>
                <c:pt idx="230">
                  <c:v>2.6789234789784975</c:v>
                </c:pt>
                <c:pt idx="231">
                  <c:v>2.6945119435147404</c:v>
                </c:pt>
                <c:pt idx="232">
                  <c:v>2.7101004080509838</c:v>
                </c:pt>
                <c:pt idx="233">
                  <c:v>2.7256888725872268</c:v>
                </c:pt>
                <c:pt idx="234">
                  <c:v>2.7412773371234698</c:v>
                </c:pt>
                <c:pt idx="235">
                  <c:v>2.7568658016597136</c:v>
                </c:pt>
                <c:pt idx="236">
                  <c:v>2.776351382330017</c:v>
                </c:pt>
                <c:pt idx="237">
                  <c:v>2.7919398468662604</c:v>
                </c:pt>
                <c:pt idx="238">
                  <c:v>2.8114254275365642</c:v>
                </c:pt>
                <c:pt idx="239">
                  <c:v>2.8270138920728076</c:v>
                </c:pt>
                <c:pt idx="240">
                  <c:v>2.8464994727431119</c:v>
                </c:pt>
                <c:pt idx="241">
                  <c:v>2.8620879372793544</c:v>
                </c:pt>
                <c:pt idx="242">
                  <c:v>2.8776764018155978</c:v>
                </c:pt>
                <c:pt idx="243">
                  <c:v>2.8971619824859016</c:v>
                </c:pt>
                <c:pt idx="244">
                  <c:v>2.912750447022145</c:v>
                </c:pt>
                <c:pt idx="245">
                  <c:v>2.9322360276924488</c:v>
                </c:pt>
                <c:pt idx="246">
                  <c:v>2.9478244922286923</c:v>
                </c:pt>
                <c:pt idx="247">
                  <c:v>2.9636421988904686</c:v>
                </c:pt>
                <c:pt idx="248">
                  <c:v>2.9792306634267116</c:v>
                </c:pt>
                <c:pt idx="249">
                  <c:v>2.9987162440970154</c:v>
                </c:pt>
                <c:pt idx="250">
                  <c:v>3.0220989409013805</c:v>
                </c:pt>
                <c:pt idx="251">
                  <c:v>3.0454816377057448</c:v>
                </c:pt>
                <c:pt idx="252">
                  <c:v>3.0688643345101099</c:v>
                </c:pt>
                <c:pt idx="253">
                  <c:v>3.0922470313144741</c:v>
                </c:pt>
                <c:pt idx="254">
                  <c:v>3.1156297281188392</c:v>
                </c:pt>
                <c:pt idx="255">
                  <c:v>3.1390124249232043</c:v>
                </c:pt>
                <c:pt idx="256">
                  <c:v>3.1623951217275685</c:v>
                </c:pt>
                <c:pt idx="257">
                  <c:v>3.1857778185319336</c:v>
                </c:pt>
                <c:pt idx="258">
                  <c:v>3.2091605153362988</c:v>
                </c:pt>
                <c:pt idx="259">
                  <c:v>3.2364403282747243</c:v>
                </c:pt>
                <c:pt idx="260">
                  <c:v>3.2637201412131498</c:v>
                </c:pt>
                <c:pt idx="261">
                  <c:v>3.287102838017514</c:v>
                </c:pt>
                <c:pt idx="262">
                  <c:v>3.31438265095594</c:v>
                </c:pt>
                <c:pt idx="263">
                  <c:v>3.3416624638943659</c:v>
                </c:pt>
                <c:pt idx="264">
                  <c:v>3.369171518958324</c:v>
                </c:pt>
                <c:pt idx="265">
                  <c:v>3.3925542157626891</c:v>
                </c:pt>
                <c:pt idx="266">
                  <c:v>3.4159369125670533</c:v>
                </c:pt>
                <c:pt idx="267">
                  <c:v>3.4393196093714185</c:v>
                </c:pt>
                <c:pt idx="268">
                  <c:v>3.4627023061757831</c:v>
                </c:pt>
                <c:pt idx="269">
                  <c:v>3.4899821191142091</c:v>
                </c:pt>
                <c:pt idx="270">
                  <c:v>3.5172619320526342</c:v>
                </c:pt>
                <c:pt idx="271">
                  <c:v>3.5445417449910597</c:v>
                </c:pt>
                <c:pt idx="272">
                  <c:v>3.5718215579294856</c:v>
                </c:pt>
                <c:pt idx="273">
                  <c:v>3.5991013708679107</c:v>
                </c:pt>
                <c:pt idx="274">
                  <c:v>3.6263811838063367</c:v>
                </c:pt>
                <c:pt idx="275">
                  <c:v>3.6536609967447622</c:v>
                </c:pt>
                <c:pt idx="276">
                  <c:v>3.6770436935491269</c:v>
                </c:pt>
                <c:pt idx="277">
                  <c:v>3.7043235064875524</c:v>
                </c:pt>
                <c:pt idx="278">
                  <c:v>3.7316033194259783</c:v>
                </c:pt>
                <c:pt idx="279">
                  <c:v>3.755215258355876</c:v>
                </c:pt>
                <c:pt idx="280">
                  <c:v>3.7785979551602407</c:v>
                </c:pt>
                <c:pt idx="281">
                  <c:v>3.8058777680986662</c:v>
                </c:pt>
                <c:pt idx="282">
                  <c:v>3.8292604649030304</c:v>
                </c:pt>
                <c:pt idx="283">
                  <c:v>3.8565402778414564</c:v>
                </c:pt>
                <c:pt idx="284">
                  <c:v>3.8799229746458215</c:v>
                </c:pt>
                <c:pt idx="285">
                  <c:v>3.9033056714501861</c:v>
                </c:pt>
                <c:pt idx="286">
                  <c:v>3.9266883682545508</c:v>
                </c:pt>
                <c:pt idx="287">
                  <c:v>3.9539681811929759</c:v>
                </c:pt>
                <c:pt idx="288">
                  <c:v>3.977350877997341</c:v>
                </c:pt>
                <c:pt idx="289">
                  <c:v>4.0007335748017061</c:v>
                </c:pt>
                <c:pt idx="290">
                  <c:v>4.031910503874192</c:v>
                </c:pt>
                <c:pt idx="291">
                  <c:v>4.0630874329466788</c:v>
                </c:pt>
                <c:pt idx="292">
                  <c:v>4.0942643620191648</c:v>
                </c:pt>
                <c:pt idx="293">
                  <c:v>4.1254412910916516</c:v>
                </c:pt>
                <c:pt idx="294">
                  <c:v>4.1568474622896714</c:v>
                </c:pt>
                <c:pt idx="295">
                  <c:v>4.1880243913621573</c:v>
                </c:pt>
                <c:pt idx="296">
                  <c:v>4.2230984365687041</c:v>
                </c:pt>
                <c:pt idx="297">
                  <c:v>4.2542753656411909</c:v>
                </c:pt>
                <c:pt idx="298">
                  <c:v>4.2893494108477386</c:v>
                </c:pt>
                <c:pt idx="299">
                  <c:v>4.3244234560542845</c:v>
                </c:pt>
                <c:pt idx="300">
                  <c:v>4.3594975012608321</c:v>
                </c:pt>
                <c:pt idx="301">
                  <c:v>4.3906744303333181</c:v>
                </c:pt>
                <c:pt idx="302">
                  <c:v>4.4257484755398657</c:v>
                </c:pt>
                <c:pt idx="303">
                  <c:v>4.4608225207464125</c:v>
                </c:pt>
                <c:pt idx="304">
                  <c:v>4.4958965659529602</c:v>
                </c:pt>
                <c:pt idx="305">
                  <c:v>4.5309706111595069</c:v>
                </c:pt>
                <c:pt idx="306">
                  <c:v>4.5662738984915876</c:v>
                </c:pt>
                <c:pt idx="307">
                  <c:v>4.6052450598321952</c:v>
                </c:pt>
                <c:pt idx="308">
                  <c:v>4.640319105038742</c:v>
                </c:pt>
                <c:pt idx="309">
                  <c:v>4.6753931502452897</c:v>
                </c:pt>
                <c:pt idx="310">
                  <c:v>4.7065700793177756</c:v>
                </c:pt>
                <c:pt idx="311">
                  <c:v>4.7416441245243233</c:v>
                </c:pt>
                <c:pt idx="312">
                  <c:v>4.77671816973087</c:v>
                </c:pt>
                <c:pt idx="313">
                  <c:v>4.8156893310714786</c:v>
                </c:pt>
                <c:pt idx="314">
                  <c:v>4.8507633762780253</c:v>
                </c:pt>
                <c:pt idx="315">
                  <c:v>4.8819403053505113</c:v>
                </c:pt>
                <c:pt idx="316">
                  <c:v>4.9170143505570589</c:v>
                </c:pt>
                <c:pt idx="317">
                  <c:v>4.9484205217550787</c:v>
                </c:pt>
                <c:pt idx="318">
                  <c:v>4.9834945669616246</c:v>
                </c:pt>
                <c:pt idx="319">
                  <c:v>5.0146714960341114</c:v>
                </c:pt>
                <c:pt idx="320">
                  <c:v>5.0614368896428408</c:v>
                </c:pt>
                <c:pt idx="321">
                  <c:v>5.1043051671175101</c:v>
                </c:pt>
                <c:pt idx="322">
                  <c:v>5.1432763284581187</c:v>
                </c:pt>
                <c:pt idx="323">
                  <c:v>5.1822474897987254</c:v>
                </c:pt>
                <c:pt idx="324">
                  <c:v>5.2290128834074547</c:v>
                </c:pt>
                <c:pt idx="325">
                  <c:v>5.2757782770161841</c:v>
                </c:pt>
                <c:pt idx="326">
                  <c:v>5.3147494383567926</c:v>
                </c:pt>
                <c:pt idx="327">
                  <c:v>5.3539498418229341</c:v>
                </c:pt>
                <c:pt idx="328">
                  <c:v>5.3929210031635417</c:v>
                </c:pt>
                <c:pt idx="329">
                  <c:v>5.4318921645041494</c:v>
                </c:pt>
                <c:pt idx="330">
                  <c:v>5.4708633258447579</c:v>
                </c:pt>
                <c:pt idx="331">
                  <c:v>5.5098344871853655</c:v>
                </c:pt>
                <c:pt idx="332">
                  <c:v>5.548805648525974</c:v>
                </c:pt>
                <c:pt idx="333">
                  <c:v>5.5877768098665808</c:v>
                </c:pt>
                <c:pt idx="334">
                  <c:v>5.6267479712071893</c:v>
                </c:pt>
                <c:pt idx="335">
                  <c:v>5.6657191325477978</c:v>
                </c:pt>
                <c:pt idx="336">
                  <c:v>5.7046902938884045</c:v>
                </c:pt>
                <c:pt idx="337">
                  <c:v>5.7477878134886069</c:v>
                </c:pt>
                <c:pt idx="338">
                  <c:v>5.7867589748292154</c:v>
                </c:pt>
                <c:pt idx="339">
                  <c:v>5.825730136169823</c:v>
                </c:pt>
                <c:pt idx="340">
                  <c:v>5.8647012975104316</c:v>
                </c:pt>
                <c:pt idx="341">
                  <c:v>5.9036724588510383</c:v>
                </c:pt>
                <c:pt idx="342">
                  <c:v>5.9426436201916477</c:v>
                </c:pt>
                <c:pt idx="343">
                  <c:v>5.9816147815322553</c:v>
                </c:pt>
                <c:pt idx="344">
                  <c:v>6.0205859428728621</c:v>
                </c:pt>
                <c:pt idx="345">
                  <c:v>6.0712484526156523</c:v>
                </c:pt>
                <c:pt idx="346">
                  <c:v>6.1221402044839763</c:v>
                </c:pt>
                <c:pt idx="347">
                  <c:v>6.1728027142267665</c:v>
                </c:pt>
                <c:pt idx="348">
                  <c:v>6.2273623401036167</c:v>
                </c:pt>
                <c:pt idx="349">
                  <c:v>6.2780248498464086</c:v>
                </c:pt>
                <c:pt idx="350">
                  <c:v>6.3286873595891988</c:v>
                </c:pt>
                <c:pt idx="351">
                  <c:v>6.383246985466049</c:v>
                </c:pt>
                <c:pt idx="352">
                  <c:v>6.4339094952088409</c:v>
                </c:pt>
                <c:pt idx="353">
                  <c:v>6.4884691210856911</c:v>
                </c:pt>
                <c:pt idx="354">
                  <c:v>6.5393608729540142</c:v>
                </c:pt>
                <c:pt idx="355">
                  <c:v>6.5939204988308653</c:v>
                </c:pt>
                <c:pt idx="356">
                  <c:v>6.6445830085736572</c:v>
                </c:pt>
                <c:pt idx="357">
                  <c:v>6.6991426344505074</c:v>
                </c:pt>
                <c:pt idx="358">
                  <c:v>6.7537022603273584</c:v>
                </c:pt>
                <c:pt idx="359">
                  <c:v>6.8082618862042095</c:v>
                </c:pt>
                <c:pt idx="360">
                  <c:v>6.8550272798129388</c:v>
                </c:pt>
                <c:pt idx="361">
                  <c:v>6.9098161478153237</c:v>
                </c:pt>
                <c:pt idx="362">
                  <c:v>6.9643757736921748</c:v>
                </c:pt>
                <c:pt idx="363">
                  <c:v>7.0189353995690249</c:v>
                </c:pt>
                <c:pt idx="364">
                  <c:v>7.0734950254458768</c:v>
                </c:pt>
                <c:pt idx="365">
                  <c:v>7.1319517674567887</c:v>
                </c:pt>
                <c:pt idx="366">
                  <c:v>7.1904085094677006</c:v>
                </c:pt>
                <c:pt idx="367">
                  <c:v>7.2449681353445516</c:v>
                </c:pt>
                <c:pt idx="368">
                  <c:v>7.3036541194809974</c:v>
                </c:pt>
                <c:pt idx="369">
                  <c:v>7.3621108614919075</c:v>
                </c:pt>
                <c:pt idx="370">
                  <c:v>7.4205676035028203</c:v>
                </c:pt>
                <c:pt idx="371">
                  <c:v>7.4790243455137322</c:v>
                </c:pt>
                <c:pt idx="372">
                  <c:v>7.5374810875246441</c:v>
                </c:pt>
                <c:pt idx="373">
                  <c:v>7.5998349456696168</c:v>
                </c:pt>
                <c:pt idx="374">
                  <c:v>7.6582916876805287</c:v>
                </c:pt>
                <c:pt idx="375">
                  <c:v>7.7208747879510344</c:v>
                </c:pt>
                <c:pt idx="376">
                  <c:v>7.7832286460960072</c:v>
                </c:pt>
                <c:pt idx="377">
                  <c:v>7.8416853881069191</c:v>
                </c:pt>
                <c:pt idx="378">
                  <c:v>7.9040392462518927</c:v>
                </c:pt>
                <c:pt idx="379">
                  <c:v>7.9663931043968645</c:v>
                </c:pt>
                <c:pt idx="380">
                  <c:v>8.0287469625418364</c:v>
                </c:pt>
                <c:pt idx="381">
                  <c:v>8.1030214112145256</c:v>
                </c:pt>
                <c:pt idx="382">
                  <c:v>8.1653752693594974</c:v>
                </c:pt>
                <c:pt idx="383">
                  <c:v>8.2277291275044711</c:v>
                </c:pt>
                <c:pt idx="384">
                  <c:v>8.2900829856494429</c:v>
                </c:pt>
                <c:pt idx="385">
                  <c:v>8.3524368437944165</c:v>
                </c:pt>
                <c:pt idx="386">
                  <c:v>8.4147907019393884</c:v>
                </c:pt>
                <c:pt idx="387">
                  <c:v>8.477144560084362</c:v>
                </c:pt>
                <c:pt idx="388">
                  <c:v>8.5436247764889277</c:v>
                </c:pt>
                <c:pt idx="389">
                  <c:v>8.6059786346339031</c:v>
                </c:pt>
                <c:pt idx="390">
                  <c:v>8.6722296089129358</c:v>
                </c:pt>
                <c:pt idx="391">
                  <c:v>8.7384805831919685</c:v>
                </c:pt>
                <c:pt idx="392">
                  <c:v>8.8008344413369404</c:v>
                </c:pt>
                <c:pt idx="393">
                  <c:v>8.8670854156159749</c:v>
                </c:pt>
                <c:pt idx="394">
                  <c:v>8.9335656320205405</c:v>
                </c:pt>
                <c:pt idx="395">
                  <c:v>8.9959194901655124</c:v>
                </c:pt>
                <c:pt idx="396">
                  <c:v>9.0738618128467294</c:v>
                </c:pt>
                <c:pt idx="397">
                  <c:v>9.1518041355279465</c:v>
                </c:pt>
                <c:pt idx="398">
                  <c:v>9.22974645820916</c:v>
                </c:pt>
                <c:pt idx="399">
                  <c:v>9.3079180230159082</c:v>
                </c:pt>
                <c:pt idx="400">
                  <c:v>9.3897574618311879</c:v>
                </c:pt>
                <c:pt idx="401">
                  <c:v>9.4676997845124031</c:v>
                </c:pt>
                <c:pt idx="402">
                  <c:v>9.5456421071936184</c:v>
                </c:pt>
                <c:pt idx="403">
                  <c:v>9.6235844298748354</c:v>
                </c:pt>
                <c:pt idx="404">
                  <c:v>9.7017559946815837</c:v>
                </c:pt>
                <c:pt idx="405">
                  <c:v>9.7796983173628007</c:v>
                </c:pt>
                <c:pt idx="406">
                  <c:v>9.8576406400440142</c:v>
                </c:pt>
                <c:pt idx="407">
                  <c:v>9.9355829627252312</c:v>
                </c:pt>
                <c:pt idx="408">
                  <c:v>10.017422401540509</c:v>
                </c:pt>
                <c:pt idx="409">
                  <c:v>10.095593966347257</c:v>
                </c:pt>
                <c:pt idx="410">
                  <c:v>10.173536289028473</c:v>
                </c:pt>
                <c:pt idx="411">
                  <c:v>10.255375727843751</c:v>
                </c:pt>
                <c:pt idx="412">
                  <c:v>10.337215166659025</c:v>
                </c:pt>
                <c:pt idx="413">
                  <c:v>10.415157489340242</c:v>
                </c:pt>
                <c:pt idx="414">
                  <c:v>10.49332905414699</c:v>
                </c:pt>
                <c:pt idx="415">
                  <c:v>10.575168492962268</c:v>
                </c:pt>
                <c:pt idx="416">
                  <c:v>10.657007931777544</c:v>
                </c:pt>
                <c:pt idx="417">
                  <c:v>10.738847370592822</c:v>
                </c:pt>
                <c:pt idx="418">
                  <c:v>10.816789693274037</c:v>
                </c:pt>
                <c:pt idx="419">
                  <c:v>10.902755490348907</c:v>
                </c:pt>
                <c:pt idx="420">
                  <c:v>10.984594929164185</c:v>
                </c:pt>
                <c:pt idx="421">
                  <c:v>11.078125716381644</c:v>
                </c:pt>
                <c:pt idx="422">
                  <c:v>11.163862271330981</c:v>
                </c:pt>
                <c:pt idx="423">
                  <c:v>11.257622300673972</c:v>
                </c:pt>
                <c:pt idx="424">
                  <c:v>11.355050204025492</c:v>
                </c:pt>
                <c:pt idx="425">
                  <c:v>11.448580991242952</c:v>
                </c:pt>
                <c:pt idx="426">
                  <c:v>11.546008894594472</c:v>
                </c:pt>
                <c:pt idx="427">
                  <c:v>11.639539681811931</c:v>
                </c:pt>
                <c:pt idx="428">
                  <c:v>11.725505478886802</c:v>
                </c:pt>
                <c:pt idx="429">
                  <c:v>11.822933382238322</c:v>
                </c:pt>
                <c:pt idx="430">
                  <c:v>11.908669937187659</c:v>
                </c:pt>
                <c:pt idx="431">
                  <c:v>12.006097840539178</c:v>
                </c:pt>
                <c:pt idx="432">
                  <c:v>12.103754986016231</c:v>
                </c:pt>
                <c:pt idx="433">
                  <c:v>12.205080005501811</c:v>
                </c:pt>
                <c:pt idx="434">
                  <c:v>12.302507908853332</c:v>
                </c:pt>
                <c:pt idx="435">
                  <c:v>12.39993581220485</c:v>
                </c:pt>
                <c:pt idx="436">
                  <c:v>12.497592957681904</c:v>
                </c:pt>
                <c:pt idx="437">
                  <c:v>12.598917977167485</c:v>
                </c:pt>
                <c:pt idx="438">
                  <c:v>12.696345880519006</c:v>
                </c:pt>
                <c:pt idx="439">
                  <c:v>12.797670900004587</c:v>
                </c:pt>
                <c:pt idx="440">
                  <c:v>12.899225161615702</c:v>
                </c:pt>
                <c:pt idx="441">
                  <c:v>13.000550181101282</c:v>
                </c:pt>
                <c:pt idx="442">
                  <c:v>13.101875200586861</c:v>
                </c:pt>
                <c:pt idx="443">
                  <c:v>13.203200220072443</c:v>
                </c:pt>
                <c:pt idx="444">
                  <c:v>13.308651597817615</c:v>
                </c:pt>
                <c:pt idx="445">
                  <c:v>13.409976617303196</c:v>
                </c:pt>
                <c:pt idx="446">
                  <c:v>13.515198752922837</c:v>
                </c:pt>
                <c:pt idx="447">
                  <c:v>13.616753014533952</c:v>
                </c:pt>
                <c:pt idx="448">
                  <c:v>13.718078034019532</c:v>
                </c:pt>
                <c:pt idx="449">
                  <c:v>13.827197285773234</c:v>
                </c:pt>
                <c:pt idx="450">
                  <c:v>13.932419421392877</c:v>
                </c:pt>
                <c:pt idx="451">
                  <c:v>14.03787079913805</c:v>
                </c:pt>
                <c:pt idx="452">
                  <c:v>14.146990050891754</c:v>
                </c:pt>
                <c:pt idx="453">
                  <c:v>14.267800651047638</c:v>
                </c:pt>
                <c:pt idx="454">
                  <c:v>14.392508367337584</c:v>
                </c:pt>
                <c:pt idx="455">
                  <c:v>14.513548209619001</c:v>
                </c:pt>
                <c:pt idx="456">
                  <c:v>14.634358809774884</c:v>
                </c:pt>
                <c:pt idx="457">
                  <c:v>14.755169409930769</c:v>
                </c:pt>
                <c:pt idx="458">
                  <c:v>14.864517903810004</c:v>
                </c:pt>
                <c:pt idx="459">
                  <c:v>14.985328503965892</c:v>
                </c:pt>
                <c:pt idx="460">
                  <c:v>15.106139104121777</c:v>
                </c:pt>
                <c:pt idx="461">
                  <c:v>15.227178946403193</c:v>
                </c:pt>
                <c:pt idx="462">
                  <c:v>15.351886662693138</c:v>
                </c:pt>
                <c:pt idx="463">
                  <c:v>15.472697262849023</c:v>
                </c:pt>
                <c:pt idx="464">
                  <c:v>15.59373710513044</c:v>
                </c:pt>
                <c:pt idx="465">
                  <c:v>15.714547705286323</c:v>
                </c:pt>
                <c:pt idx="466">
                  <c:v>15.835358305442208</c:v>
                </c:pt>
                <c:pt idx="467">
                  <c:v>15.956168905598092</c:v>
                </c:pt>
                <c:pt idx="468">
                  <c:v>16.081105864013573</c:v>
                </c:pt>
                <c:pt idx="469">
                  <c:v>16.217504928705701</c:v>
                </c:pt>
                <c:pt idx="470">
                  <c:v>16.342212644995644</c:v>
                </c:pt>
                <c:pt idx="471">
                  <c:v>16.478840951813307</c:v>
                </c:pt>
                <c:pt idx="472">
                  <c:v>16.603548668103251</c:v>
                </c:pt>
                <c:pt idx="473">
                  <c:v>16.739947732795379</c:v>
                </c:pt>
                <c:pt idx="474">
                  <c:v>16.864884691210857</c:v>
                </c:pt>
                <c:pt idx="475">
                  <c:v>16.989592407500805</c:v>
                </c:pt>
                <c:pt idx="476">
                  <c:v>17.129888588326992</c:v>
                </c:pt>
                <c:pt idx="477">
                  <c:v>17.270414011278714</c:v>
                </c:pt>
                <c:pt idx="478">
                  <c:v>17.410710192104901</c:v>
                </c:pt>
                <c:pt idx="479">
                  <c:v>17.554903489065151</c:v>
                </c:pt>
                <c:pt idx="480">
                  <c:v>17.695428912016872</c:v>
                </c:pt>
                <c:pt idx="481">
                  <c:v>17.835725092843063</c:v>
                </c:pt>
                <c:pt idx="482">
                  <c:v>17.980147631928848</c:v>
                </c:pt>
                <c:pt idx="483">
                  <c:v>18.124340928889097</c:v>
                </c:pt>
                <c:pt idx="484">
                  <c:v>18.264637109715284</c:v>
                </c:pt>
                <c:pt idx="485">
                  <c:v>18.409059648801065</c:v>
                </c:pt>
                <c:pt idx="486">
                  <c:v>18.553252945761315</c:v>
                </c:pt>
                <c:pt idx="487">
                  <c:v>18.701343358855624</c:v>
                </c:pt>
                <c:pt idx="488">
                  <c:v>18.849663014075468</c:v>
                </c:pt>
                <c:pt idx="489">
                  <c:v>18.997753427169776</c:v>
                </c:pt>
                <c:pt idx="490">
                  <c:v>19.149970198523683</c:v>
                </c:pt>
                <c:pt idx="491">
                  <c:v>19.301957727752054</c:v>
                </c:pt>
                <c:pt idx="492">
                  <c:v>19.453945256980422</c:v>
                </c:pt>
                <c:pt idx="493">
                  <c:v>19.606162028334328</c:v>
                </c:pt>
                <c:pt idx="494">
                  <c:v>19.75425244142864</c:v>
                </c:pt>
                <c:pt idx="495">
                  <c:v>19.906239970657008</c:v>
                </c:pt>
                <c:pt idx="496">
                  <c:v>20.054559625876855</c:v>
                </c:pt>
                <c:pt idx="497">
                  <c:v>20.222135619641467</c:v>
                </c:pt>
                <c:pt idx="498">
                  <c:v>20.389940855531613</c:v>
                </c:pt>
                <c:pt idx="499">
                  <c:v>20.557516849296228</c:v>
                </c:pt>
                <c:pt idx="500">
                  <c:v>20.725322085186377</c:v>
                </c:pt>
                <c:pt idx="501">
                  <c:v>20.889000962816926</c:v>
                </c:pt>
                <c:pt idx="502">
                  <c:v>21.060474072715607</c:v>
                </c:pt>
                <c:pt idx="503">
                  <c:v>21.22438219247169</c:v>
                </c:pt>
                <c:pt idx="504">
                  <c:v>21.391958186236302</c:v>
                </c:pt>
                <c:pt idx="505">
                  <c:v>21.555866305992392</c:v>
                </c:pt>
                <c:pt idx="506">
                  <c:v>21.723442299757004</c:v>
                </c:pt>
                <c:pt idx="507">
                  <c:v>21.894915409655678</c:v>
                </c:pt>
                <c:pt idx="508">
                  <c:v>22.062720645545827</c:v>
                </c:pt>
                <c:pt idx="509">
                  <c:v>22.245885103846685</c:v>
                </c:pt>
                <c:pt idx="510">
                  <c:v>22.429278804273071</c:v>
                </c:pt>
                <c:pt idx="511">
                  <c:v>22.612443262573933</c:v>
                </c:pt>
                <c:pt idx="512">
                  <c:v>22.799734079134385</c:v>
                </c:pt>
                <c:pt idx="513">
                  <c:v>22.986107927192702</c:v>
                </c:pt>
                <c:pt idx="514">
                  <c:v>23.169501627619095</c:v>
                </c:pt>
                <c:pt idx="515">
                  <c:v>23.352895328045484</c:v>
                </c:pt>
                <c:pt idx="516">
                  <c:v>23.540873870982534</c:v>
                </c:pt>
                <c:pt idx="517">
                  <c:v>23.724267571408927</c:v>
                </c:pt>
                <c:pt idx="518">
                  <c:v>23.909953693090642</c:v>
                </c:pt>
                <c:pt idx="519">
                  <c:v>24.102517078538355</c:v>
                </c:pt>
                <c:pt idx="520">
                  <c:v>24.288203200220075</c:v>
                </c:pt>
                <c:pt idx="521">
                  <c:v>24.492228691944437</c:v>
                </c:pt>
                <c:pt idx="522">
                  <c:v>24.682499656136816</c:v>
                </c:pt>
                <c:pt idx="523">
                  <c:v>24.875063041584522</c:v>
                </c:pt>
                <c:pt idx="524">
                  <c:v>25.065334005776904</c:v>
                </c:pt>
                <c:pt idx="525">
                  <c:v>25.260189812479947</c:v>
                </c:pt>
                <c:pt idx="526">
                  <c:v>25.455045619182986</c:v>
                </c:pt>
                <c:pt idx="527">
                  <c:v>25.649901425886025</c:v>
                </c:pt>
                <c:pt idx="528">
                  <c:v>25.860804181376366</c:v>
                </c:pt>
                <c:pt idx="529">
                  <c:v>26.055659988079409</c:v>
                </c:pt>
                <c:pt idx="530">
                  <c:v>26.271147586080421</c:v>
                </c:pt>
                <c:pt idx="531">
                  <c:v>26.484342762826095</c:v>
                </c:pt>
                <c:pt idx="532">
                  <c:v>26.690660675805788</c:v>
                </c:pt>
                <c:pt idx="533">
                  <c:v>26.901563431296136</c:v>
                </c:pt>
                <c:pt idx="534">
                  <c:v>27.112466186786488</c:v>
                </c:pt>
                <c:pt idx="535">
                  <c:v>27.323368942276836</c:v>
                </c:pt>
                <c:pt idx="536">
                  <c:v>27.534271697767185</c:v>
                </c:pt>
                <c:pt idx="537">
                  <c:v>27.756636559534179</c:v>
                </c:pt>
                <c:pt idx="538">
                  <c:v>27.981293842556507</c:v>
                </c:pt>
                <c:pt idx="539">
                  <c:v>28.203658704323509</c:v>
                </c:pt>
                <c:pt idx="540">
                  <c:v>28.435193251111826</c:v>
                </c:pt>
                <c:pt idx="541">
                  <c:v>28.659850534134158</c:v>
                </c:pt>
                <c:pt idx="542">
                  <c:v>28.886800238411809</c:v>
                </c:pt>
                <c:pt idx="543">
                  <c:v>29.11374994268947</c:v>
                </c:pt>
                <c:pt idx="544">
                  <c:v>29.338407225711798</c:v>
                </c:pt>
                <c:pt idx="545">
                  <c:v>29.565356929989456</c:v>
                </c:pt>
                <c:pt idx="546">
                  <c:v>29.792306634267113</c:v>
                </c:pt>
                <c:pt idx="547">
                  <c:v>30.016963917289448</c:v>
                </c:pt>
                <c:pt idx="548">
                  <c:v>30.262252991609738</c:v>
                </c:pt>
                <c:pt idx="549">
                  <c:v>30.509834487185369</c:v>
                </c:pt>
                <c:pt idx="550">
                  <c:v>30.75053871899501</c:v>
                </c:pt>
                <c:pt idx="551">
                  <c:v>30.98895052954931</c:v>
                </c:pt>
                <c:pt idx="552">
                  <c:v>31.24570171014626</c:v>
                </c:pt>
                <c:pt idx="553">
                  <c:v>31.495575626977217</c:v>
                </c:pt>
                <c:pt idx="554">
                  <c:v>31.745449543808174</c:v>
                </c:pt>
                <c:pt idx="555">
                  <c:v>31.997615881894458</c:v>
                </c:pt>
                <c:pt idx="556">
                  <c:v>32.252074641236078</c:v>
                </c:pt>
                <c:pt idx="557">
                  <c:v>32.501948558067028</c:v>
                </c:pt>
                <c:pt idx="558">
                  <c:v>32.754114896153318</c:v>
                </c:pt>
                <c:pt idx="559">
                  <c:v>33.008573655494942</c:v>
                </c:pt>
                <c:pt idx="560">
                  <c:v>33.276786942368531</c:v>
                </c:pt>
                <c:pt idx="561">
                  <c:v>33.547292650497461</c:v>
                </c:pt>
                <c:pt idx="562">
                  <c:v>33.810921094860397</c:v>
                </c:pt>
                <c:pt idx="563">
                  <c:v>34.072257117968</c:v>
                </c:pt>
                <c:pt idx="564">
                  <c:v>34.33817798358627</c:v>
                </c:pt>
                <c:pt idx="565">
                  <c:v>34.606391270459859</c:v>
                </c:pt>
                <c:pt idx="566">
                  <c:v>34.872312136078129</c:v>
                </c:pt>
                <c:pt idx="567">
                  <c:v>35.138233001696392</c:v>
                </c:pt>
                <c:pt idx="568">
                  <c:v>35.422493237357301</c:v>
                </c:pt>
                <c:pt idx="569">
                  <c:v>35.706753473018196</c:v>
                </c:pt>
                <c:pt idx="570">
                  <c:v>35.984136444913119</c:v>
                </c:pt>
                <c:pt idx="571">
                  <c:v>36.263811838063368</c:v>
                </c:pt>
                <c:pt idx="572">
                  <c:v>36.545779652468944</c:v>
                </c:pt>
                <c:pt idx="573">
                  <c:v>36.834624730640499</c:v>
                </c:pt>
                <c:pt idx="574">
                  <c:v>37.118884966301408</c:v>
                </c:pt>
                <c:pt idx="575">
                  <c:v>37.419192150749623</c:v>
                </c:pt>
                <c:pt idx="576">
                  <c:v>37.721791756453172</c:v>
                </c:pt>
                <c:pt idx="577">
                  <c:v>38.010636834624727</c:v>
                </c:pt>
                <c:pt idx="578">
                  <c:v>38.320113704094268</c:v>
                </c:pt>
                <c:pt idx="579">
                  <c:v>38.62271330979781</c:v>
                </c:pt>
                <c:pt idx="580">
                  <c:v>38.932190179267344</c:v>
                </c:pt>
                <c:pt idx="581">
                  <c:v>39.234789784970886</c:v>
                </c:pt>
                <c:pt idx="582">
                  <c:v>39.539681811929761</c:v>
                </c:pt>
                <c:pt idx="583">
                  <c:v>39.856035945165281</c:v>
                </c:pt>
                <c:pt idx="584">
                  <c:v>40.174682499656143</c:v>
                </c:pt>
                <c:pt idx="585">
                  <c:v>40.491036632891664</c:v>
                </c:pt>
                <c:pt idx="586">
                  <c:v>40.802805923616532</c:v>
                </c:pt>
                <c:pt idx="587">
                  <c:v>41.126037320618039</c:v>
                </c:pt>
                <c:pt idx="588">
                  <c:v>41.458438402640873</c:v>
                </c:pt>
                <c:pt idx="589">
                  <c:v>41.781669799642387</c:v>
                </c:pt>
                <c:pt idx="590">
                  <c:v>42.104901196643894</c:v>
                </c:pt>
                <c:pt idx="591">
                  <c:v>42.444179542432721</c:v>
                </c:pt>
                <c:pt idx="592">
                  <c:v>42.783457888221541</c:v>
                </c:pt>
                <c:pt idx="593">
                  <c:v>43.111274127733715</c:v>
                </c:pt>
                <c:pt idx="594">
                  <c:v>43.445967631011882</c:v>
                </c:pt>
                <c:pt idx="595">
                  <c:v>43.785245976800702</c:v>
                </c:pt>
                <c:pt idx="596">
                  <c:v>44.124524322589522</c:v>
                </c:pt>
                <c:pt idx="597">
                  <c:v>44.472972353399662</c:v>
                </c:pt>
                <c:pt idx="598">
                  <c:v>44.819127962954475</c:v>
                </c:pt>
                <c:pt idx="599">
                  <c:v>45.162991151253955</c:v>
                </c:pt>
                <c:pt idx="600">
                  <c:v>45.525193709596081</c:v>
                </c:pt>
                <c:pt idx="601">
                  <c:v>45.875934161661547</c:v>
                </c:pt>
                <c:pt idx="602">
                  <c:v>46.23125945623768</c:v>
                </c:pt>
                <c:pt idx="603">
                  <c:v>46.588877172069139</c:v>
                </c:pt>
                <c:pt idx="604">
                  <c:v>46.955664572921926</c:v>
                </c:pt>
                <c:pt idx="605">
                  <c:v>47.294942918710746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EA-4ABE-BE74-FA08B097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318471"/>
        <c:axId val="56168456"/>
      </c:lineChart>
      <c:catAx>
        <c:axId val="1712318471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68456"/>
        <c:crosses val="autoZero"/>
        <c:auto val="1"/>
        <c:lblAlgn val="ctr"/>
        <c:lblOffset val="100"/>
        <c:noMultiLvlLbl val="0"/>
      </c:catAx>
      <c:valAx>
        <c:axId val="5616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2318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'A11-2'!$C$2:$C$608</c:f>
              <c:numCache>
                <c:formatCode>0.00</c:formatCode>
                <c:ptCount val="607"/>
                <c:pt idx="0">
                  <c:v>1.2469799999999999E-4</c:v>
                </c:pt>
                <c:pt idx="1">
                  <c:v>1.31602E-2</c:v>
                </c:pt>
                <c:pt idx="2">
                  <c:v>1.3271999999999999E-2</c:v>
                </c:pt>
                <c:pt idx="3">
                  <c:v>1.3381799999999999E-2</c:v>
                </c:pt>
                <c:pt idx="4">
                  <c:v>1.3493399999999999E-2</c:v>
                </c:pt>
                <c:pt idx="5">
                  <c:v>1.3605000000000001E-2</c:v>
                </c:pt>
                <c:pt idx="6">
                  <c:v>1.3716799999999999E-2</c:v>
                </c:pt>
                <c:pt idx="7">
                  <c:v>1.38266E-2</c:v>
                </c:pt>
                <c:pt idx="8">
                  <c:v>1.3938200000000001E-2</c:v>
                </c:pt>
                <c:pt idx="9">
                  <c:v>1.4049799999999999E-2</c:v>
                </c:pt>
                <c:pt idx="10">
                  <c:v>1.41598E-2</c:v>
                </c:pt>
                <c:pt idx="11">
                  <c:v>1.42696E-2</c:v>
                </c:pt>
                <c:pt idx="12">
                  <c:v>1.43812E-2</c:v>
                </c:pt>
                <c:pt idx="13">
                  <c:v>1.4492799999999998E-2</c:v>
                </c:pt>
                <c:pt idx="14">
                  <c:v>1.46324E-2</c:v>
                </c:pt>
                <c:pt idx="15">
                  <c:v>1.4772E-2</c:v>
                </c:pt>
                <c:pt idx="16">
                  <c:v>1.4909799999999999E-2</c:v>
                </c:pt>
                <c:pt idx="17">
                  <c:v>1.5049399999999999E-2</c:v>
                </c:pt>
                <c:pt idx="18">
                  <c:v>1.5188999999999999E-2</c:v>
                </c:pt>
                <c:pt idx="19">
                  <c:v>1.5326599999999999E-2</c:v>
                </c:pt>
                <c:pt idx="20">
                  <c:v>1.5466200000000001E-2</c:v>
                </c:pt>
                <c:pt idx="21">
                  <c:v>1.5604E-2</c:v>
                </c:pt>
                <c:pt idx="22">
                  <c:v>1.57436E-2</c:v>
                </c:pt>
                <c:pt idx="23">
                  <c:v>1.58832E-2</c:v>
                </c:pt>
                <c:pt idx="24">
                  <c:v>1.6020799999999998E-2</c:v>
                </c:pt>
                <c:pt idx="25">
                  <c:v>1.6158600000000002E-2</c:v>
                </c:pt>
                <c:pt idx="26">
                  <c:v>1.6298199999999999E-2</c:v>
                </c:pt>
                <c:pt idx="27">
                  <c:v>1.6437799999999999E-2</c:v>
                </c:pt>
                <c:pt idx="28">
                  <c:v>1.6575400000000001E-2</c:v>
                </c:pt>
                <c:pt idx="29">
                  <c:v>1.6716999999999999E-2</c:v>
                </c:pt>
                <c:pt idx="30">
                  <c:v>1.6854600000000001E-2</c:v>
                </c:pt>
                <c:pt idx="31">
                  <c:v>1.6994200000000001E-2</c:v>
                </c:pt>
                <c:pt idx="32">
                  <c:v>1.7133799999999998E-2</c:v>
                </c:pt>
                <c:pt idx="33">
                  <c:v>1.7271600000000002E-2</c:v>
                </c:pt>
                <c:pt idx="34">
                  <c:v>1.74092E-2</c:v>
                </c:pt>
                <c:pt idx="35">
                  <c:v>1.75488E-2</c:v>
                </c:pt>
                <c:pt idx="36">
                  <c:v>1.76866E-2</c:v>
                </c:pt>
                <c:pt idx="37">
                  <c:v>1.78262E-2</c:v>
                </c:pt>
                <c:pt idx="38">
                  <c:v>1.7965800000000001E-2</c:v>
                </c:pt>
                <c:pt idx="39">
                  <c:v>1.8131399999999999E-2</c:v>
                </c:pt>
                <c:pt idx="40">
                  <c:v>1.8298999999999999E-2</c:v>
                </c:pt>
                <c:pt idx="41">
                  <c:v>1.8466400000000001E-2</c:v>
                </c:pt>
                <c:pt idx="42">
                  <c:v>1.8631999999999999E-2</c:v>
                </c:pt>
                <c:pt idx="43">
                  <c:v>1.87996E-2</c:v>
                </c:pt>
                <c:pt idx="44">
                  <c:v>1.8965200000000002E-2</c:v>
                </c:pt>
                <c:pt idx="45">
                  <c:v>1.9132800000000002E-2</c:v>
                </c:pt>
                <c:pt idx="46">
                  <c:v>1.93002E-2</c:v>
                </c:pt>
                <c:pt idx="47">
                  <c:v>1.9465799999999998E-2</c:v>
                </c:pt>
                <c:pt idx="48">
                  <c:v>1.9633400000000002E-2</c:v>
                </c:pt>
                <c:pt idx="49">
                  <c:v>1.9799000000000001E-2</c:v>
                </c:pt>
                <c:pt idx="50">
                  <c:v>1.9964599999999999E-2</c:v>
                </c:pt>
                <c:pt idx="51">
                  <c:v>2.0131999999999997E-2</c:v>
                </c:pt>
                <c:pt idx="52">
                  <c:v>2.0297999999999997E-2</c:v>
                </c:pt>
                <c:pt idx="53">
                  <c:v>2.0466000000000002E-2</c:v>
                </c:pt>
                <c:pt idx="54">
                  <c:v>2.0632000000000001E-2</c:v>
                </c:pt>
                <c:pt idx="55">
                  <c:v>2.0796000000000002E-2</c:v>
                </c:pt>
                <c:pt idx="56">
                  <c:v>2.0965999999999999E-2</c:v>
                </c:pt>
                <c:pt idx="57">
                  <c:v>2.1131999999999998E-2</c:v>
                </c:pt>
                <c:pt idx="58">
                  <c:v>2.1299999999999999E-2</c:v>
                </c:pt>
                <c:pt idx="59">
                  <c:v>2.1465999999999999E-2</c:v>
                </c:pt>
                <c:pt idx="60">
                  <c:v>2.1659999999999999E-2</c:v>
                </c:pt>
                <c:pt idx="61">
                  <c:v>2.1853999999999998E-2</c:v>
                </c:pt>
                <c:pt idx="62">
                  <c:v>2.2048000000000002E-2</c:v>
                </c:pt>
                <c:pt idx="63">
                  <c:v>2.2244E-2</c:v>
                </c:pt>
                <c:pt idx="64">
                  <c:v>2.2438E-2</c:v>
                </c:pt>
                <c:pt idx="65">
                  <c:v>2.2631999999999999E-2</c:v>
                </c:pt>
                <c:pt idx="66">
                  <c:v>2.2828000000000001E-2</c:v>
                </c:pt>
                <c:pt idx="67">
                  <c:v>2.3019999999999999E-2</c:v>
                </c:pt>
                <c:pt idx="68">
                  <c:v>2.3216000000000001E-2</c:v>
                </c:pt>
                <c:pt idx="69">
                  <c:v>2.341E-2</c:v>
                </c:pt>
                <c:pt idx="70">
                  <c:v>2.3604E-2</c:v>
                </c:pt>
                <c:pt idx="71">
                  <c:v>2.3798E-2</c:v>
                </c:pt>
                <c:pt idx="72">
                  <c:v>2.3991999999999999E-2</c:v>
                </c:pt>
                <c:pt idx="73">
                  <c:v>2.4188000000000001E-2</c:v>
                </c:pt>
                <c:pt idx="74">
                  <c:v>2.4384000000000003E-2</c:v>
                </c:pt>
                <c:pt idx="75">
                  <c:v>2.4575999999999997E-2</c:v>
                </c:pt>
                <c:pt idx="76">
                  <c:v>2.4771999999999999E-2</c:v>
                </c:pt>
                <c:pt idx="77">
                  <c:v>2.4965999999999999E-2</c:v>
                </c:pt>
                <c:pt idx="78">
                  <c:v>2.5162E-2</c:v>
                </c:pt>
                <c:pt idx="79">
                  <c:v>2.5381999999999998E-2</c:v>
                </c:pt>
                <c:pt idx="80">
                  <c:v>2.5604000000000002E-2</c:v>
                </c:pt>
                <c:pt idx="81">
                  <c:v>2.5828000000000004E-2</c:v>
                </c:pt>
                <c:pt idx="82">
                  <c:v>2.6048000000000002E-2</c:v>
                </c:pt>
                <c:pt idx="83">
                  <c:v>2.6269999999999998E-2</c:v>
                </c:pt>
                <c:pt idx="84">
                  <c:v>2.6494E-2</c:v>
                </c:pt>
                <c:pt idx="85">
                  <c:v>2.6661999999999998E-2</c:v>
                </c:pt>
                <c:pt idx="86">
                  <c:v>2.6825999999999999E-2</c:v>
                </c:pt>
                <c:pt idx="87">
                  <c:v>2.7019999999999999E-2</c:v>
                </c:pt>
                <c:pt idx="88">
                  <c:v>2.7160000000000004E-2</c:v>
                </c:pt>
                <c:pt idx="89">
                  <c:v>2.7297999999999999E-2</c:v>
                </c:pt>
                <c:pt idx="90">
                  <c:v>2.7466000000000001E-2</c:v>
                </c:pt>
                <c:pt idx="91">
                  <c:v>2.7688000000000001E-2</c:v>
                </c:pt>
                <c:pt idx="92">
                  <c:v>2.7910000000000001E-2</c:v>
                </c:pt>
                <c:pt idx="93">
                  <c:v>2.8105999999999999E-2</c:v>
                </c:pt>
                <c:pt idx="94">
                  <c:v>2.8325999999999997E-2</c:v>
                </c:pt>
                <c:pt idx="95">
                  <c:v>2.8435999999999999E-2</c:v>
                </c:pt>
                <c:pt idx="96">
                  <c:v>2.8576000000000001E-2</c:v>
                </c:pt>
                <c:pt idx="97">
                  <c:v>2.8715999999999998E-2</c:v>
                </c:pt>
                <c:pt idx="98">
                  <c:v>2.8854000000000001E-2</c:v>
                </c:pt>
                <c:pt idx="99">
                  <c:v>2.9022000000000003E-2</c:v>
                </c:pt>
                <c:pt idx="100">
                  <c:v>2.9158E-2</c:v>
                </c:pt>
                <c:pt idx="101">
                  <c:v>2.9298000000000001E-2</c:v>
                </c:pt>
                <c:pt idx="102">
                  <c:v>2.9437999999999999E-2</c:v>
                </c:pt>
                <c:pt idx="103">
                  <c:v>2.9578000000000004E-2</c:v>
                </c:pt>
                <c:pt idx="104">
                  <c:v>2.9718000000000001E-2</c:v>
                </c:pt>
                <c:pt idx="105">
                  <c:v>2.9853999999999999E-2</c:v>
                </c:pt>
                <c:pt idx="106">
                  <c:v>2.9964000000000001E-2</c:v>
                </c:pt>
                <c:pt idx="107">
                  <c:v>3.0102000000000004E-2</c:v>
                </c:pt>
                <c:pt idx="108">
                  <c:v>3.0216E-2</c:v>
                </c:pt>
                <c:pt idx="109">
                  <c:v>3.0356000000000001E-2</c:v>
                </c:pt>
                <c:pt idx="110">
                  <c:v>3.0466000000000003E-2</c:v>
                </c:pt>
                <c:pt idx="111">
                  <c:v>3.0603999999999999E-2</c:v>
                </c:pt>
                <c:pt idx="112">
                  <c:v>3.0714000000000002E-2</c:v>
                </c:pt>
                <c:pt idx="113">
                  <c:v>3.0853999999999999E-2</c:v>
                </c:pt>
                <c:pt idx="114">
                  <c:v>3.0994000000000001E-2</c:v>
                </c:pt>
                <c:pt idx="115">
                  <c:v>3.1132E-2</c:v>
                </c:pt>
                <c:pt idx="116">
                  <c:v>3.1272000000000001E-2</c:v>
                </c:pt>
                <c:pt idx="117">
                  <c:v>3.1382E-2</c:v>
                </c:pt>
                <c:pt idx="118">
                  <c:v>3.1522000000000001E-2</c:v>
                </c:pt>
                <c:pt idx="119">
                  <c:v>3.1660000000000001E-2</c:v>
                </c:pt>
                <c:pt idx="120">
                  <c:v>3.1800000000000002E-2</c:v>
                </c:pt>
                <c:pt idx="121">
                  <c:v>3.1938000000000001E-2</c:v>
                </c:pt>
                <c:pt idx="122">
                  <c:v>3.2076E-2</c:v>
                </c:pt>
                <c:pt idx="123">
                  <c:v>3.2216000000000002E-2</c:v>
                </c:pt>
                <c:pt idx="124">
                  <c:v>3.2326000000000001E-2</c:v>
                </c:pt>
                <c:pt idx="125">
                  <c:v>3.2466000000000002E-2</c:v>
                </c:pt>
                <c:pt idx="126">
                  <c:v>3.2576000000000001E-2</c:v>
                </c:pt>
                <c:pt idx="127">
                  <c:v>3.2715999999999995E-2</c:v>
                </c:pt>
                <c:pt idx="128">
                  <c:v>3.2856000000000003E-2</c:v>
                </c:pt>
                <c:pt idx="129">
                  <c:v>3.2966000000000002E-2</c:v>
                </c:pt>
                <c:pt idx="130">
                  <c:v>3.3104000000000001E-2</c:v>
                </c:pt>
                <c:pt idx="131">
                  <c:v>3.3214E-2</c:v>
                </c:pt>
                <c:pt idx="132">
                  <c:v>3.3328000000000003E-2</c:v>
                </c:pt>
                <c:pt idx="133">
                  <c:v>3.3439999999999998E-2</c:v>
                </c:pt>
                <c:pt idx="134">
                  <c:v>3.3578000000000004E-2</c:v>
                </c:pt>
                <c:pt idx="135">
                  <c:v>3.3687999999999996E-2</c:v>
                </c:pt>
                <c:pt idx="136">
                  <c:v>3.3798000000000002E-2</c:v>
                </c:pt>
                <c:pt idx="137">
                  <c:v>3.3910000000000003E-2</c:v>
                </c:pt>
                <c:pt idx="138">
                  <c:v>3.4020000000000002E-2</c:v>
                </c:pt>
                <c:pt idx="139">
                  <c:v>3.4131999999999996E-2</c:v>
                </c:pt>
                <c:pt idx="140">
                  <c:v>3.4243999999999997E-2</c:v>
                </c:pt>
                <c:pt idx="141">
                  <c:v>3.4355999999999998E-2</c:v>
                </c:pt>
                <c:pt idx="142">
                  <c:v>3.4464000000000002E-2</c:v>
                </c:pt>
                <c:pt idx="143">
                  <c:v>3.4575999999999996E-2</c:v>
                </c:pt>
                <c:pt idx="144">
                  <c:v>3.4687999999999997E-2</c:v>
                </c:pt>
                <c:pt idx="145">
                  <c:v>3.4799999999999998E-2</c:v>
                </c:pt>
                <c:pt idx="146">
                  <c:v>3.4910000000000004E-2</c:v>
                </c:pt>
                <c:pt idx="147">
                  <c:v>3.5022000000000005E-2</c:v>
                </c:pt>
                <c:pt idx="148">
                  <c:v>3.5133999999999999E-2</c:v>
                </c:pt>
                <c:pt idx="149">
                  <c:v>3.5243999999999998E-2</c:v>
                </c:pt>
                <c:pt idx="150">
                  <c:v>3.5354000000000003E-2</c:v>
                </c:pt>
                <c:pt idx="151">
                  <c:v>3.5466000000000004E-2</c:v>
                </c:pt>
                <c:pt idx="152">
                  <c:v>3.5549999999999998E-2</c:v>
                </c:pt>
                <c:pt idx="153">
                  <c:v>3.5659999999999997E-2</c:v>
                </c:pt>
                <c:pt idx="154">
                  <c:v>3.5771999999999998E-2</c:v>
                </c:pt>
                <c:pt idx="155">
                  <c:v>3.5881999999999997E-2</c:v>
                </c:pt>
                <c:pt idx="156">
                  <c:v>3.5992000000000003E-2</c:v>
                </c:pt>
                <c:pt idx="157">
                  <c:v>3.6076000000000004E-2</c:v>
                </c:pt>
                <c:pt idx="158">
                  <c:v>3.6187999999999998E-2</c:v>
                </c:pt>
                <c:pt idx="159">
                  <c:v>3.6297999999999997E-2</c:v>
                </c:pt>
                <c:pt idx="160">
                  <c:v>3.6409999999999998E-2</c:v>
                </c:pt>
                <c:pt idx="161">
                  <c:v>3.6493999999999999E-2</c:v>
                </c:pt>
                <c:pt idx="162">
                  <c:v>3.6603999999999998E-2</c:v>
                </c:pt>
                <c:pt idx="163">
                  <c:v>3.669E-2</c:v>
                </c:pt>
                <c:pt idx="164">
                  <c:v>3.6798000000000004E-2</c:v>
                </c:pt>
                <c:pt idx="165">
                  <c:v>3.6907999999999996E-2</c:v>
                </c:pt>
                <c:pt idx="166">
                  <c:v>3.7021999999999999E-2</c:v>
                </c:pt>
                <c:pt idx="167">
                  <c:v>3.7131999999999998E-2</c:v>
                </c:pt>
                <c:pt idx="168">
                  <c:v>3.7215999999999999E-2</c:v>
                </c:pt>
                <c:pt idx="169">
                  <c:v>3.7328E-2</c:v>
                </c:pt>
                <c:pt idx="170">
                  <c:v>3.7437999999999999E-2</c:v>
                </c:pt>
                <c:pt idx="171">
                  <c:v>3.7519999999999998E-2</c:v>
                </c:pt>
                <c:pt idx="172">
                  <c:v>3.7631999999999999E-2</c:v>
                </c:pt>
                <c:pt idx="173">
                  <c:v>3.7716E-2</c:v>
                </c:pt>
                <c:pt idx="174">
                  <c:v>3.7828000000000001E-2</c:v>
                </c:pt>
                <c:pt idx="175">
                  <c:v>3.7938E-2</c:v>
                </c:pt>
                <c:pt idx="176">
                  <c:v>3.805E-2</c:v>
                </c:pt>
                <c:pt idx="177">
                  <c:v>3.8134000000000001E-2</c:v>
                </c:pt>
                <c:pt idx="178">
                  <c:v>3.8244E-2</c:v>
                </c:pt>
                <c:pt idx="179">
                  <c:v>3.8353999999999999E-2</c:v>
                </c:pt>
                <c:pt idx="180">
                  <c:v>3.8438E-2</c:v>
                </c:pt>
                <c:pt idx="181">
                  <c:v>3.8550000000000001E-2</c:v>
                </c:pt>
                <c:pt idx="182">
                  <c:v>3.866E-2</c:v>
                </c:pt>
                <c:pt idx="183">
                  <c:v>3.8769999999999999E-2</c:v>
                </c:pt>
                <c:pt idx="184">
                  <c:v>3.8856000000000002E-2</c:v>
                </c:pt>
                <c:pt idx="185">
                  <c:v>3.8940000000000002E-2</c:v>
                </c:pt>
                <c:pt idx="186">
                  <c:v>3.9022000000000001E-2</c:v>
                </c:pt>
                <c:pt idx="187">
                  <c:v>3.9101999999999998E-2</c:v>
                </c:pt>
                <c:pt idx="188">
                  <c:v>3.9188000000000001E-2</c:v>
                </c:pt>
                <c:pt idx="189">
                  <c:v>3.9298E-2</c:v>
                </c:pt>
                <c:pt idx="190">
                  <c:v>3.9382E-2</c:v>
                </c:pt>
                <c:pt idx="191">
                  <c:v>3.9466000000000001E-2</c:v>
                </c:pt>
                <c:pt idx="192">
                  <c:v>3.9550000000000002E-2</c:v>
                </c:pt>
                <c:pt idx="193">
                  <c:v>3.9632000000000001E-2</c:v>
                </c:pt>
                <c:pt idx="194">
                  <c:v>3.9713999999999999E-2</c:v>
                </c:pt>
                <c:pt idx="195">
                  <c:v>3.9800000000000002E-2</c:v>
                </c:pt>
                <c:pt idx="196">
                  <c:v>3.9882000000000001E-2</c:v>
                </c:pt>
                <c:pt idx="197">
                  <c:v>3.9966000000000002E-2</c:v>
                </c:pt>
                <c:pt idx="198">
                  <c:v>4.0048E-2</c:v>
                </c:pt>
                <c:pt idx="199">
                  <c:v>4.0132000000000001E-2</c:v>
                </c:pt>
                <c:pt idx="200">
                  <c:v>4.0216000000000002E-2</c:v>
                </c:pt>
                <c:pt idx="201">
                  <c:v>4.0300000000000002E-2</c:v>
                </c:pt>
                <c:pt idx="202">
                  <c:v>4.0384000000000003E-2</c:v>
                </c:pt>
                <c:pt idx="203">
                  <c:v>4.0465999999999995E-2</c:v>
                </c:pt>
                <c:pt idx="204">
                  <c:v>4.0549999999999996E-2</c:v>
                </c:pt>
                <c:pt idx="205">
                  <c:v>4.0629999999999999E-2</c:v>
                </c:pt>
                <c:pt idx="206">
                  <c:v>4.0716000000000002E-2</c:v>
                </c:pt>
                <c:pt idx="207">
                  <c:v>4.0800000000000003E-2</c:v>
                </c:pt>
                <c:pt idx="208">
                  <c:v>4.0884000000000004E-2</c:v>
                </c:pt>
                <c:pt idx="209">
                  <c:v>4.0964E-2</c:v>
                </c:pt>
                <c:pt idx="210">
                  <c:v>4.1050000000000003E-2</c:v>
                </c:pt>
                <c:pt idx="211">
                  <c:v>4.1134000000000004E-2</c:v>
                </c:pt>
                <c:pt idx="212">
                  <c:v>4.1216000000000003E-2</c:v>
                </c:pt>
                <c:pt idx="213">
                  <c:v>4.1299999999999996E-2</c:v>
                </c:pt>
                <c:pt idx="214">
                  <c:v>4.1382000000000002E-2</c:v>
                </c:pt>
                <c:pt idx="215">
                  <c:v>4.1464000000000001E-2</c:v>
                </c:pt>
                <c:pt idx="216">
                  <c:v>4.1548000000000002E-2</c:v>
                </c:pt>
                <c:pt idx="217">
                  <c:v>4.1631999999999995E-2</c:v>
                </c:pt>
                <c:pt idx="218">
                  <c:v>4.1715999999999996E-2</c:v>
                </c:pt>
                <c:pt idx="219">
                  <c:v>4.1799999999999997E-2</c:v>
                </c:pt>
                <c:pt idx="220">
                  <c:v>4.1882000000000003E-2</c:v>
                </c:pt>
                <c:pt idx="221">
                  <c:v>4.1967999999999998E-2</c:v>
                </c:pt>
                <c:pt idx="222">
                  <c:v>4.2050000000000004E-2</c:v>
                </c:pt>
                <c:pt idx="223">
                  <c:v>4.2131999999999996E-2</c:v>
                </c:pt>
                <c:pt idx="224">
                  <c:v>4.2214000000000002E-2</c:v>
                </c:pt>
                <c:pt idx="225">
                  <c:v>4.2298000000000002E-2</c:v>
                </c:pt>
                <c:pt idx="226">
                  <c:v>4.2382000000000003E-2</c:v>
                </c:pt>
                <c:pt idx="227">
                  <c:v>4.2465999999999997E-2</c:v>
                </c:pt>
                <c:pt idx="228">
                  <c:v>4.2549999999999998E-2</c:v>
                </c:pt>
                <c:pt idx="229">
                  <c:v>4.2603999999999996E-2</c:v>
                </c:pt>
                <c:pt idx="230">
                  <c:v>4.2689999999999999E-2</c:v>
                </c:pt>
                <c:pt idx="231">
                  <c:v>4.2771999999999998E-2</c:v>
                </c:pt>
                <c:pt idx="232">
                  <c:v>4.2855999999999998E-2</c:v>
                </c:pt>
                <c:pt idx="233">
                  <c:v>4.2935999999999995E-2</c:v>
                </c:pt>
                <c:pt idx="234">
                  <c:v>4.2992000000000002E-2</c:v>
                </c:pt>
                <c:pt idx="235">
                  <c:v>4.3075999999999996E-2</c:v>
                </c:pt>
                <c:pt idx="236">
                  <c:v>4.3129999999999995E-2</c:v>
                </c:pt>
                <c:pt idx="237">
                  <c:v>4.3216000000000004E-2</c:v>
                </c:pt>
                <c:pt idx="238">
                  <c:v>4.3299999999999998E-2</c:v>
                </c:pt>
                <c:pt idx="239">
                  <c:v>4.3383999999999999E-2</c:v>
                </c:pt>
                <c:pt idx="240">
                  <c:v>4.3465999999999998E-2</c:v>
                </c:pt>
                <c:pt idx="241">
                  <c:v>4.3550000000000005E-2</c:v>
                </c:pt>
                <c:pt idx="242">
                  <c:v>4.3634000000000006E-2</c:v>
                </c:pt>
                <c:pt idx="243">
                  <c:v>4.3715999999999998E-2</c:v>
                </c:pt>
                <c:pt idx="244">
                  <c:v>4.3769999999999996E-2</c:v>
                </c:pt>
                <c:pt idx="245">
                  <c:v>4.3853999999999997E-2</c:v>
                </c:pt>
                <c:pt idx="246">
                  <c:v>4.3937999999999998E-2</c:v>
                </c:pt>
                <c:pt idx="247">
                  <c:v>4.4021999999999999E-2</c:v>
                </c:pt>
                <c:pt idx="248">
                  <c:v>4.4105999999999999E-2</c:v>
                </c:pt>
                <c:pt idx="249">
                  <c:v>4.4160000000000005E-2</c:v>
                </c:pt>
                <c:pt idx="250">
                  <c:v>4.4244000000000006E-2</c:v>
                </c:pt>
                <c:pt idx="251">
                  <c:v>4.4328000000000006E-2</c:v>
                </c:pt>
                <c:pt idx="252">
                  <c:v>4.4412E-2</c:v>
                </c:pt>
                <c:pt idx="253">
                  <c:v>4.4493999999999999E-2</c:v>
                </c:pt>
                <c:pt idx="254">
                  <c:v>4.4549999999999999E-2</c:v>
                </c:pt>
                <c:pt idx="255">
                  <c:v>4.4634E-2</c:v>
                </c:pt>
                <c:pt idx="256">
                  <c:v>4.4743999999999999E-2</c:v>
                </c:pt>
                <c:pt idx="257">
                  <c:v>4.4854000000000005E-2</c:v>
                </c:pt>
                <c:pt idx="258">
                  <c:v>4.4965999999999999E-2</c:v>
                </c:pt>
                <c:pt idx="259">
                  <c:v>4.505E-2</c:v>
                </c:pt>
                <c:pt idx="260">
                  <c:v>4.5162000000000008E-2</c:v>
                </c:pt>
                <c:pt idx="261">
                  <c:v>4.5270000000000005E-2</c:v>
                </c:pt>
                <c:pt idx="262">
                  <c:v>4.5381999999999999E-2</c:v>
                </c:pt>
                <c:pt idx="263">
                  <c:v>4.5465999999999999E-2</c:v>
                </c:pt>
                <c:pt idx="264">
                  <c:v>4.555E-2</c:v>
                </c:pt>
                <c:pt idx="265">
                  <c:v>4.5662000000000001E-2</c:v>
                </c:pt>
                <c:pt idx="266">
                  <c:v>4.5744E-2</c:v>
                </c:pt>
                <c:pt idx="267">
                  <c:v>4.5826000000000006E-2</c:v>
                </c:pt>
                <c:pt idx="268">
                  <c:v>4.5909999999999999E-2</c:v>
                </c:pt>
                <c:pt idx="269">
                  <c:v>4.5994E-2</c:v>
                </c:pt>
                <c:pt idx="270">
                  <c:v>4.6075999999999999E-2</c:v>
                </c:pt>
                <c:pt idx="271">
                  <c:v>4.616E-2</c:v>
                </c:pt>
                <c:pt idx="272">
                  <c:v>4.6241999999999998E-2</c:v>
                </c:pt>
                <c:pt idx="273">
                  <c:v>4.6353999999999999E-2</c:v>
                </c:pt>
                <c:pt idx="274">
                  <c:v>4.6438E-2</c:v>
                </c:pt>
                <c:pt idx="275">
                  <c:v>4.6521999999999994E-2</c:v>
                </c:pt>
                <c:pt idx="276">
                  <c:v>4.6605999999999995E-2</c:v>
                </c:pt>
                <c:pt idx="277">
                  <c:v>4.6716000000000001E-2</c:v>
                </c:pt>
                <c:pt idx="278">
                  <c:v>4.6797999999999999E-2</c:v>
                </c:pt>
                <c:pt idx="279">
                  <c:v>4.6882E-2</c:v>
                </c:pt>
                <c:pt idx="280">
                  <c:v>4.6963999999999999E-2</c:v>
                </c:pt>
                <c:pt idx="281">
                  <c:v>4.7048E-2</c:v>
                </c:pt>
                <c:pt idx="282">
                  <c:v>4.7131999999999993E-2</c:v>
                </c:pt>
                <c:pt idx="283">
                  <c:v>4.7215999999999994E-2</c:v>
                </c:pt>
                <c:pt idx="284">
                  <c:v>4.7300000000000002E-2</c:v>
                </c:pt>
                <c:pt idx="285">
                  <c:v>4.7384000000000003E-2</c:v>
                </c:pt>
                <c:pt idx="286">
                  <c:v>4.7466000000000001E-2</c:v>
                </c:pt>
                <c:pt idx="287">
                  <c:v>4.7548000000000007E-2</c:v>
                </c:pt>
                <c:pt idx="288">
                  <c:v>4.7632000000000001E-2</c:v>
                </c:pt>
                <c:pt idx="289">
                  <c:v>4.7716000000000001E-2</c:v>
                </c:pt>
                <c:pt idx="290">
                  <c:v>4.7798E-2</c:v>
                </c:pt>
                <c:pt idx="291">
                  <c:v>4.7882000000000001E-2</c:v>
                </c:pt>
                <c:pt idx="292">
                  <c:v>4.7965999999999995E-2</c:v>
                </c:pt>
                <c:pt idx="293">
                  <c:v>4.8049999999999995E-2</c:v>
                </c:pt>
                <c:pt idx="294">
                  <c:v>4.8133999999999996E-2</c:v>
                </c:pt>
                <c:pt idx="295">
                  <c:v>4.8217999999999997E-2</c:v>
                </c:pt>
                <c:pt idx="296">
                  <c:v>4.8297999999999994E-2</c:v>
                </c:pt>
                <c:pt idx="297">
                  <c:v>4.8408E-2</c:v>
                </c:pt>
                <c:pt idx="298">
                  <c:v>4.8520000000000001E-2</c:v>
                </c:pt>
                <c:pt idx="299">
                  <c:v>4.8632000000000002E-2</c:v>
                </c:pt>
                <c:pt idx="300">
                  <c:v>4.8743999999999996E-2</c:v>
                </c:pt>
                <c:pt idx="301">
                  <c:v>4.8856000000000004E-2</c:v>
                </c:pt>
                <c:pt idx="302">
                  <c:v>4.8967999999999998E-2</c:v>
                </c:pt>
                <c:pt idx="303">
                  <c:v>4.9076000000000002E-2</c:v>
                </c:pt>
                <c:pt idx="304">
                  <c:v>4.9188000000000003E-2</c:v>
                </c:pt>
                <c:pt idx="305">
                  <c:v>4.9299999999999997E-2</c:v>
                </c:pt>
                <c:pt idx="306">
                  <c:v>4.9409999999999996E-2</c:v>
                </c:pt>
                <c:pt idx="307">
                  <c:v>4.9522000000000004E-2</c:v>
                </c:pt>
                <c:pt idx="308">
                  <c:v>4.9631999999999996E-2</c:v>
                </c:pt>
                <c:pt idx="309">
                  <c:v>4.9744000000000003E-2</c:v>
                </c:pt>
                <c:pt idx="310">
                  <c:v>4.9854000000000002E-2</c:v>
                </c:pt>
                <c:pt idx="311">
                  <c:v>4.9964000000000001E-2</c:v>
                </c:pt>
                <c:pt idx="312">
                  <c:v>5.0076000000000002E-2</c:v>
                </c:pt>
                <c:pt idx="313">
                  <c:v>5.0187999999999997E-2</c:v>
                </c:pt>
                <c:pt idx="314">
                  <c:v>5.0300000000000004E-2</c:v>
                </c:pt>
                <c:pt idx="315">
                  <c:v>5.0410000000000003E-2</c:v>
                </c:pt>
                <c:pt idx="316">
                  <c:v>5.0521999999999997E-2</c:v>
                </c:pt>
                <c:pt idx="317">
                  <c:v>5.0632000000000003E-2</c:v>
                </c:pt>
                <c:pt idx="318">
                  <c:v>5.0743999999999997E-2</c:v>
                </c:pt>
                <c:pt idx="319">
                  <c:v>5.0853999999999996E-2</c:v>
                </c:pt>
                <c:pt idx="320">
                  <c:v>5.0965999999999997E-2</c:v>
                </c:pt>
                <c:pt idx="321">
                  <c:v>5.1077999999999998E-2</c:v>
                </c:pt>
                <c:pt idx="322">
                  <c:v>5.1188000000000004E-2</c:v>
                </c:pt>
                <c:pt idx="323">
                  <c:v>5.1299999999999998E-2</c:v>
                </c:pt>
                <c:pt idx="324">
                  <c:v>5.1407999999999995E-2</c:v>
                </c:pt>
                <c:pt idx="325">
                  <c:v>5.1520000000000003E-2</c:v>
                </c:pt>
                <c:pt idx="326">
                  <c:v>5.1631999999999997E-2</c:v>
                </c:pt>
                <c:pt idx="327">
                  <c:v>5.1771999999999999E-2</c:v>
                </c:pt>
                <c:pt idx="328">
                  <c:v>5.1884E-2</c:v>
                </c:pt>
                <c:pt idx="329">
                  <c:v>5.2022000000000006E-2</c:v>
                </c:pt>
                <c:pt idx="330">
                  <c:v>5.2160000000000005E-2</c:v>
                </c:pt>
                <c:pt idx="331">
                  <c:v>5.2270000000000004E-2</c:v>
                </c:pt>
                <c:pt idx="332">
                  <c:v>5.2409999999999998E-2</c:v>
                </c:pt>
                <c:pt idx="333">
                  <c:v>5.2548000000000004E-2</c:v>
                </c:pt>
                <c:pt idx="334">
                  <c:v>5.2690000000000001E-2</c:v>
                </c:pt>
                <c:pt idx="335">
                  <c:v>5.2828E-2</c:v>
                </c:pt>
                <c:pt idx="336">
                  <c:v>5.2964000000000004E-2</c:v>
                </c:pt>
                <c:pt idx="337">
                  <c:v>5.3075999999999998E-2</c:v>
                </c:pt>
                <c:pt idx="338">
                  <c:v>5.3188000000000006E-2</c:v>
                </c:pt>
                <c:pt idx="339">
                  <c:v>5.3328E-2</c:v>
                </c:pt>
                <c:pt idx="340">
                  <c:v>5.3440000000000001E-2</c:v>
                </c:pt>
                <c:pt idx="341">
                  <c:v>5.3550000000000007E-2</c:v>
                </c:pt>
                <c:pt idx="342">
                  <c:v>5.3659999999999999E-2</c:v>
                </c:pt>
                <c:pt idx="343">
                  <c:v>5.3769999999999998E-2</c:v>
                </c:pt>
                <c:pt idx="344">
                  <c:v>5.3882000000000006E-2</c:v>
                </c:pt>
                <c:pt idx="345">
                  <c:v>5.3992000000000005E-2</c:v>
                </c:pt>
                <c:pt idx="346">
                  <c:v>5.4103999999999999E-2</c:v>
                </c:pt>
                <c:pt idx="347">
                  <c:v>5.4216E-2</c:v>
                </c:pt>
                <c:pt idx="348">
                  <c:v>5.4328000000000001E-2</c:v>
                </c:pt>
                <c:pt idx="349">
                  <c:v>5.4438000000000007E-2</c:v>
                </c:pt>
                <c:pt idx="350">
                  <c:v>5.4576E-2</c:v>
                </c:pt>
                <c:pt idx="351">
                  <c:v>5.4713999999999999E-2</c:v>
                </c:pt>
                <c:pt idx="352">
                  <c:v>5.4855999999999995E-2</c:v>
                </c:pt>
                <c:pt idx="353">
                  <c:v>5.4993999999999994E-2</c:v>
                </c:pt>
                <c:pt idx="354">
                  <c:v>5.5132E-2</c:v>
                </c:pt>
                <c:pt idx="355">
                  <c:v>5.5271999999999995E-2</c:v>
                </c:pt>
                <c:pt idx="356">
                  <c:v>5.5410000000000001E-2</c:v>
                </c:pt>
                <c:pt idx="357">
                  <c:v>5.5548E-2</c:v>
                </c:pt>
                <c:pt idx="358">
                  <c:v>5.5689999999999996E-2</c:v>
                </c:pt>
                <c:pt idx="359">
                  <c:v>5.5827999999999996E-2</c:v>
                </c:pt>
                <c:pt idx="360">
                  <c:v>5.5965999999999995E-2</c:v>
                </c:pt>
                <c:pt idx="361">
                  <c:v>5.6104000000000001E-2</c:v>
                </c:pt>
                <c:pt idx="362">
                  <c:v>5.6243999999999995E-2</c:v>
                </c:pt>
                <c:pt idx="363">
                  <c:v>5.6382000000000002E-2</c:v>
                </c:pt>
                <c:pt idx="364">
                  <c:v>5.6521999999999996E-2</c:v>
                </c:pt>
                <c:pt idx="365">
                  <c:v>5.6661999999999997E-2</c:v>
                </c:pt>
                <c:pt idx="366">
                  <c:v>5.6798000000000001E-2</c:v>
                </c:pt>
                <c:pt idx="367">
                  <c:v>5.6938000000000002E-2</c:v>
                </c:pt>
                <c:pt idx="368">
                  <c:v>5.7076000000000002E-2</c:v>
                </c:pt>
                <c:pt idx="369">
                  <c:v>5.7187999999999996E-2</c:v>
                </c:pt>
                <c:pt idx="370">
                  <c:v>5.7328000000000004E-2</c:v>
                </c:pt>
                <c:pt idx="371">
                  <c:v>5.7468000000000005E-2</c:v>
                </c:pt>
                <c:pt idx="372">
                  <c:v>5.7603999999999995E-2</c:v>
                </c:pt>
                <c:pt idx="373">
                  <c:v>5.7771999999999997E-2</c:v>
                </c:pt>
                <c:pt idx="374">
                  <c:v>5.7910000000000003E-2</c:v>
                </c:pt>
                <c:pt idx="375">
                  <c:v>5.8049999999999997E-2</c:v>
                </c:pt>
                <c:pt idx="376">
                  <c:v>5.8189999999999999E-2</c:v>
                </c:pt>
                <c:pt idx="377">
                  <c:v>5.8326000000000003E-2</c:v>
                </c:pt>
                <c:pt idx="378">
                  <c:v>5.8465999999999997E-2</c:v>
                </c:pt>
                <c:pt idx="379">
                  <c:v>5.8605999999999998E-2</c:v>
                </c:pt>
                <c:pt idx="380">
                  <c:v>5.8743999999999998E-2</c:v>
                </c:pt>
                <c:pt idx="381">
                  <c:v>5.8883999999999999E-2</c:v>
                </c:pt>
                <c:pt idx="382">
                  <c:v>5.9021999999999998E-2</c:v>
                </c:pt>
                <c:pt idx="383">
                  <c:v>5.9160000000000004E-2</c:v>
                </c:pt>
                <c:pt idx="384">
                  <c:v>5.9298000000000003E-2</c:v>
                </c:pt>
                <c:pt idx="385">
                  <c:v>5.944E-2</c:v>
                </c:pt>
                <c:pt idx="386">
                  <c:v>5.9576000000000004E-2</c:v>
                </c:pt>
                <c:pt idx="387">
                  <c:v>5.9715999999999998E-2</c:v>
                </c:pt>
                <c:pt idx="388">
                  <c:v>5.9880000000000003E-2</c:v>
                </c:pt>
                <c:pt idx="389">
                  <c:v>6.0048000000000004E-2</c:v>
                </c:pt>
                <c:pt idx="390">
                  <c:v>6.0213999999999997E-2</c:v>
                </c:pt>
                <c:pt idx="391">
                  <c:v>6.0381999999999998E-2</c:v>
                </c:pt>
                <c:pt idx="392">
                  <c:v>6.055E-2</c:v>
                </c:pt>
                <c:pt idx="393">
                  <c:v>6.0713999999999997E-2</c:v>
                </c:pt>
                <c:pt idx="394">
                  <c:v>6.0881999999999999E-2</c:v>
                </c:pt>
                <c:pt idx="395">
                  <c:v>6.1050000000000007E-2</c:v>
                </c:pt>
                <c:pt idx="396">
                  <c:v>6.1216E-2</c:v>
                </c:pt>
                <c:pt idx="397">
                  <c:v>6.1382000000000006E-2</c:v>
                </c:pt>
                <c:pt idx="398">
                  <c:v>6.1547999999999999E-2</c:v>
                </c:pt>
                <c:pt idx="399">
                  <c:v>6.1716E-2</c:v>
                </c:pt>
                <c:pt idx="400">
                  <c:v>6.1882E-2</c:v>
                </c:pt>
                <c:pt idx="401">
                  <c:v>6.2047999999999999E-2</c:v>
                </c:pt>
                <c:pt idx="402">
                  <c:v>6.2215999999999994E-2</c:v>
                </c:pt>
                <c:pt idx="403">
                  <c:v>6.2382E-2</c:v>
                </c:pt>
                <c:pt idx="404">
                  <c:v>6.2548000000000006E-2</c:v>
                </c:pt>
                <c:pt idx="405">
                  <c:v>6.2716000000000008E-2</c:v>
                </c:pt>
                <c:pt idx="406">
                  <c:v>6.2881999999999993E-2</c:v>
                </c:pt>
                <c:pt idx="407">
                  <c:v>6.3049999999999995E-2</c:v>
                </c:pt>
                <c:pt idx="408">
                  <c:v>6.3215999999999994E-2</c:v>
                </c:pt>
                <c:pt idx="409">
                  <c:v>6.3381999999999994E-2</c:v>
                </c:pt>
                <c:pt idx="410">
                  <c:v>6.3550000000000009E-2</c:v>
                </c:pt>
                <c:pt idx="411">
                  <c:v>6.3714000000000007E-2</c:v>
                </c:pt>
                <c:pt idx="412">
                  <c:v>6.3882000000000008E-2</c:v>
                </c:pt>
                <c:pt idx="413">
                  <c:v>6.4047999999999994E-2</c:v>
                </c:pt>
                <c:pt idx="414">
                  <c:v>6.4215999999999995E-2</c:v>
                </c:pt>
                <c:pt idx="415">
                  <c:v>6.4383999999999997E-2</c:v>
                </c:pt>
                <c:pt idx="416">
                  <c:v>6.4547999999999994E-2</c:v>
                </c:pt>
                <c:pt idx="417">
                  <c:v>6.4741999999999994E-2</c:v>
                </c:pt>
                <c:pt idx="418">
                  <c:v>6.4909999999999995E-2</c:v>
                </c:pt>
                <c:pt idx="419">
                  <c:v>6.5105999999999997E-2</c:v>
                </c:pt>
                <c:pt idx="420">
                  <c:v>6.5269999999999995E-2</c:v>
                </c:pt>
                <c:pt idx="421">
                  <c:v>6.5464000000000008E-2</c:v>
                </c:pt>
                <c:pt idx="422">
                  <c:v>6.5633999999999998E-2</c:v>
                </c:pt>
                <c:pt idx="423">
                  <c:v>6.5827999999999998E-2</c:v>
                </c:pt>
                <c:pt idx="424">
                  <c:v>6.5993999999999997E-2</c:v>
                </c:pt>
                <c:pt idx="425">
                  <c:v>6.6159999999999997E-2</c:v>
                </c:pt>
                <c:pt idx="426">
                  <c:v>6.6325999999999996E-2</c:v>
                </c:pt>
                <c:pt idx="427">
                  <c:v>6.6492000000000009E-2</c:v>
                </c:pt>
                <c:pt idx="428">
                  <c:v>6.6687999999999997E-2</c:v>
                </c:pt>
                <c:pt idx="429">
                  <c:v>6.6855999999999999E-2</c:v>
                </c:pt>
                <c:pt idx="430">
                  <c:v>6.7049999999999998E-2</c:v>
                </c:pt>
                <c:pt idx="431">
                  <c:v>6.7243999999999998E-2</c:v>
                </c:pt>
                <c:pt idx="432">
                  <c:v>6.7437999999999998E-2</c:v>
                </c:pt>
                <c:pt idx="433">
                  <c:v>6.7629999999999996E-2</c:v>
                </c:pt>
                <c:pt idx="434">
                  <c:v>6.7825999999999997E-2</c:v>
                </c:pt>
                <c:pt idx="435">
                  <c:v>6.8021999999999999E-2</c:v>
                </c:pt>
                <c:pt idx="436">
                  <c:v>6.8190000000000001E-2</c:v>
                </c:pt>
                <c:pt idx="437">
                  <c:v>6.8381999999999998E-2</c:v>
                </c:pt>
                <c:pt idx="438">
                  <c:v>6.8547999999999998E-2</c:v>
                </c:pt>
                <c:pt idx="439">
                  <c:v>6.8744E-2</c:v>
                </c:pt>
                <c:pt idx="440">
                  <c:v>6.8940000000000001E-2</c:v>
                </c:pt>
                <c:pt idx="441">
                  <c:v>6.9131999999999999E-2</c:v>
                </c:pt>
                <c:pt idx="442">
                  <c:v>6.9325999999999999E-2</c:v>
                </c:pt>
                <c:pt idx="443">
                  <c:v>6.9519999999999998E-2</c:v>
                </c:pt>
                <c:pt idx="444">
                  <c:v>6.9716E-2</c:v>
                </c:pt>
                <c:pt idx="445">
                  <c:v>6.9907999999999998E-2</c:v>
                </c:pt>
                <c:pt idx="446">
                  <c:v>7.0104E-2</c:v>
                </c:pt>
                <c:pt idx="447">
                  <c:v>7.0300000000000001E-2</c:v>
                </c:pt>
                <c:pt idx="448">
                  <c:v>7.0496000000000003E-2</c:v>
                </c:pt>
                <c:pt idx="449">
                  <c:v>7.0688000000000001E-2</c:v>
                </c:pt>
                <c:pt idx="450">
                  <c:v>7.0910000000000001E-2</c:v>
                </c:pt>
                <c:pt idx="451">
                  <c:v>7.1106000000000003E-2</c:v>
                </c:pt>
                <c:pt idx="452">
                  <c:v>7.1328000000000003E-2</c:v>
                </c:pt>
                <c:pt idx="453">
                  <c:v>7.1548E-2</c:v>
                </c:pt>
                <c:pt idx="454">
                  <c:v>7.1744000000000002E-2</c:v>
                </c:pt>
                <c:pt idx="455">
                  <c:v>7.1938000000000002E-2</c:v>
                </c:pt>
                <c:pt idx="456">
                  <c:v>7.2160000000000002E-2</c:v>
                </c:pt>
                <c:pt idx="457">
                  <c:v>7.2354000000000002E-2</c:v>
                </c:pt>
                <c:pt idx="458">
                  <c:v>7.2550000000000003E-2</c:v>
                </c:pt>
                <c:pt idx="459">
                  <c:v>7.2772000000000003E-2</c:v>
                </c:pt>
                <c:pt idx="460">
                  <c:v>7.2992000000000001E-2</c:v>
                </c:pt>
                <c:pt idx="461">
                  <c:v>7.3214000000000001E-2</c:v>
                </c:pt>
                <c:pt idx="462">
                  <c:v>7.3438000000000003E-2</c:v>
                </c:pt>
                <c:pt idx="463">
                  <c:v>7.3660000000000003E-2</c:v>
                </c:pt>
                <c:pt idx="464">
                  <c:v>7.3882000000000003E-2</c:v>
                </c:pt>
                <c:pt idx="465">
                  <c:v>7.4105999999999991E-2</c:v>
                </c:pt>
                <c:pt idx="466">
                  <c:v>7.4328000000000005E-2</c:v>
                </c:pt>
                <c:pt idx="467">
                  <c:v>7.4548000000000003E-2</c:v>
                </c:pt>
                <c:pt idx="468">
                  <c:v>7.4770000000000003E-2</c:v>
                </c:pt>
                <c:pt idx="469">
                  <c:v>7.4993999999999991E-2</c:v>
                </c:pt>
                <c:pt idx="470">
                  <c:v>7.5216000000000005E-2</c:v>
                </c:pt>
                <c:pt idx="471">
                  <c:v>7.5438000000000005E-2</c:v>
                </c:pt>
                <c:pt idx="472">
                  <c:v>7.5660000000000005E-2</c:v>
                </c:pt>
                <c:pt idx="473">
                  <c:v>7.5884000000000007E-2</c:v>
                </c:pt>
                <c:pt idx="474">
                  <c:v>7.6104000000000005E-2</c:v>
                </c:pt>
                <c:pt idx="475">
                  <c:v>7.6326000000000005E-2</c:v>
                </c:pt>
                <c:pt idx="476">
                  <c:v>7.6550000000000007E-2</c:v>
                </c:pt>
                <c:pt idx="477">
                  <c:v>7.6769999999999991E-2</c:v>
                </c:pt>
                <c:pt idx="478">
                  <c:v>7.6993999999999993E-2</c:v>
                </c:pt>
                <c:pt idx="479">
                  <c:v>7.7215999999999993E-2</c:v>
                </c:pt>
                <c:pt idx="480">
                  <c:v>7.7438000000000007E-2</c:v>
                </c:pt>
                <c:pt idx="481">
                  <c:v>7.7657999999999991E-2</c:v>
                </c:pt>
                <c:pt idx="482">
                  <c:v>7.7881999999999993E-2</c:v>
                </c:pt>
                <c:pt idx="483">
                  <c:v>7.8105999999999995E-2</c:v>
                </c:pt>
                <c:pt idx="484">
                  <c:v>7.8353999999999993E-2</c:v>
                </c:pt>
                <c:pt idx="485">
                  <c:v>7.8604000000000007E-2</c:v>
                </c:pt>
                <c:pt idx="486">
                  <c:v>7.8855999999999996E-2</c:v>
                </c:pt>
                <c:pt idx="487">
                  <c:v>7.9076000000000007E-2</c:v>
                </c:pt>
                <c:pt idx="488">
                  <c:v>7.9325999999999994E-2</c:v>
                </c:pt>
                <c:pt idx="489">
                  <c:v>7.9549999999999996E-2</c:v>
                </c:pt>
                <c:pt idx="490">
                  <c:v>7.980000000000001E-2</c:v>
                </c:pt>
                <c:pt idx="491">
                  <c:v>8.0047999999999994E-2</c:v>
                </c:pt>
                <c:pt idx="492">
                  <c:v>8.0299999999999996E-2</c:v>
                </c:pt>
                <c:pt idx="493">
                  <c:v>8.0549999999999997E-2</c:v>
                </c:pt>
                <c:pt idx="494">
                  <c:v>8.0798000000000009E-2</c:v>
                </c:pt>
                <c:pt idx="495">
                  <c:v>8.1050000000000011E-2</c:v>
                </c:pt>
                <c:pt idx="496">
                  <c:v>8.1297999999999995E-2</c:v>
                </c:pt>
                <c:pt idx="497">
                  <c:v>8.1547999999999995E-2</c:v>
                </c:pt>
                <c:pt idx="498">
                  <c:v>8.1827999999999998E-2</c:v>
                </c:pt>
                <c:pt idx="499">
                  <c:v>8.2103999999999996E-2</c:v>
                </c:pt>
                <c:pt idx="500">
                  <c:v>8.2382000000000011E-2</c:v>
                </c:pt>
                <c:pt idx="501">
                  <c:v>8.2659999999999997E-2</c:v>
                </c:pt>
                <c:pt idx="502">
                  <c:v>8.2909999999999998E-2</c:v>
                </c:pt>
                <c:pt idx="503">
                  <c:v>8.3187999999999998E-2</c:v>
                </c:pt>
                <c:pt idx="504">
                  <c:v>8.3463999999999997E-2</c:v>
                </c:pt>
                <c:pt idx="505">
                  <c:v>8.3741999999999997E-2</c:v>
                </c:pt>
                <c:pt idx="506">
                  <c:v>8.4021999999999999E-2</c:v>
                </c:pt>
                <c:pt idx="507">
                  <c:v>8.43E-2</c:v>
                </c:pt>
                <c:pt idx="508">
                  <c:v>8.4575999999999998E-2</c:v>
                </c:pt>
                <c:pt idx="509">
                  <c:v>8.4853999999999999E-2</c:v>
                </c:pt>
                <c:pt idx="510">
                  <c:v>8.5134000000000001E-2</c:v>
                </c:pt>
                <c:pt idx="511">
                  <c:v>8.5437999999999986E-2</c:v>
                </c:pt>
                <c:pt idx="512">
                  <c:v>8.5744000000000001E-2</c:v>
                </c:pt>
                <c:pt idx="513">
                  <c:v>8.6047999999999986E-2</c:v>
                </c:pt>
                <c:pt idx="514">
                  <c:v>8.6328000000000002E-2</c:v>
                </c:pt>
                <c:pt idx="515">
                  <c:v>8.6606000000000002E-2</c:v>
                </c:pt>
                <c:pt idx="516">
                  <c:v>8.6880000000000013E-2</c:v>
                </c:pt>
                <c:pt idx="517">
                  <c:v>8.7186E-2</c:v>
                </c:pt>
                <c:pt idx="518">
                  <c:v>8.7466000000000002E-2</c:v>
                </c:pt>
                <c:pt idx="519">
                  <c:v>8.7769999999999987E-2</c:v>
                </c:pt>
                <c:pt idx="520">
                  <c:v>8.8050000000000003E-2</c:v>
                </c:pt>
                <c:pt idx="521">
                  <c:v>8.8325999999999988E-2</c:v>
                </c:pt>
                <c:pt idx="522">
                  <c:v>8.8632000000000002E-2</c:v>
                </c:pt>
                <c:pt idx="523">
                  <c:v>8.8938000000000003E-2</c:v>
                </c:pt>
                <c:pt idx="524">
                  <c:v>8.9244000000000004E-2</c:v>
                </c:pt>
                <c:pt idx="525">
                  <c:v>8.9548000000000003E-2</c:v>
                </c:pt>
                <c:pt idx="526">
                  <c:v>8.9854000000000003E-2</c:v>
                </c:pt>
                <c:pt idx="527">
                  <c:v>9.0160000000000004E-2</c:v>
                </c:pt>
                <c:pt idx="528">
                  <c:v>9.0465999999999991E-2</c:v>
                </c:pt>
                <c:pt idx="529">
                  <c:v>9.0798000000000004E-2</c:v>
                </c:pt>
                <c:pt idx="530">
                  <c:v>9.1104000000000004E-2</c:v>
                </c:pt>
                <c:pt idx="531">
                  <c:v>9.1438000000000005E-2</c:v>
                </c:pt>
                <c:pt idx="532">
                  <c:v>9.1771999999999992E-2</c:v>
                </c:pt>
                <c:pt idx="533">
                  <c:v>9.2105999999999993E-2</c:v>
                </c:pt>
                <c:pt idx="534">
                  <c:v>9.2436000000000004E-2</c:v>
                </c:pt>
                <c:pt idx="535">
                  <c:v>9.2769999999999991E-2</c:v>
                </c:pt>
                <c:pt idx="536">
                  <c:v>9.3106000000000008E-2</c:v>
                </c:pt>
                <c:pt idx="537">
                  <c:v>9.3466000000000007E-2</c:v>
                </c:pt>
                <c:pt idx="538">
                  <c:v>9.3797999999999992E-2</c:v>
                </c:pt>
                <c:pt idx="539">
                  <c:v>9.4131999999999993E-2</c:v>
                </c:pt>
                <c:pt idx="540">
                  <c:v>9.4465999999999994E-2</c:v>
                </c:pt>
                <c:pt idx="541">
                  <c:v>9.4800000000000009E-2</c:v>
                </c:pt>
                <c:pt idx="542">
                  <c:v>9.5159999999999995E-2</c:v>
                </c:pt>
                <c:pt idx="543">
                  <c:v>9.5521999999999996E-2</c:v>
                </c:pt>
                <c:pt idx="544">
                  <c:v>9.5883999999999997E-2</c:v>
                </c:pt>
                <c:pt idx="545">
                  <c:v>9.6243999999999996E-2</c:v>
                </c:pt>
                <c:pt idx="546">
                  <c:v>9.6606000000000011E-2</c:v>
                </c:pt>
                <c:pt idx="547">
                  <c:v>9.6965999999999997E-2</c:v>
                </c:pt>
                <c:pt idx="548">
                  <c:v>9.7325999999999996E-2</c:v>
                </c:pt>
                <c:pt idx="549">
                  <c:v>9.7688000000000011E-2</c:v>
                </c:pt>
                <c:pt idx="550">
                  <c:v>9.8047999999999996E-2</c:v>
                </c:pt>
                <c:pt idx="551">
                  <c:v>9.8409999999999997E-2</c:v>
                </c:pt>
                <c:pt idx="552">
                  <c:v>9.8771999999999999E-2</c:v>
                </c:pt>
                <c:pt idx="553">
                  <c:v>9.9131999999999998E-2</c:v>
                </c:pt>
                <c:pt idx="554">
                  <c:v>9.9494000000000013E-2</c:v>
                </c:pt>
                <c:pt idx="555">
                  <c:v>9.9882000000000012E-2</c:v>
                </c:pt>
                <c:pt idx="556">
                  <c:v>0.100272</c:v>
                </c:pt>
                <c:pt idx="557">
                  <c:v>0.10066000000000001</c:v>
                </c:pt>
                <c:pt idx="558">
                  <c:v>0.10104799999999999</c:v>
                </c:pt>
                <c:pt idx="559">
                  <c:v>0.101436</c:v>
                </c:pt>
                <c:pt idx="560">
                  <c:v>0.101828</c:v>
                </c:pt>
                <c:pt idx="561">
                  <c:v>0.102216</c:v>
                </c:pt>
                <c:pt idx="562">
                  <c:v>0.102634</c:v>
                </c:pt>
                <c:pt idx="563">
                  <c:v>0.10302</c:v>
                </c:pt>
                <c:pt idx="564">
                  <c:v>0.103438</c:v>
                </c:pt>
                <c:pt idx="565">
                  <c:v>0.103854</c:v>
                </c:pt>
                <c:pt idx="566">
                  <c:v>0.10427199999999999</c:v>
                </c:pt>
                <c:pt idx="567">
                  <c:v>0.104716</c:v>
                </c:pt>
                <c:pt idx="568">
                  <c:v>0.10513400000000001</c:v>
                </c:pt>
                <c:pt idx="569">
                  <c:v>0.10554999999999999</c:v>
                </c:pt>
                <c:pt idx="570">
                  <c:v>0.10599399999999999</c:v>
                </c:pt>
                <c:pt idx="571">
                  <c:v>0.106438</c:v>
                </c:pt>
                <c:pt idx="572">
                  <c:v>0.106882</c:v>
                </c:pt>
                <c:pt idx="573">
                  <c:v>0.10730000000000001</c:v>
                </c:pt>
                <c:pt idx="574">
                  <c:v>0.10774400000000001</c:v>
                </c:pt>
                <c:pt idx="575">
                  <c:v>0.10818799999999999</c:v>
                </c:pt>
                <c:pt idx="576">
                  <c:v>0.10863200000000001</c:v>
                </c:pt>
                <c:pt idx="577">
                  <c:v>0.10907799999999999</c:v>
                </c:pt>
                <c:pt idx="578">
                  <c:v>0.10952000000000001</c:v>
                </c:pt>
                <c:pt idx="579">
                  <c:v>0.10996399999999999</c:v>
                </c:pt>
                <c:pt idx="580">
                  <c:v>0.110412</c:v>
                </c:pt>
                <c:pt idx="581">
                  <c:v>0.11085399999999999</c:v>
                </c:pt>
                <c:pt idx="582">
                  <c:v>0.111328</c:v>
                </c:pt>
                <c:pt idx="583">
                  <c:v>0.11179800000000001</c:v>
                </c:pt>
                <c:pt idx="584">
                  <c:v>0.112272</c:v>
                </c:pt>
                <c:pt idx="585">
                  <c:v>0.112744</c:v>
                </c:pt>
                <c:pt idx="586">
                  <c:v>0.11321400000000001</c:v>
                </c:pt>
                <c:pt idx="587">
                  <c:v>0.11371600000000001</c:v>
                </c:pt>
                <c:pt idx="588">
                  <c:v>0.114216</c:v>
                </c:pt>
                <c:pt idx="589">
                  <c:v>0.114716</c:v>
                </c:pt>
                <c:pt idx="590">
                  <c:v>0.115216</c:v>
                </c:pt>
                <c:pt idx="591">
                  <c:v>0.11574400000000001</c:v>
                </c:pt>
                <c:pt idx="592">
                  <c:v>0.116272</c:v>
                </c:pt>
                <c:pt idx="593">
                  <c:v>0.11677199999999999</c:v>
                </c:pt>
                <c:pt idx="594">
                  <c:v>0.1173</c:v>
                </c:pt>
                <c:pt idx="595">
                  <c:v>0.117828</c:v>
                </c:pt>
                <c:pt idx="596">
                  <c:v>0.118354</c:v>
                </c:pt>
                <c:pt idx="597">
                  <c:v>0.118884</c:v>
                </c:pt>
                <c:pt idx="598">
                  <c:v>0.119436</c:v>
                </c:pt>
                <c:pt idx="599">
                  <c:v>0.11999399999999999</c:v>
                </c:pt>
                <c:pt idx="600">
                  <c:v>0.12054999999999999</c:v>
                </c:pt>
                <c:pt idx="601">
                  <c:v>0.121132</c:v>
                </c:pt>
                <c:pt idx="602">
                  <c:v>0.12171599999999999</c:v>
                </c:pt>
                <c:pt idx="603">
                  <c:v>0.12232599999999999</c:v>
                </c:pt>
                <c:pt idx="604">
                  <c:v>0.122964</c:v>
                </c:pt>
                <c:pt idx="605">
                  <c:v>0.12360599999999999</c:v>
                </c:pt>
                <c:pt idx="606">
                  <c:v>0.12429999999999999</c:v>
                </c:pt>
              </c:numCache>
            </c:numRef>
          </c:cat>
          <c:val>
            <c:numRef>
              <c:f>'A11-2'!$F$2:$F$608</c:f>
              <c:numCache>
                <c:formatCode>0.00</c:formatCode>
                <c:ptCount val="607"/>
                <c:pt idx="0">
                  <c:v>3.95098089314002E-3</c:v>
                </c:pt>
                <c:pt idx="1">
                  <c:v>7.1117656076520361E-2</c:v>
                </c:pt>
                <c:pt idx="2">
                  <c:v>8.2970598755940414E-2</c:v>
                </c:pt>
                <c:pt idx="3">
                  <c:v>9.0872560542220454E-2</c:v>
                </c:pt>
                <c:pt idx="4">
                  <c:v>0.10272550322164052</c:v>
                </c:pt>
                <c:pt idx="5">
                  <c:v>0.11062746500792056</c:v>
                </c:pt>
                <c:pt idx="6">
                  <c:v>0.11457844590106057</c:v>
                </c:pt>
                <c:pt idx="7">
                  <c:v>0.1185294267942006</c:v>
                </c:pt>
                <c:pt idx="8">
                  <c:v>0.1185294267942006</c:v>
                </c:pt>
                <c:pt idx="9">
                  <c:v>0.1185294267942006</c:v>
                </c:pt>
                <c:pt idx="10">
                  <c:v>0.1185294267942006</c:v>
                </c:pt>
                <c:pt idx="11">
                  <c:v>0.1185294267942006</c:v>
                </c:pt>
                <c:pt idx="12">
                  <c:v>0.12248040768734063</c:v>
                </c:pt>
                <c:pt idx="13">
                  <c:v>0.12248040768734063</c:v>
                </c:pt>
                <c:pt idx="14">
                  <c:v>0.1185294267942006</c:v>
                </c:pt>
                <c:pt idx="15">
                  <c:v>0.1185294267942006</c:v>
                </c:pt>
                <c:pt idx="16">
                  <c:v>0.1185294267942006</c:v>
                </c:pt>
                <c:pt idx="17">
                  <c:v>0.1185294267942006</c:v>
                </c:pt>
                <c:pt idx="18">
                  <c:v>0.1185294267942006</c:v>
                </c:pt>
                <c:pt idx="19">
                  <c:v>0.1185294267942006</c:v>
                </c:pt>
                <c:pt idx="20">
                  <c:v>0.12248040768734063</c:v>
                </c:pt>
                <c:pt idx="21">
                  <c:v>0.12248040768734063</c:v>
                </c:pt>
                <c:pt idx="22">
                  <c:v>0.12248040768734063</c:v>
                </c:pt>
                <c:pt idx="23">
                  <c:v>0.12248040768734063</c:v>
                </c:pt>
                <c:pt idx="24">
                  <c:v>0.12248040768734063</c:v>
                </c:pt>
                <c:pt idx="25">
                  <c:v>0.12248040768734063</c:v>
                </c:pt>
                <c:pt idx="26">
                  <c:v>0.12248040768734063</c:v>
                </c:pt>
                <c:pt idx="27">
                  <c:v>0.12248040768734063</c:v>
                </c:pt>
                <c:pt idx="28">
                  <c:v>0.12248040768734063</c:v>
                </c:pt>
                <c:pt idx="29">
                  <c:v>0.12643138858048064</c:v>
                </c:pt>
                <c:pt idx="30">
                  <c:v>0.12643138858048064</c:v>
                </c:pt>
                <c:pt idx="31">
                  <c:v>0.12643138858048064</c:v>
                </c:pt>
                <c:pt idx="32">
                  <c:v>0.12643138858048064</c:v>
                </c:pt>
                <c:pt idx="33">
                  <c:v>0.12643138858048064</c:v>
                </c:pt>
                <c:pt idx="34">
                  <c:v>0.13038236947362064</c:v>
                </c:pt>
                <c:pt idx="35">
                  <c:v>0.14223531215304072</c:v>
                </c:pt>
                <c:pt idx="36">
                  <c:v>0.15408825483246077</c:v>
                </c:pt>
                <c:pt idx="37">
                  <c:v>0.1619902166187408</c:v>
                </c:pt>
                <c:pt idx="38">
                  <c:v>0.16594119751188083</c:v>
                </c:pt>
                <c:pt idx="39">
                  <c:v>0.16594119751188083</c:v>
                </c:pt>
                <c:pt idx="40">
                  <c:v>0.16988985566493084</c:v>
                </c:pt>
                <c:pt idx="41">
                  <c:v>0.16988985566493084</c:v>
                </c:pt>
                <c:pt idx="42">
                  <c:v>0.16988985566493084</c:v>
                </c:pt>
                <c:pt idx="43">
                  <c:v>0.16988985566493084</c:v>
                </c:pt>
                <c:pt idx="44">
                  <c:v>0.16988985566493084</c:v>
                </c:pt>
                <c:pt idx="45">
                  <c:v>0.16988985566493084</c:v>
                </c:pt>
                <c:pt idx="46">
                  <c:v>0.16988985566493084</c:v>
                </c:pt>
                <c:pt idx="47">
                  <c:v>0.16988985566493084</c:v>
                </c:pt>
                <c:pt idx="48">
                  <c:v>0.16988985566493084</c:v>
                </c:pt>
                <c:pt idx="49">
                  <c:v>0.16988985566493084</c:v>
                </c:pt>
                <c:pt idx="50">
                  <c:v>0.16988985566493084</c:v>
                </c:pt>
                <c:pt idx="51">
                  <c:v>0.16988985566493084</c:v>
                </c:pt>
                <c:pt idx="52">
                  <c:v>0.16988985566493084</c:v>
                </c:pt>
                <c:pt idx="53">
                  <c:v>0.16988985566493084</c:v>
                </c:pt>
                <c:pt idx="54">
                  <c:v>0.16988985566493084</c:v>
                </c:pt>
                <c:pt idx="55">
                  <c:v>0.17384083655807084</c:v>
                </c:pt>
                <c:pt idx="56">
                  <c:v>0.16988985566493084</c:v>
                </c:pt>
                <c:pt idx="57">
                  <c:v>0.17384083655807084</c:v>
                </c:pt>
                <c:pt idx="58">
                  <c:v>0.17384083655807084</c:v>
                </c:pt>
                <c:pt idx="59">
                  <c:v>0.17384083655807084</c:v>
                </c:pt>
                <c:pt idx="60">
                  <c:v>0.17384083655807084</c:v>
                </c:pt>
                <c:pt idx="61">
                  <c:v>0.17384083655807084</c:v>
                </c:pt>
                <c:pt idx="62">
                  <c:v>0.17384083655807084</c:v>
                </c:pt>
                <c:pt idx="63">
                  <c:v>0.17384083655807084</c:v>
                </c:pt>
                <c:pt idx="64">
                  <c:v>0.17384083655807084</c:v>
                </c:pt>
                <c:pt idx="65">
                  <c:v>0.17384083655807084</c:v>
                </c:pt>
                <c:pt idx="66">
                  <c:v>0.17384083655807084</c:v>
                </c:pt>
                <c:pt idx="67">
                  <c:v>0.17384083655807084</c:v>
                </c:pt>
                <c:pt idx="68">
                  <c:v>0.17384083655807084</c:v>
                </c:pt>
                <c:pt idx="69">
                  <c:v>0.17779181745121087</c:v>
                </c:pt>
                <c:pt idx="70">
                  <c:v>0.17779181745121087</c:v>
                </c:pt>
                <c:pt idx="71">
                  <c:v>0.17779181745121087</c:v>
                </c:pt>
                <c:pt idx="72">
                  <c:v>0.17779181745121087</c:v>
                </c:pt>
                <c:pt idx="73">
                  <c:v>0.17779181745121087</c:v>
                </c:pt>
                <c:pt idx="74">
                  <c:v>0.17779181745121087</c:v>
                </c:pt>
                <c:pt idx="75">
                  <c:v>0.18174279834435089</c:v>
                </c:pt>
                <c:pt idx="76">
                  <c:v>0.18174279834435089</c:v>
                </c:pt>
                <c:pt idx="77">
                  <c:v>0.18174279834435089</c:v>
                </c:pt>
                <c:pt idx="78">
                  <c:v>0.18569377923749089</c:v>
                </c:pt>
                <c:pt idx="79">
                  <c:v>0.18569377923749089</c:v>
                </c:pt>
                <c:pt idx="80">
                  <c:v>0.18964476013063092</c:v>
                </c:pt>
                <c:pt idx="81">
                  <c:v>0.19359574102377095</c:v>
                </c:pt>
                <c:pt idx="82">
                  <c:v>0.19754672191691097</c:v>
                </c:pt>
                <c:pt idx="83">
                  <c:v>0.20544868370319103</c:v>
                </c:pt>
                <c:pt idx="84">
                  <c:v>0.21730162638261105</c:v>
                </c:pt>
                <c:pt idx="85">
                  <c:v>0.23311019543535119</c:v>
                </c:pt>
                <c:pt idx="86">
                  <c:v>0.24890482804755115</c:v>
                </c:pt>
                <c:pt idx="87">
                  <c:v>0.26472268806065141</c:v>
                </c:pt>
                <c:pt idx="88">
                  <c:v>0.2805173206728514</c:v>
                </c:pt>
                <c:pt idx="89">
                  <c:v>0.29631195328505133</c:v>
                </c:pt>
                <c:pt idx="90">
                  <c:v>0.31212981329815159</c:v>
                </c:pt>
                <c:pt idx="91">
                  <c:v>0.32792444591035158</c:v>
                </c:pt>
                <c:pt idx="92">
                  <c:v>0.33582176221645155</c:v>
                </c:pt>
                <c:pt idx="93">
                  <c:v>0.35163962222955181</c:v>
                </c:pt>
                <c:pt idx="94">
                  <c:v>0.36348559668870178</c:v>
                </c:pt>
                <c:pt idx="95">
                  <c:v>0.37928022930090177</c:v>
                </c:pt>
                <c:pt idx="96">
                  <c:v>0.39509808931400203</c:v>
                </c:pt>
                <c:pt idx="97">
                  <c:v>0.41484138007925192</c:v>
                </c:pt>
                <c:pt idx="98">
                  <c:v>0.43065924009235218</c:v>
                </c:pt>
                <c:pt idx="99">
                  <c:v>0.45040253085760212</c:v>
                </c:pt>
                <c:pt idx="100">
                  <c:v>0.46622039087070238</c:v>
                </c:pt>
                <c:pt idx="101">
                  <c:v>0.48201502348290232</c:v>
                </c:pt>
                <c:pt idx="102">
                  <c:v>0.4978096560951023</c:v>
                </c:pt>
                <c:pt idx="103">
                  <c:v>0.51362751610820256</c:v>
                </c:pt>
                <c:pt idx="104">
                  <c:v>0.5294221487204025</c:v>
                </c:pt>
                <c:pt idx="105">
                  <c:v>0.54524000873350287</c:v>
                </c:pt>
                <c:pt idx="106">
                  <c:v>0.5610346413457028</c:v>
                </c:pt>
                <c:pt idx="107">
                  <c:v>0.57682927395790273</c:v>
                </c:pt>
                <c:pt idx="108">
                  <c:v>0.59264713397100299</c:v>
                </c:pt>
                <c:pt idx="109">
                  <c:v>0.60844176658320304</c:v>
                </c:pt>
                <c:pt idx="110">
                  <c:v>0.62425962659630319</c:v>
                </c:pt>
                <c:pt idx="111">
                  <c:v>0.64005425920850323</c:v>
                </c:pt>
                <c:pt idx="112">
                  <c:v>0.65584889182070316</c:v>
                </c:pt>
                <c:pt idx="113">
                  <c:v>0.67166675183380342</c:v>
                </c:pt>
                <c:pt idx="114">
                  <c:v>0.68746138444600335</c:v>
                </c:pt>
                <c:pt idx="115">
                  <c:v>0.70327924445910361</c:v>
                </c:pt>
                <c:pt idx="116">
                  <c:v>0.71907387707130355</c:v>
                </c:pt>
                <c:pt idx="117">
                  <c:v>0.73486850968350359</c:v>
                </c:pt>
                <c:pt idx="118">
                  <c:v>0.75068636969660385</c:v>
                </c:pt>
                <c:pt idx="119">
                  <c:v>0.76648100230880389</c:v>
                </c:pt>
                <c:pt idx="120">
                  <c:v>0.78229886232190404</c:v>
                </c:pt>
                <c:pt idx="121">
                  <c:v>0.79809349493410386</c:v>
                </c:pt>
                <c:pt idx="122">
                  <c:v>0.81388812754630391</c:v>
                </c:pt>
                <c:pt idx="123">
                  <c:v>0.82970598755940406</c:v>
                </c:pt>
                <c:pt idx="124">
                  <c:v>0.84550062017160421</c:v>
                </c:pt>
                <c:pt idx="125">
                  <c:v>0.86131848018470436</c:v>
                </c:pt>
                <c:pt idx="126">
                  <c:v>0.8771131127969044</c:v>
                </c:pt>
                <c:pt idx="127">
                  <c:v>0.89290774540910423</c:v>
                </c:pt>
                <c:pt idx="128">
                  <c:v>0.90872560542220449</c:v>
                </c:pt>
                <c:pt idx="129">
                  <c:v>0.92452023803440442</c:v>
                </c:pt>
                <c:pt idx="130">
                  <c:v>0.94033809804750479</c:v>
                </c:pt>
                <c:pt idx="131">
                  <c:v>0.95613273065970472</c:v>
                </c:pt>
                <c:pt idx="132">
                  <c:v>0.97192736327190477</c:v>
                </c:pt>
                <c:pt idx="133">
                  <c:v>0.98774522328500491</c:v>
                </c:pt>
                <c:pt idx="134">
                  <c:v>1.0035398558972048</c:v>
                </c:pt>
                <c:pt idx="135">
                  <c:v>1.0193344885094049</c:v>
                </c:pt>
                <c:pt idx="136">
                  <c:v>1.0351523485225052</c:v>
                </c:pt>
                <c:pt idx="137">
                  <c:v>1.0509469811347052</c:v>
                </c:pt>
                <c:pt idx="138">
                  <c:v>1.0667648411478052</c:v>
                </c:pt>
                <c:pt idx="139">
                  <c:v>1.0825594737600053</c:v>
                </c:pt>
                <c:pt idx="140">
                  <c:v>1.0983541063722053</c:v>
                </c:pt>
                <c:pt idx="141">
                  <c:v>1.1141719663853056</c:v>
                </c:pt>
                <c:pt idx="142">
                  <c:v>1.1299665989975056</c:v>
                </c:pt>
                <c:pt idx="143">
                  <c:v>1.1457844590106057</c:v>
                </c:pt>
                <c:pt idx="144">
                  <c:v>1.1615790916228057</c:v>
                </c:pt>
                <c:pt idx="145">
                  <c:v>1.1773737242350057</c:v>
                </c:pt>
                <c:pt idx="146">
                  <c:v>1.193191584248106</c:v>
                </c:pt>
                <c:pt idx="147">
                  <c:v>1.2089862168603058</c:v>
                </c:pt>
                <c:pt idx="148">
                  <c:v>1.2248040768734063</c:v>
                </c:pt>
                <c:pt idx="149">
                  <c:v>1.2405987094856061</c:v>
                </c:pt>
                <c:pt idx="150">
                  <c:v>1.256393342097806</c:v>
                </c:pt>
                <c:pt idx="151">
                  <c:v>1.2722112021109064</c:v>
                </c:pt>
                <c:pt idx="152">
                  <c:v>1.2880058347231063</c:v>
                </c:pt>
                <c:pt idx="153">
                  <c:v>1.3038236947362067</c:v>
                </c:pt>
                <c:pt idx="154">
                  <c:v>1.3196183273484066</c:v>
                </c:pt>
                <c:pt idx="155">
                  <c:v>1.3354129599606066</c:v>
                </c:pt>
                <c:pt idx="156">
                  <c:v>1.3512308199737066</c:v>
                </c:pt>
                <c:pt idx="157">
                  <c:v>1.3670254525859067</c:v>
                </c:pt>
                <c:pt idx="158">
                  <c:v>1.3828433125990067</c:v>
                </c:pt>
                <c:pt idx="159">
                  <c:v>1.398637945211207</c:v>
                </c:pt>
                <c:pt idx="160">
                  <c:v>1.414432577823407</c:v>
                </c:pt>
                <c:pt idx="161">
                  <c:v>1.4302504378365071</c:v>
                </c:pt>
                <c:pt idx="162">
                  <c:v>1.4460450704487071</c:v>
                </c:pt>
                <c:pt idx="163">
                  <c:v>1.4618629304618074</c:v>
                </c:pt>
                <c:pt idx="164">
                  <c:v>1.4776575630740072</c:v>
                </c:pt>
                <c:pt idx="165">
                  <c:v>1.4974008538392574</c:v>
                </c:pt>
                <c:pt idx="166">
                  <c:v>1.5132187138523574</c:v>
                </c:pt>
                <c:pt idx="167">
                  <c:v>1.5290133464645577</c:v>
                </c:pt>
                <c:pt idx="168">
                  <c:v>1.5448312064776577</c:v>
                </c:pt>
                <c:pt idx="169">
                  <c:v>1.5606258390898577</c:v>
                </c:pt>
                <c:pt idx="170">
                  <c:v>1.5764204717020576</c:v>
                </c:pt>
                <c:pt idx="171">
                  <c:v>1.5922383317151581</c:v>
                </c:pt>
                <c:pt idx="172">
                  <c:v>1.6080329643273579</c:v>
                </c:pt>
                <c:pt idx="173">
                  <c:v>1.6238508243404584</c:v>
                </c:pt>
                <c:pt idx="174">
                  <c:v>1.639645456952658</c:v>
                </c:pt>
                <c:pt idx="175">
                  <c:v>1.6593887477179081</c:v>
                </c:pt>
                <c:pt idx="176">
                  <c:v>1.6752066077310082</c:v>
                </c:pt>
                <c:pt idx="177">
                  <c:v>1.6910012403432084</c:v>
                </c:pt>
                <c:pt idx="178">
                  <c:v>1.7107677585093586</c:v>
                </c:pt>
                <c:pt idx="179">
                  <c:v>1.7265623911215584</c:v>
                </c:pt>
                <c:pt idx="180">
                  <c:v>1.7423802511346587</c:v>
                </c:pt>
                <c:pt idx="181">
                  <c:v>1.7621235418999088</c:v>
                </c:pt>
                <c:pt idx="182">
                  <c:v>1.781890060066059</c:v>
                </c:pt>
                <c:pt idx="183">
                  <c:v>1.7976846926782588</c:v>
                </c:pt>
                <c:pt idx="184">
                  <c:v>1.8134793252904591</c:v>
                </c:pt>
                <c:pt idx="185">
                  <c:v>1.8292971853035591</c:v>
                </c:pt>
                <c:pt idx="186">
                  <c:v>1.8450918179157594</c:v>
                </c:pt>
                <c:pt idx="187">
                  <c:v>1.8609096779288594</c:v>
                </c:pt>
                <c:pt idx="188">
                  <c:v>1.876704310541059</c:v>
                </c:pt>
                <c:pt idx="189">
                  <c:v>1.8964476013063094</c:v>
                </c:pt>
                <c:pt idx="190">
                  <c:v>1.9122654613194094</c:v>
                </c:pt>
                <c:pt idx="191">
                  <c:v>1.9280600939316093</c:v>
                </c:pt>
                <c:pt idx="192">
                  <c:v>1.9438779539447095</c:v>
                </c:pt>
                <c:pt idx="193">
                  <c:v>1.9596725865569096</c:v>
                </c:pt>
                <c:pt idx="194">
                  <c:v>1.9754672191691098</c:v>
                </c:pt>
                <c:pt idx="195">
                  <c:v>1.9912850791822099</c:v>
                </c:pt>
                <c:pt idx="196">
                  <c:v>2.0070797117944097</c:v>
                </c:pt>
                <c:pt idx="197">
                  <c:v>2.0228975718075102</c:v>
                </c:pt>
                <c:pt idx="198">
                  <c:v>2.0386922044197102</c:v>
                </c:pt>
                <c:pt idx="199">
                  <c:v>2.0544868370319098</c:v>
                </c:pt>
                <c:pt idx="200">
                  <c:v>2.0703046970450103</c:v>
                </c:pt>
                <c:pt idx="201">
                  <c:v>2.0860993296572103</c:v>
                </c:pt>
                <c:pt idx="202">
                  <c:v>2.1019171896703104</c:v>
                </c:pt>
                <c:pt idx="203">
                  <c:v>2.1177118222825104</c:v>
                </c:pt>
                <c:pt idx="204">
                  <c:v>2.1374551130477606</c:v>
                </c:pt>
                <c:pt idx="205">
                  <c:v>2.1532729730608606</c:v>
                </c:pt>
                <c:pt idx="206">
                  <c:v>2.1690676056730607</c:v>
                </c:pt>
                <c:pt idx="207">
                  <c:v>2.1848854656861612</c:v>
                </c:pt>
                <c:pt idx="208">
                  <c:v>2.2046287564514113</c:v>
                </c:pt>
                <c:pt idx="209">
                  <c:v>2.2204466164645109</c:v>
                </c:pt>
                <c:pt idx="210">
                  <c:v>2.236241249076711</c:v>
                </c:pt>
                <c:pt idx="211">
                  <c:v>2.252035881688911</c:v>
                </c:pt>
                <c:pt idx="212">
                  <c:v>2.2678537417020115</c:v>
                </c:pt>
                <c:pt idx="213">
                  <c:v>2.2875970324672608</c:v>
                </c:pt>
                <c:pt idx="214">
                  <c:v>2.3034148924803617</c:v>
                </c:pt>
                <c:pt idx="215">
                  <c:v>2.3192095250925613</c:v>
                </c:pt>
                <c:pt idx="216">
                  <c:v>2.3389992706596119</c:v>
                </c:pt>
                <c:pt idx="217">
                  <c:v>2.3547939032718119</c:v>
                </c:pt>
                <c:pt idx="218">
                  <c:v>2.370588535884012</c:v>
                </c:pt>
                <c:pt idx="219">
                  <c:v>2.3903318266492617</c:v>
                </c:pt>
                <c:pt idx="220">
                  <c:v>2.4061264592614622</c:v>
                </c:pt>
                <c:pt idx="221">
                  <c:v>2.4258697500267119</c:v>
                </c:pt>
                <c:pt idx="222">
                  <c:v>2.4416643826389115</c:v>
                </c:pt>
                <c:pt idx="223">
                  <c:v>2.4614076734041617</c:v>
                </c:pt>
                <c:pt idx="224">
                  <c:v>2.4772023060163617</c:v>
                </c:pt>
                <c:pt idx="225">
                  <c:v>2.4969455967816114</c:v>
                </c:pt>
                <c:pt idx="226">
                  <c:v>2.5127402293938119</c:v>
                </c:pt>
                <c:pt idx="227">
                  <c:v>2.5324835201590616</c:v>
                </c:pt>
                <c:pt idx="228">
                  <c:v>2.5482781527712617</c:v>
                </c:pt>
                <c:pt idx="229">
                  <c:v>2.5640727853834617</c:v>
                </c:pt>
                <c:pt idx="230">
                  <c:v>2.5798674179956609</c:v>
                </c:pt>
                <c:pt idx="231">
                  <c:v>2.5998429827699145</c:v>
                </c:pt>
                <c:pt idx="232">
                  <c:v>2.6195862735351643</c:v>
                </c:pt>
                <c:pt idx="233">
                  <c:v>2.6353809061473639</c:v>
                </c:pt>
                <c:pt idx="234">
                  <c:v>2.6511755387595639</c:v>
                </c:pt>
                <c:pt idx="235">
                  <c:v>2.666970171371764</c:v>
                </c:pt>
                <c:pt idx="236">
                  <c:v>2.682764803983964</c:v>
                </c:pt>
                <c:pt idx="237">
                  <c:v>2.7025080947492142</c:v>
                </c:pt>
                <c:pt idx="238">
                  <c:v>2.7222513855144643</c:v>
                </c:pt>
                <c:pt idx="239">
                  <c:v>2.741994676279714</c:v>
                </c:pt>
                <c:pt idx="240">
                  <c:v>2.7617379670449638</c:v>
                </c:pt>
                <c:pt idx="241">
                  <c:v>2.7814812578102139</c:v>
                </c:pt>
                <c:pt idx="242">
                  <c:v>2.8012245485754637</c:v>
                </c:pt>
                <c:pt idx="243">
                  <c:v>2.8170191811876637</c:v>
                </c:pt>
                <c:pt idx="244">
                  <c:v>2.8328138137998637</c:v>
                </c:pt>
                <c:pt idx="245">
                  <c:v>2.8525571045651139</c:v>
                </c:pt>
                <c:pt idx="246">
                  <c:v>2.8723003953303636</c:v>
                </c:pt>
                <c:pt idx="247">
                  <c:v>2.8920436860956134</c:v>
                </c:pt>
                <c:pt idx="248">
                  <c:v>2.9078383187078134</c:v>
                </c:pt>
                <c:pt idx="249">
                  <c:v>2.9236329513200134</c:v>
                </c:pt>
                <c:pt idx="250">
                  <c:v>2.9433762420852636</c:v>
                </c:pt>
                <c:pt idx="251">
                  <c:v>2.9631195328505133</c:v>
                </c:pt>
                <c:pt idx="252">
                  <c:v>2.982862823615763</c:v>
                </c:pt>
                <c:pt idx="253">
                  <c:v>2.9986574562279635</c:v>
                </c:pt>
                <c:pt idx="254">
                  <c:v>3.0146843628491662</c:v>
                </c:pt>
                <c:pt idx="255">
                  <c:v>3.0344276536144159</c:v>
                </c:pt>
                <c:pt idx="256">
                  <c:v>3.0620682606857668</c:v>
                </c:pt>
                <c:pt idx="257">
                  <c:v>3.0897088677571163</c:v>
                </c:pt>
                <c:pt idx="258">
                  <c:v>3.1134008166754157</c:v>
                </c:pt>
                <c:pt idx="259">
                  <c:v>3.137092765593716</c:v>
                </c:pt>
                <c:pt idx="260">
                  <c:v>3.1647333726650659</c:v>
                </c:pt>
                <c:pt idx="261">
                  <c:v>3.1923739797364155</c:v>
                </c:pt>
                <c:pt idx="262">
                  <c:v>3.2200145868077654</c:v>
                </c:pt>
                <c:pt idx="263">
                  <c:v>3.2437065357260657</c:v>
                </c:pt>
                <c:pt idx="264">
                  <c:v>3.2673984846443656</c:v>
                </c:pt>
                <c:pt idx="265">
                  <c:v>3.295039091715716</c:v>
                </c:pt>
                <c:pt idx="266">
                  <c:v>3.3187310406340154</c:v>
                </c:pt>
                <c:pt idx="267">
                  <c:v>3.3424229895523156</c:v>
                </c:pt>
                <c:pt idx="268">
                  <c:v>3.366114938470615</c:v>
                </c:pt>
                <c:pt idx="269">
                  <c:v>3.3898068873889153</c:v>
                </c:pt>
                <c:pt idx="270">
                  <c:v>3.4137311103162182</c:v>
                </c:pt>
                <c:pt idx="271">
                  <c:v>3.4413717173875682</c:v>
                </c:pt>
                <c:pt idx="272">
                  <c:v>3.4650636663058685</c:v>
                </c:pt>
                <c:pt idx="273">
                  <c:v>3.4927042733772184</c:v>
                </c:pt>
                <c:pt idx="274">
                  <c:v>3.5163962222955174</c:v>
                </c:pt>
                <c:pt idx="275">
                  <c:v>3.5400881712138177</c:v>
                </c:pt>
                <c:pt idx="276">
                  <c:v>3.563780120132118</c:v>
                </c:pt>
                <c:pt idx="277">
                  <c:v>3.5914207272034679</c:v>
                </c:pt>
                <c:pt idx="278">
                  <c:v>3.6151126761217678</c:v>
                </c:pt>
                <c:pt idx="279">
                  <c:v>3.6388046250400676</c:v>
                </c:pt>
                <c:pt idx="280">
                  <c:v>3.6624965739583675</c:v>
                </c:pt>
                <c:pt idx="281">
                  <c:v>3.6901371810297174</c:v>
                </c:pt>
                <c:pt idx="282">
                  <c:v>3.7138291299480173</c:v>
                </c:pt>
                <c:pt idx="283">
                  <c:v>3.7375210788663176</c:v>
                </c:pt>
                <c:pt idx="284">
                  <c:v>3.7612130277846174</c:v>
                </c:pt>
                <c:pt idx="285">
                  <c:v>3.7849049767029168</c:v>
                </c:pt>
                <c:pt idx="286">
                  <c:v>3.8127778577832707</c:v>
                </c:pt>
                <c:pt idx="287">
                  <c:v>3.8364698067015697</c:v>
                </c:pt>
                <c:pt idx="288">
                  <c:v>3.86016175561987</c:v>
                </c:pt>
                <c:pt idx="289">
                  <c:v>3.8838537045381702</c:v>
                </c:pt>
                <c:pt idx="290">
                  <c:v>3.9075456534564696</c:v>
                </c:pt>
                <c:pt idx="291">
                  <c:v>3.9351862605278196</c:v>
                </c:pt>
                <c:pt idx="292">
                  <c:v>3.9588782094461195</c:v>
                </c:pt>
                <c:pt idx="293">
                  <c:v>3.9825701583644197</c:v>
                </c:pt>
                <c:pt idx="294">
                  <c:v>4.0102107654357697</c:v>
                </c:pt>
                <c:pt idx="295">
                  <c:v>4.0339027143540696</c:v>
                </c:pt>
                <c:pt idx="296">
                  <c:v>4.0575946632723694</c:v>
                </c:pt>
                <c:pt idx="297">
                  <c:v>4.0931325866498192</c:v>
                </c:pt>
                <c:pt idx="298">
                  <c:v>4.1247218518742201</c:v>
                </c:pt>
                <c:pt idx="299">
                  <c:v>4.1563111170986193</c:v>
                </c:pt>
                <c:pt idx="300">
                  <c:v>4.1918490404760691</c:v>
                </c:pt>
                <c:pt idx="301">
                  <c:v>4.2236705797094718</c:v>
                </c:pt>
                <c:pt idx="302">
                  <c:v>4.2592085030869216</c:v>
                </c:pt>
                <c:pt idx="303">
                  <c:v>4.2907977683113216</c:v>
                </c:pt>
                <c:pt idx="304">
                  <c:v>4.3263356916887714</c:v>
                </c:pt>
                <c:pt idx="305">
                  <c:v>4.3618736150662221</c:v>
                </c:pt>
                <c:pt idx="306">
                  <c:v>4.3974115384436718</c:v>
                </c:pt>
                <c:pt idx="307">
                  <c:v>4.4290008036680719</c:v>
                </c:pt>
                <c:pt idx="308">
                  <c:v>4.4645387270455217</c:v>
                </c:pt>
                <c:pt idx="309">
                  <c:v>4.5000766504229714</c:v>
                </c:pt>
                <c:pt idx="310">
                  <c:v>4.5356145738004212</c:v>
                </c:pt>
                <c:pt idx="311">
                  <c:v>4.5711524971778719</c:v>
                </c:pt>
                <c:pt idx="312">
                  <c:v>4.6069226945643242</c:v>
                </c:pt>
                <c:pt idx="313">
                  <c:v>4.6385119597887234</c:v>
                </c:pt>
                <c:pt idx="314">
                  <c:v>4.6740498831661732</c:v>
                </c:pt>
                <c:pt idx="315">
                  <c:v>4.7095878065436239</c:v>
                </c:pt>
                <c:pt idx="316">
                  <c:v>4.7451257299210736</c:v>
                </c:pt>
                <c:pt idx="317">
                  <c:v>4.7806636532985234</c:v>
                </c:pt>
                <c:pt idx="318">
                  <c:v>4.816201576675974</c:v>
                </c:pt>
                <c:pt idx="319">
                  <c:v>4.8477908419003741</c:v>
                </c:pt>
                <c:pt idx="320">
                  <c:v>4.8872774234308727</c:v>
                </c:pt>
                <c:pt idx="321">
                  <c:v>4.9228153468083233</c:v>
                </c:pt>
                <c:pt idx="322">
                  <c:v>4.9583532701857731</c:v>
                </c:pt>
                <c:pt idx="323">
                  <c:v>4.9938911935632229</c:v>
                </c:pt>
                <c:pt idx="324">
                  <c:v>5.0296613909496761</c:v>
                </c:pt>
                <c:pt idx="325">
                  <c:v>5.065199314327125</c:v>
                </c:pt>
                <c:pt idx="326">
                  <c:v>5.1046858958576262</c:v>
                </c:pt>
                <c:pt idx="327">
                  <c:v>5.1481211355411753</c:v>
                </c:pt>
                <c:pt idx="328">
                  <c:v>5.1876077170716757</c:v>
                </c:pt>
                <c:pt idx="329">
                  <c:v>5.2349916149082754</c:v>
                </c:pt>
                <c:pt idx="330">
                  <c:v>5.2784268545918254</c:v>
                </c:pt>
                <c:pt idx="331">
                  <c:v>5.3179134361223248</c:v>
                </c:pt>
                <c:pt idx="332">
                  <c:v>5.3652973339589254</c:v>
                </c:pt>
                <c:pt idx="333">
                  <c:v>5.4129135058045277</c:v>
                </c:pt>
                <c:pt idx="334">
                  <c:v>5.4602974036411283</c:v>
                </c:pt>
                <c:pt idx="335">
                  <c:v>5.5076813014777288</c:v>
                </c:pt>
                <c:pt idx="336">
                  <c:v>5.5550651993143276</c:v>
                </c:pt>
                <c:pt idx="337">
                  <c:v>5.594551780844828</c:v>
                </c:pt>
                <c:pt idx="338">
                  <c:v>5.6340383623753274</c:v>
                </c:pt>
                <c:pt idx="339">
                  <c:v>5.6814222602119271</c:v>
                </c:pt>
                <c:pt idx="340">
                  <c:v>5.7209088417424283</c:v>
                </c:pt>
                <c:pt idx="341">
                  <c:v>5.7603954232729269</c:v>
                </c:pt>
                <c:pt idx="342">
                  <c:v>5.8001142788124298</c:v>
                </c:pt>
                <c:pt idx="343">
                  <c:v>5.8396008603429301</c:v>
                </c:pt>
                <c:pt idx="344">
                  <c:v>5.8790874418734305</c:v>
                </c:pt>
                <c:pt idx="345">
                  <c:v>5.9185740234039299</c:v>
                </c:pt>
                <c:pt idx="346">
                  <c:v>5.9580606049344293</c:v>
                </c:pt>
                <c:pt idx="347">
                  <c:v>5.9975471864649288</c:v>
                </c:pt>
                <c:pt idx="348">
                  <c:v>6.0409824261484788</c:v>
                </c:pt>
                <c:pt idx="349">
                  <c:v>6.0804690076789791</c:v>
                </c:pt>
                <c:pt idx="350">
                  <c:v>6.1318015636686294</c:v>
                </c:pt>
                <c:pt idx="351">
                  <c:v>6.1791854615052291</c:v>
                </c:pt>
                <c:pt idx="352">
                  <c:v>6.2307502915038819</c:v>
                </c:pt>
                <c:pt idx="353">
                  <c:v>6.2820828474935313</c:v>
                </c:pt>
                <c:pt idx="354">
                  <c:v>6.3294667453301319</c:v>
                </c:pt>
                <c:pt idx="355">
                  <c:v>6.3807993013197803</c:v>
                </c:pt>
                <c:pt idx="356">
                  <c:v>6.4321318573094315</c:v>
                </c:pt>
                <c:pt idx="357">
                  <c:v>6.4834644132990809</c:v>
                </c:pt>
                <c:pt idx="358">
                  <c:v>6.5347969692887311</c:v>
                </c:pt>
                <c:pt idx="359">
                  <c:v>6.5821808671253317</c:v>
                </c:pt>
                <c:pt idx="360">
                  <c:v>6.6376943552770333</c:v>
                </c:pt>
                <c:pt idx="361">
                  <c:v>6.6890269112666845</c:v>
                </c:pt>
                <c:pt idx="362">
                  <c:v>6.7403594672563338</c:v>
                </c:pt>
                <c:pt idx="363">
                  <c:v>6.7916920232459832</c:v>
                </c:pt>
                <c:pt idx="364">
                  <c:v>6.8430245792356335</c:v>
                </c:pt>
                <c:pt idx="365">
                  <c:v>6.8983057933783334</c:v>
                </c:pt>
                <c:pt idx="366">
                  <c:v>6.9535870075210333</c:v>
                </c:pt>
                <c:pt idx="367">
                  <c:v>7.009100495672735</c:v>
                </c:pt>
                <c:pt idx="368">
                  <c:v>7.0604330516623861</c:v>
                </c:pt>
                <c:pt idx="369">
                  <c:v>7.1078169494989858</c:v>
                </c:pt>
                <c:pt idx="370">
                  <c:v>7.1630981636416857</c:v>
                </c:pt>
                <c:pt idx="371">
                  <c:v>7.2183793777843857</c:v>
                </c:pt>
                <c:pt idx="372">
                  <c:v>7.2736605919270847</c:v>
                </c:pt>
                <c:pt idx="373">
                  <c:v>7.3368391223758849</c:v>
                </c:pt>
                <c:pt idx="374">
                  <c:v>7.3921203365185848</c:v>
                </c:pt>
                <c:pt idx="375">
                  <c:v>7.4476338246702873</c:v>
                </c:pt>
                <c:pt idx="376">
                  <c:v>7.5029150388129873</c:v>
                </c:pt>
                <c:pt idx="377">
                  <c:v>7.5581962529556872</c:v>
                </c:pt>
                <c:pt idx="378">
                  <c:v>7.6174261252514377</c:v>
                </c:pt>
                <c:pt idx="379">
                  <c:v>7.6727073393941376</c:v>
                </c:pt>
                <c:pt idx="380">
                  <c:v>7.7319372116898872</c:v>
                </c:pt>
                <c:pt idx="381">
                  <c:v>7.7911670839856368</c:v>
                </c:pt>
                <c:pt idx="382">
                  <c:v>7.8466805721373403</c:v>
                </c:pt>
                <c:pt idx="383">
                  <c:v>7.9019617862800393</c:v>
                </c:pt>
                <c:pt idx="384">
                  <c:v>7.9611916585757898</c:v>
                </c:pt>
                <c:pt idx="385">
                  <c:v>8.0164728727184897</c:v>
                </c:pt>
                <c:pt idx="386">
                  <c:v>8.0717540868611888</c:v>
                </c:pt>
                <c:pt idx="387">
                  <c:v>8.1270353010038896</c:v>
                </c:pt>
                <c:pt idx="388">
                  <c:v>8.1983434217677917</c:v>
                </c:pt>
                <c:pt idx="389">
                  <c:v>8.2654706103696416</c:v>
                </c:pt>
                <c:pt idx="390">
                  <c:v>8.3325977989714914</c:v>
                </c:pt>
                <c:pt idx="391">
                  <c:v>8.4036736457263927</c:v>
                </c:pt>
                <c:pt idx="392">
                  <c:v>8.4708008343282408</c:v>
                </c:pt>
                <c:pt idx="393">
                  <c:v>8.5418766810831404</c:v>
                </c:pt>
                <c:pt idx="394">
                  <c:v>8.6131848018470443</c:v>
                </c:pt>
                <c:pt idx="395">
                  <c:v>8.6842606486019438</c:v>
                </c:pt>
                <c:pt idx="396">
                  <c:v>8.7553364953568433</c:v>
                </c:pt>
                <c:pt idx="397">
                  <c:v>8.8264123421117446</c:v>
                </c:pt>
                <c:pt idx="398">
                  <c:v>8.8974881888666424</c:v>
                </c:pt>
                <c:pt idx="399">
                  <c:v>8.9725126937745934</c:v>
                </c:pt>
                <c:pt idx="400">
                  <c:v>9.0438208145384955</c:v>
                </c:pt>
                <c:pt idx="401">
                  <c:v>9.1148966612933968</c:v>
                </c:pt>
                <c:pt idx="402">
                  <c:v>9.1859725080482963</c:v>
                </c:pt>
                <c:pt idx="403">
                  <c:v>9.2570483548031959</c:v>
                </c:pt>
                <c:pt idx="404">
                  <c:v>9.3320728597111433</c:v>
                </c:pt>
                <c:pt idx="405">
                  <c:v>9.4033809804750472</c:v>
                </c:pt>
                <c:pt idx="406">
                  <c:v>9.4784054853829982</c:v>
                </c:pt>
                <c:pt idx="407">
                  <c:v>9.5494813321378977</c:v>
                </c:pt>
                <c:pt idx="408">
                  <c:v>9.6245058370458487</c:v>
                </c:pt>
                <c:pt idx="409">
                  <c:v>9.6955816838007483</c:v>
                </c:pt>
                <c:pt idx="410">
                  <c:v>9.7706061887086957</c:v>
                </c:pt>
                <c:pt idx="411">
                  <c:v>9.8458629676256493</c:v>
                </c:pt>
                <c:pt idx="412">
                  <c:v>9.9208874725336003</c:v>
                </c:pt>
                <c:pt idx="413">
                  <c:v>9.9959119774415495</c:v>
                </c:pt>
                <c:pt idx="414">
                  <c:v>10.07488514050255</c:v>
                </c:pt>
                <c:pt idx="415">
                  <c:v>10.149909645410499</c:v>
                </c:pt>
                <c:pt idx="416">
                  <c:v>10.229115082480501</c:v>
                </c:pt>
                <c:pt idx="417">
                  <c:v>10.315985561847601</c:v>
                </c:pt>
                <c:pt idx="418">
                  <c:v>10.394958724908602</c:v>
                </c:pt>
                <c:pt idx="419">
                  <c:v>10.481829204275702</c:v>
                </c:pt>
                <c:pt idx="420">
                  <c:v>10.560802367336702</c:v>
                </c:pt>
                <c:pt idx="421">
                  <c:v>10.651853778865853</c:v>
                </c:pt>
                <c:pt idx="422">
                  <c:v>10.730826941926853</c:v>
                </c:pt>
                <c:pt idx="423">
                  <c:v>10.817697421293953</c:v>
                </c:pt>
                <c:pt idx="424">
                  <c:v>10.896670584354954</c:v>
                </c:pt>
                <c:pt idx="425">
                  <c:v>10.979592405569003</c:v>
                </c:pt>
                <c:pt idx="426">
                  <c:v>11.058797842639006</c:v>
                </c:pt>
                <c:pt idx="427">
                  <c:v>11.137771005700005</c:v>
                </c:pt>
                <c:pt idx="428">
                  <c:v>11.232538801373204</c:v>
                </c:pt>
                <c:pt idx="429">
                  <c:v>11.319409280740304</c:v>
                </c:pt>
                <c:pt idx="430">
                  <c:v>11.41440935042251</c:v>
                </c:pt>
                <c:pt idx="431">
                  <c:v>11.509177146095707</c:v>
                </c:pt>
                <c:pt idx="432">
                  <c:v>11.603944941768907</c:v>
                </c:pt>
                <c:pt idx="433">
                  <c:v>11.702661395595158</c:v>
                </c:pt>
                <c:pt idx="434">
                  <c:v>11.801610123430409</c:v>
                </c:pt>
                <c:pt idx="435">
                  <c:v>11.896377919103609</c:v>
                </c:pt>
                <c:pt idx="436">
                  <c:v>11.983248398470709</c:v>
                </c:pt>
                <c:pt idx="437">
                  <c:v>12.081964852296958</c:v>
                </c:pt>
                <c:pt idx="438">
                  <c:v>12.168835331664058</c:v>
                </c:pt>
                <c:pt idx="439">
                  <c:v>12.267784059499311</c:v>
                </c:pt>
                <c:pt idx="440">
                  <c:v>12.36650051332556</c:v>
                </c:pt>
                <c:pt idx="441">
                  <c:v>12.465216967151809</c:v>
                </c:pt>
                <c:pt idx="442">
                  <c:v>12.56393342097806</c:v>
                </c:pt>
                <c:pt idx="443">
                  <c:v>12.662882148813313</c:v>
                </c:pt>
                <c:pt idx="444">
                  <c:v>12.761598602639561</c:v>
                </c:pt>
                <c:pt idx="445">
                  <c:v>12.860315056465812</c:v>
                </c:pt>
                <c:pt idx="446">
                  <c:v>12.959031510292062</c:v>
                </c:pt>
                <c:pt idx="447">
                  <c:v>13.057980238127314</c:v>
                </c:pt>
                <c:pt idx="448">
                  <c:v>13.156696691953565</c:v>
                </c:pt>
                <c:pt idx="449">
                  <c:v>13.259361803932865</c:v>
                </c:pt>
                <c:pt idx="450">
                  <c:v>13.369924232218265</c:v>
                </c:pt>
                <c:pt idx="451">
                  <c:v>13.472821618206567</c:v>
                </c:pt>
                <c:pt idx="452">
                  <c:v>13.587332704645018</c:v>
                </c:pt>
                <c:pt idx="453">
                  <c:v>13.701843791083466</c:v>
                </c:pt>
                <c:pt idx="454">
                  <c:v>13.804741177071771</c:v>
                </c:pt>
                <c:pt idx="455">
                  <c:v>13.907406289051069</c:v>
                </c:pt>
                <c:pt idx="456">
                  <c:v>14.021917375489519</c:v>
                </c:pt>
                <c:pt idx="457">
                  <c:v>14.124582487468819</c:v>
                </c:pt>
                <c:pt idx="458">
                  <c:v>14.227479873457121</c:v>
                </c:pt>
                <c:pt idx="459">
                  <c:v>14.345939618048622</c:v>
                </c:pt>
                <c:pt idx="460">
                  <c:v>14.464399362640123</c:v>
                </c:pt>
                <c:pt idx="461">
                  <c:v>14.582859107231622</c:v>
                </c:pt>
                <c:pt idx="462">
                  <c:v>14.701551125832124</c:v>
                </c:pt>
                <c:pt idx="463">
                  <c:v>14.823959528576674</c:v>
                </c:pt>
                <c:pt idx="464">
                  <c:v>14.946367931321223</c:v>
                </c:pt>
                <c:pt idx="465">
                  <c:v>15.069008608074775</c:v>
                </c:pt>
                <c:pt idx="466">
                  <c:v>15.191417010819325</c:v>
                </c:pt>
                <c:pt idx="467">
                  <c:v>15.309876755410825</c:v>
                </c:pt>
                <c:pt idx="468">
                  <c:v>15.432517432164376</c:v>
                </c:pt>
                <c:pt idx="469">
                  <c:v>15.554925834908927</c:v>
                </c:pt>
                <c:pt idx="470">
                  <c:v>15.677334237653477</c:v>
                </c:pt>
                <c:pt idx="471">
                  <c:v>15.799974914407029</c:v>
                </c:pt>
                <c:pt idx="472">
                  <c:v>15.92238331715158</c:v>
                </c:pt>
                <c:pt idx="473">
                  <c:v>16.040843061743079</c:v>
                </c:pt>
                <c:pt idx="474">
                  <c:v>16.167200122640679</c:v>
                </c:pt>
                <c:pt idx="475">
                  <c:v>16.29378945754728</c:v>
                </c:pt>
                <c:pt idx="476">
                  <c:v>16.420146518444881</c:v>
                </c:pt>
                <c:pt idx="477">
                  <c:v>16.546503579342481</c:v>
                </c:pt>
                <c:pt idx="478">
                  <c:v>16.673092914249086</c:v>
                </c:pt>
                <c:pt idx="479">
                  <c:v>16.799449975146683</c:v>
                </c:pt>
                <c:pt idx="480">
                  <c:v>16.929755694197333</c:v>
                </c:pt>
                <c:pt idx="481">
                  <c:v>17.056345029103934</c:v>
                </c:pt>
                <c:pt idx="482">
                  <c:v>17.182702090001534</c:v>
                </c:pt>
                <c:pt idx="483">
                  <c:v>17.313007809052184</c:v>
                </c:pt>
                <c:pt idx="484">
                  <c:v>17.455391776570988</c:v>
                </c:pt>
                <c:pt idx="485">
                  <c:v>17.601492128233836</c:v>
                </c:pt>
                <c:pt idx="486">
                  <c:v>17.747592479896689</c:v>
                </c:pt>
                <c:pt idx="487">
                  <c:v>17.882079131109389</c:v>
                </c:pt>
                <c:pt idx="488">
                  <c:v>18.028179482772238</c:v>
                </c:pt>
                <c:pt idx="489">
                  <c:v>18.162433859975941</c:v>
                </c:pt>
                <c:pt idx="490">
                  <c:v>18.304817827494741</c:v>
                </c:pt>
                <c:pt idx="491">
                  <c:v>18.450918179157593</c:v>
                </c:pt>
                <c:pt idx="492">
                  <c:v>18.597250804829439</c:v>
                </c:pt>
                <c:pt idx="493">
                  <c:v>18.747299814645341</c:v>
                </c:pt>
                <c:pt idx="494">
                  <c:v>18.89340016630819</c:v>
                </c:pt>
                <c:pt idx="495">
                  <c:v>19.039732791980047</c:v>
                </c:pt>
                <c:pt idx="496">
                  <c:v>19.189781801795945</c:v>
                </c:pt>
                <c:pt idx="497">
                  <c:v>19.339830811611847</c:v>
                </c:pt>
                <c:pt idx="498">
                  <c:v>19.501958069895895</c:v>
                </c:pt>
                <c:pt idx="499">
                  <c:v>19.663853054170946</c:v>
                </c:pt>
                <c:pt idx="500">
                  <c:v>19.829928970608048</c:v>
                </c:pt>
                <c:pt idx="501">
                  <c:v>19.991823954883099</c:v>
                </c:pt>
                <c:pt idx="502">
                  <c:v>20.141872964698997</c:v>
                </c:pt>
                <c:pt idx="503">
                  <c:v>20.307948881136102</c:v>
                </c:pt>
                <c:pt idx="504">
                  <c:v>20.4737925235642</c:v>
                </c:pt>
                <c:pt idx="505">
                  <c:v>20.639868440001305</c:v>
                </c:pt>
                <c:pt idx="506">
                  <c:v>20.805712082429402</c:v>
                </c:pt>
                <c:pt idx="507">
                  <c:v>20.971555724857502</c:v>
                </c:pt>
                <c:pt idx="508">
                  <c:v>21.137631641294607</c:v>
                </c:pt>
                <c:pt idx="509">
                  <c:v>21.303475283722701</c:v>
                </c:pt>
                <c:pt idx="510">
                  <c:v>21.469551200159806</c:v>
                </c:pt>
                <c:pt idx="511">
                  <c:v>21.651189475200106</c:v>
                </c:pt>
                <c:pt idx="512">
                  <c:v>21.82911136609636</c:v>
                </c:pt>
                <c:pt idx="513">
                  <c:v>22.006800982983613</c:v>
                </c:pt>
                <c:pt idx="514">
                  <c:v>22.176593283564756</c:v>
                </c:pt>
                <c:pt idx="515">
                  <c:v>22.35451517446101</c:v>
                </c:pt>
                <c:pt idx="516">
                  <c:v>22.53220479134826</c:v>
                </c:pt>
                <c:pt idx="517">
                  <c:v>22.718023998550613</c:v>
                </c:pt>
                <c:pt idx="518">
                  <c:v>22.891764957284813</c:v>
                </c:pt>
                <c:pt idx="519">
                  <c:v>23.077584164487163</c:v>
                </c:pt>
                <c:pt idx="520">
                  <c:v>23.250628301194354</c:v>
                </c:pt>
                <c:pt idx="521">
                  <c:v>23.424833807946563</c:v>
                </c:pt>
                <c:pt idx="522">
                  <c:v>23.615298495328975</c:v>
                </c:pt>
                <c:pt idx="523">
                  <c:v>23.803440442621355</c:v>
                </c:pt>
                <c:pt idx="524">
                  <c:v>23.993905130003764</c:v>
                </c:pt>
                <c:pt idx="525">
                  <c:v>24.184369817386177</c:v>
                </c:pt>
                <c:pt idx="526">
                  <c:v>24.37018902458853</c:v>
                </c:pt>
                <c:pt idx="527">
                  <c:v>24.55833097188091</c:v>
                </c:pt>
                <c:pt idx="528">
                  <c:v>24.748795659263322</c:v>
                </c:pt>
                <c:pt idx="529">
                  <c:v>24.953196787185909</c:v>
                </c:pt>
                <c:pt idx="530">
                  <c:v>25.143661474568322</c:v>
                </c:pt>
                <c:pt idx="531">
                  <c:v>25.345739862400883</c:v>
                </c:pt>
                <c:pt idx="532">
                  <c:v>25.547818250233441</c:v>
                </c:pt>
                <c:pt idx="533">
                  <c:v>25.747573897975965</c:v>
                </c:pt>
                <c:pt idx="534">
                  <c:v>25.954297765988589</c:v>
                </c:pt>
                <c:pt idx="535">
                  <c:v>26.158698893911172</c:v>
                </c:pt>
                <c:pt idx="536">
                  <c:v>26.360777281743733</c:v>
                </c:pt>
                <c:pt idx="537">
                  <c:v>26.581437590296524</c:v>
                </c:pt>
                <c:pt idx="538">
                  <c:v>26.788161458309141</c:v>
                </c:pt>
                <c:pt idx="539">
                  <c:v>26.997208066411787</c:v>
                </c:pt>
                <c:pt idx="540">
                  <c:v>27.201609194334374</c:v>
                </c:pt>
                <c:pt idx="541">
                  <c:v>27.408333062346991</c:v>
                </c:pt>
                <c:pt idx="542">
                  <c:v>27.628993370899785</c:v>
                </c:pt>
                <c:pt idx="543">
                  <c:v>27.847330939362553</c:v>
                </c:pt>
                <c:pt idx="544">
                  <c:v>28.0726367280954</c:v>
                </c:pt>
                <c:pt idx="545">
                  <c:v>28.300265256918284</c:v>
                </c:pt>
                <c:pt idx="546">
                  <c:v>28.525571045651134</c:v>
                </c:pt>
                <c:pt idx="547">
                  <c:v>28.746231354203928</c:v>
                </c:pt>
                <c:pt idx="548">
                  <c:v>28.971537142936782</c:v>
                </c:pt>
                <c:pt idx="549">
                  <c:v>29.201488411849695</c:v>
                </c:pt>
                <c:pt idx="550">
                  <c:v>29.433762420852634</c:v>
                </c:pt>
                <c:pt idx="551">
                  <c:v>29.668359169945607</c:v>
                </c:pt>
                <c:pt idx="552">
                  <c:v>29.895987698768486</c:v>
                </c:pt>
                <c:pt idx="553">
                  <c:v>30.130584447861459</c:v>
                </c:pt>
                <c:pt idx="554">
                  <c:v>30.358212976684339</c:v>
                </c:pt>
                <c:pt idx="555">
                  <c:v>30.611391646497548</c:v>
                </c:pt>
                <c:pt idx="556">
                  <c:v>30.859924836130691</c:v>
                </c:pt>
                <c:pt idx="557">
                  <c:v>31.106135285673808</c:v>
                </c:pt>
                <c:pt idx="558">
                  <c:v>31.350022995126896</c:v>
                </c:pt>
                <c:pt idx="559">
                  <c:v>31.596233444670009</c:v>
                </c:pt>
                <c:pt idx="560">
                  <c:v>31.840121154123096</c:v>
                </c:pt>
                <c:pt idx="561">
                  <c:v>32.086331603666217</c:v>
                </c:pt>
                <c:pt idx="562">
                  <c:v>32.346478493749508</c:v>
                </c:pt>
                <c:pt idx="563">
                  <c:v>32.590366203202592</c:v>
                </c:pt>
                <c:pt idx="564">
                  <c:v>32.85283583337592</c:v>
                </c:pt>
                <c:pt idx="565">
                  <c:v>33.112982723459211</c:v>
                </c:pt>
                <c:pt idx="566">
                  <c:v>33.377775093722569</c:v>
                </c:pt>
                <c:pt idx="567">
                  <c:v>33.649535684256008</c:v>
                </c:pt>
                <c:pt idx="568">
                  <c:v>33.912005314429329</c:v>
                </c:pt>
                <c:pt idx="569">
                  <c:v>34.172152204512628</c:v>
                </c:pt>
                <c:pt idx="570">
                  <c:v>34.443912795046067</c:v>
                </c:pt>
                <c:pt idx="571">
                  <c:v>34.720318865759559</c:v>
                </c:pt>
                <c:pt idx="572">
                  <c:v>35.001370416653124</c:v>
                </c:pt>
                <c:pt idx="573">
                  <c:v>35.270808267096534</c:v>
                </c:pt>
                <c:pt idx="574">
                  <c:v>35.554182558080122</c:v>
                </c:pt>
                <c:pt idx="575">
                  <c:v>35.842202329243761</c:v>
                </c:pt>
                <c:pt idx="576">
                  <c:v>36.134867580587468</c:v>
                </c:pt>
                <c:pt idx="577">
                  <c:v>36.422887351751122</c:v>
                </c:pt>
                <c:pt idx="578">
                  <c:v>36.713229863004791</c:v>
                </c:pt>
                <c:pt idx="579">
                  <c:v>36.996604153988386</c:v>
                </c:pt>
                <c:pt idx="580">
                  <c:v>37.282301185061996</c:v>
                </c:pt>
                <c:pt idx="581">
                  <c:v>37.570320956225643</c:v>
                </c:pt>
                <c:pt idx="582">
                  <c:v>37.869954427839446</c:v>
                </c:pt>
                <c:pt idx="583">
                  <c:v>38.169587899453234</c:v>
                </c:pt>
                <c:pt idx="584">
                  <c:v>38.466898630976992</c:v>
                </c:pt>
                <c:pt idx="585">
                  <c:v>38.766532102590794</c:v>
                </c:pt>
                <c:pt idx="586">
                  <c:v>39.066165574204589</c:v>
                </c:pt>
                <c:pt idx="587">
                  <c:v>39.379735486358555</c:v>
                </c:pt>
                <c:pt idx="588">
                  <c:v>39.695628138602558</c:v>
                </c:pt>
                <c:pt idx="589">
                  <c:v>40.006875310666494</c:v>
                </c:pt>
                <c:pt idx="590">
                  <c:v>40.32044522282046</c:v>
                </c:pt>
                <c:pt idx="591">
                  <c:v>40.643306095334545</c:v>
                </c:pt>
                <c:pt idx="592">
                  <c:v>40.970812448028695</c:v>
                </c:pt>
                <c:pt idx="593">
                  <c:v>41.286705100272691</c:v>
                </c:pt>
                <c:pt idx="594">
                  <c:v>41.611888712876812</c:v>
                </c:pt>
                <c:pt idx="595">
                  <c:v>41.939395065570956</c:v>
                </c:pt>
                <c:pt idx="596">
                  <c:v>42.271546898445166</c:v>
                </c:pt>
                <c:pt idx="597">
                  <c:v>42.599053251139303</c:v>
                </c:pt>
                <c:pt idx="598">
                  <c:v>42.938173304283595</c:v>
                </c:pt>
                <c:pt idx="599">
                  <c:v>43.28193883760796</c:v>
                </c:pt>
                <c:pt idx="600">
                  <c:v>43.623381630842275</c:v>
                </c:pt>
                <c:pt idx="601">
                  <c:v>43.969469904256655</c:v>
                </c:pt>
                <c:pt idx="602">
                  <c:v>44.313235437581007</c:v>
                </c:pt>
                <c:pt idx="603">
                  <c:v>44.661646451085417</c:v>
                </c:pt>
                <c:pt idx="604">
                  <c:v>45.012380204679864</c:v>
                </c:pt>
                <c:pt idx="605">
                  <c:v>45.360791218184275</c:v>
                </c:pt>
                <c:pt idx="606">
                  <c:v>45.720815932138834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55-48C2-A0ED-106B17C8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287943"/>
        <c:axId val="285293063"/>
      </c:lineChart>
      <c:catAx>
        <c:axId val="28528794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5293063"/>
        <c:crosses val="autoZero"/>
        <c:auto val="1"/>
        <c:lblAlgn val="ctr"/>
        <c:lblOffset val="100"/>
        <c:noMultiLvlLbl val="0"/>
      </c:catAx>
      <c:valAx>
        <c:axId val="285293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528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'A11-3'!$F$1</c:f>
              <c:strCache>
                <c:ptCount val="1"/>
                <c:pt idx="0">
                  <c:v>Tensão (MPa)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'A11-3'!$C$2:$C$641</c:f>
              <c:numCache>
                <c:formatCode>0.00</c:formatCode>
                <c:ptCount val="640"/>
                <c:pt idx="0">
                  <c:v>9.4920000000000006E-5</c:v>
                </c:pt>
                <c:pt idx="1">
                  <c:v>1.4734799999999999E-2</c:v>
                </c:pt>
                <c:pt idx="2">
                  <c:v>1.48726E-2</c:v>
                </c:pt>
                <c:pt idx="3">
                  <c:v>1.50122E-2</c:v>
                </c:pt>
                <c:pt idx="4">
                  <c:v>1.51518E-2</c:v>
                </c:pt>
                <c:pt idx="5">
                  <c:v>1.52894E-2</c:v>
                </c:pt>
                <c:pt idx="6">
                  <c:v>1.5429E-2</c:v>
                </c:pt>
                <c:pt idx="7">
                  <c:v>1.5568599999999998E-2</c:v>
                </c:pt>
                <c:pt idx="8">
                  <c:v>1.5708200000000002E-2</c:v>
                </c:pt>
                <c:pt idx="9">
                  <c:v>1.5845999999999999E-2</c:v>
                </c:pt>
                <c:pt idx="10">
                  <c:v>1.5985599999999999E-2</c:v>
                </c:pt>
                <c:pt idx="11">
                  <c:v>1.6121399999999998E-2</c:v>
                </c:pt>
                <c:pt idx="12">
                  <c:v>1.6262800000000001E-2</c:v>
                </c:pt>
                <c:pt idx="13">
                  <c:v>1.6402399999999998E-2</c:v>
                </c:pt>
                <c:pt idx="14">
                  <c:v>1.6540200000000001E-2</c:v>
                </c:pt>
                <c:pt idx="15">
                  <c:v>1.6679800000000002E-2</c:v>
                </c:pt>
                <c:pt idx="16">
                  <c:v>1.6819399999999998E-2</c:v>
                </c:pt>
                <c:pt idx="17">
                  <c:v>1.6957E-2</c:v>
                </c:pt>
                <c:pt idx="18">
                  <c:v>1.70966E-2</c:v>
                </c:pt>
                <c:pt idx="19">
                  <c:v>1.72344E-2</c:v>
                </c:pt>
                <c:pt idx="20">
                  <c:v>1.7372000000000002E-2</c:v>
                </c:pt>
                <c:pt idx="21">
                  <c:v>1.7513600000000001E-2</c:v>
                </c:pt>
                <c:pt idx="22">
                  <c:v>1.7651199999999999E-2</c:v>
                </c:pt>
                <c:pt idx="23">
                  <c:v>1.7788999999999999E-2</c:v>
                </c:pt>
                <c:pt idx="24">
                  <c:v>1.7928599999999999E-2</c:v>
                </c:pt>
                <c:pt idx="25">
                  <c:v>1.80682E-2</c:v>
                </c:pt>
                <c:pt idx="26">
                  <c:v>1.82078E-2</c:v>
                </c:pt>
                <c:pt idx="27">
                  <c:v>1.8373399999999998E-2</c:v>
                </c:pt>
                <c:pt idx="28">
                  <c:v>1.85408E-2</c:v>
                </c:pt>
                <c:pt idx="29">
                  <c:v>1.87066E-2</c:v>
                </c:pt>
                <c:pt idx="30">
                  <c:v>1.8873999999999998E-2</c:v>
                </c:pt>
                <c:pt idx="31">
                  <c:v>1.90396E-2</c:v>
                </c:pt>
                <c:pt idx="32">
                  <c:v>1.9205399999999997E-2</c:v>
                </c:pt>
                <c:pt idx="33">
                  <c:v>1.9374599999999999E-2</c:v>
                </c:pt>
                <c:pt idx="34">
                  <c:v>1.9540399999999999E-2</c:v>
                </c:pt>
                <c:pt idx="35">
                  <c:v>1.9707800000000001E-2</c:v>
                </c:pt>
                <c:pt idx="36">
                  <c:v>1.9873399999999999E-2</c:v>
                </c:pt>
                <c:pt idx="37">
                  <c:v>2.0039999999999999E-2</c:v>
                </c:pt>
                <c:pt idx="38">
                  <c:v>2.0205999999999998E-2</c:v>
                </c:pt>
                <c:pt idx="39">
                  <c:v>2.0374E-2</c:v>
                </c:pt>
                <c:pt idx="40">
                  <c:v>2.0541999999999998E-2</c:v>
                </c:pt>
                <c:pt idx="41">
                  <c:v>2.0708000000000001E-2</c:v>
                </c:pt>
                <c:pt idx="42">
                  <c:v>2.0872000000000002E-2</c:v>
                </c:pt>
                <c:pt idx="43">
                  <c:v>2.104E-2</c:v>
                </c:pt>
                <c:pt idx="44">
                  <c:v>2.1205999999999999E-2</c:v>
                </c:pt>
                <c:pt idx="45">
                  <c:v>2.1374000000000001E-2</c:v>
                </c:pt>
                <c:pt idx="46">
                  <c:v>2.1541999999999999E-2</c:v>
                </c:pt>
                <c:pt idx="47">
                  <c:v>2.1734E-2</c:v>
                </c:pt>
                <c:pt idx="48">
                  <c:v>2.1928E-2</c:v>
                </c:pt>
                <c:pt idx="49">
                  <c:v>2.2124000000000001E-2</c:v>
                </c:pt>
                <c:pt idx="50">
                  <c:v>2.2317999999999998E-2</c:v>
                </c:pt>
                <c:pt idx="51">
                  <c:v>2.2511999999999997E-2</c:v>
                </c:pt>
                <c:pt idx="52">
                  <c:v>2.2707999999999999E-2</c:v>
                </c:pt>
                <c:pt idx="53">
                  <c:v>2.2901999999999999E-2</c:v>
                </c:pt>
                <c:pt idx="54">
                  <c:v>2.3096000000000002E-2</c:v>
                </c:pt>
                <c:pt idx="55">
                  <c:v>2.3290000000000002E-2</c:v>
                </c:pt>
                <c:pt idx="56">
                  <c:v>2.3483999999999998E-2</c:v>
                </c:pt>
                <c:pt idx="57">
                  <c:v>2.368E-2</c:v>
                </c:pt>
                <c:pt idx="58">
                  <c:v>2.3872000000000001E-2</c:v>
                </c:pt>
                <c:pt idx="59">
                  <c:v>2.4067999999999999E-2</c:v>
                </c:pt>
                <c:pt idx="60">
                  <c:v>2.4264000000000001E-2</c:v>
                </c:pt>
                <c:pt idx="61">
                  <c:v>2.4458000000000001E-2</c:v>
                </c:pt>
                <c:pt idx="62">
                  <c:v>2.4651999999999997E-2</c:v>
                </c:pt>
                <c:pt idx="63">
                  <c:v>2.4846E-2</c:v>
                </c:pt>
                <c:pt idx="64">
                  <c:v>2.5041999999999998E-2</c:v>
                </c:pt>
                <c:pt idx="65">
                  <c:v>2.5264000000000002E-2</c:v>
                </c:pt>
                <c:pt idx="66">
                  <c:v>2.5484E-2</c:v>
                </c:pt>
                <c:pt idx="67">
                  <c:v>2.5708000000000002E-2</c:v>
                </c:pt>
                <c:pt idx="68">
                  <c:v>2.5929999999999998E-2</c:v>
                </c:pt>
                <c:pt idx="69">
                  <c:v>2.6152000000000002E-2</c:v>
                </c:pt>
                <c:pt idx="70">
                  <c:v>2.6372E-2</c:v>
                </c:pt>
                <c:pt idx="71">
                  <c:v>2.6596000000000002E-2</c:v>
                </c:pt>
                <c:pt idx="72">
                  <c:v>2.682E-2</c:v>
                </c:pt>
                <c:pt idx="73">
                  <c:v>2.7040000000000002E-2</c:v>
                </c:pt>
                <c:pt idx="74">
                  <c:v>2.7261999999999998E-2</c:v>
                </c:pt>
                <c:pt idx="75">
                  <c:v>2.7484000000000001E-2</c:v>
                </c:pt>
                <c:pt idx="76">
                  <c:v>2.7708E-2</c:v>
                </c:pt>
                <c:pt idx="77">
                  <c:v>2.7928000000000001E-2</c:v>
                </c:pt>
                <c:pt idx="78">
                  <c:v>2.8152E-2</c:v>
                </c:pt>
                <c:pt idx="79">
                  <c:v>2.8374E-2</c:v>
                </c:pt>
                <c:pt idx="80">
                  <c:v>2.8596E-2</c:v>
                </c:pt>
                <c:pt idx="81">
                  <c:v>2.8843999999999998E-2</c:v>
                </c:pt>
                <c:pt idx="82">
                  <c:v>2.9096E-2</c:v>
                </c:pt>
                <c:pt idx="83">
                  <c:v>2.9344000000000002E-2</c:v>
                </c:pt>
                <c:pt idx="84">
                  <c:v>2.9596000000000001E-2</c:v>
                </c:pt>
                <c:pt idx="85">
                  <c:v>2.9848E-2</c:v>
                </c:pt>
                <c:pt idx="86">
                  <c:v>3.0093999999999999E-2</c:v>
                </c:pt>
                <c:pt idx="87">
                  <c:v>3.0346000000000001E-2</c:v>
                </c:pt>
                <c:pt idx="88">
                  <c:v>3.0596000000000002E-2</c:v>
                </c:pt>
                <c:pt idx="89">
                  <c:v>3.0845999999999998E-2</c:v>
                </c:pt>
                <c:pt idx="90">
                  <c:v>3.1095999999999999E-2</c:v>
                </c:pt>
                <c:pt idx="91">
                  <c:v>3.1345999999999999E-2</c:v>
                </c:pt>
                <c:pt idx="92">
                  <c:v>3.1595999999999999E-2</c:v>
                </c:pt>
                <c:pt idx="93">
                  <c:v>3.1844000000000004E-2</c:v>
                </c:pt>
                <c:pt idx="94">
                  <c:v>3.2096E-2</c:v>
                </c:pt>
                <c:pt idx="95">
                  <c:v>3.2346E-2</c:v>
                </c:pt>
                <c:pt idx="96">
                  <c:v>3.2596E-2</c:v>
                </c:pt>
                <c:pt idx="97">
                  <c:v>3.2871999999999998E-2</c:v>
                </c:pt>
                <c:pt idx="98">
                  <c:v>3.3149999999999999E-2</c:v>
                </c:pt>
                <c:pt idx="99">
                  <c:v>3.3430000000000001E-2</c:v>
                </c:pt>
                <c:pt idx="100">
                  <c:v>3.3706E-2</c:v>
                </c:pt>
                <c:pt idx="101">
                  <c:v>3.3984E-2</c:v>
                </c:pt>
                <c:pt idx="102">
                  <c:v>3.4264000000000003E-2</c:v>
                </c:pt>
                <c:pt idx="103">
                  <c:v>3.4540000000000001E-2</c:v>
                </c:pt>
                <c:pt idx="104">
                  <c:v>3.4817999999999995E-2</c:v>
                </c:pt>
                <c:pt idx="105">
                  <c:v>3.5095999999999995E-2</c:v>
                </c:pt>
                <c:pt idx="106">
                  <c:v>3.5373999999999996E-2</c:v>
                </c:pt>
                <c:pt idx="107">
                  <c:v>3.5650000000000001E-2</c:v>
                </c:pt>
                <c:pt idx="108">
                  <c:v>3.5929999999999997E-2</c:v>
                </c:pt>
                <c:pt idx="109">
                  <c:v>3.6207999999999997E-2</c:v>
                </c:pt>
                <c:pt idx="110">
                  <c:v>3.6511999999999996E-2</c:v>
                </c:pt>
                <c:pt idx="111">
                  <c:v>3.6817999999999997E-2</c:v>
                </c:pt>
                <c:pt idx="112">
                  <c:v>3.7124000000000004E-2</c:v>
                </c:pt>
                <c:pt idx="113">
                  <c:v>3.7345999999999997E-2</c:v>
                </c:pt>
                <c:pt idx="114">
                  <c:v>3.7597999999999999E-2</c:v>
                </c:pt>
                <c:pt idx="115">
                  <c:v>3.7816000000000002E-2</c:v>
                </c:pt>
                <c:pt idx="116">
                  <c:v>3.807E-2</c:v>
                </c:pt>
                <c:pt idx="117">
                  <c:v>3.8373999999999998E-2</c:v>
                </c:pt>
                <c:pt idx="118">
                  <c:v>3.8595999999999998E-2</c:v>
                </c:pt>
                <c:pt idx="119">
                  <c:v>3.8789999999999998E-2</c:v>
                </c:pt>
                <c:pt idx="120">
                  <c:v>3.9014E-2</c:v>
                </c:pt>
                <c:pt idx="121">
                  <c:v>3.9208E-2</c:v>
                </c:pt>
                <c:pt idx="122">
                  <c:v>3.9345999999999999E-2</c:v>
                </c:pt>
                <c:pt idx="123">
                  <c:v>3.9539999999999999E-2</c:v>
                </c:pt>
                <c:pt idx="124">
                  <c:v>3.9733999999999998E-2</c:v>
                </c:pt>
                <c:pt idx="125">
                  <c:v>3.9958E-2</c:v>
                </c:pt>
                <c:pt idx="126">
                  <c:v>4.0121999999999998E-2</c:v>
                </c:pt>
                <c:pt idx="127">
                  <c:v>4.0315999999999998E-2</c:v>
                </c:pt>
                <c:pt idx="128">
                  <c:v>4.0511999999999999E-2</c:v>
                </c:pt>
                <c:pt idx="129">
                  <c:v>4.0708000000000001E-2</c:v>
                </c:pt>
                <c:pt idx="130">
                  <c:v>4.0902000000000001E-2</c:v>
                </c:pt>
                <c:pt idx="131">
                  <c:v>4.1096000000000001E-2</c:v>
                </c:pt>
                <c:pt idx="132">
                  <c:v>4.1292000000000002E-2</c:v>
                </c:pt>
                <c:pt idx="133">
                  <c:v>4.1486000000000002E-2</c:v>
                </c:pt>
                <c:pt idx="134">
                  <c:v>4.1651999999999995E-2</c:v>
                </c:pt>
                <c:pt idx="135">
                  <c:v>4.1845999999999994E-2</c:v>
                </c:pt>
                <c:pt idx="136">
                  <c:v>4.2012000000000001E-2</c:v>
                </c:pt>
                <c:pt idx="137">
                  <c:v>4.2207999999999996E-2</c:v>
                </c:pt>
                <c:pt idx="138">
                  <c:v>4.24E-2</c:v>
                </c:pt>
                <c:pt idx="139">
                  <c:v>4.2568000000000002E-2</c:v>
                </c:pt>
                <c:pt idx="140">
                  <c:v>4.2763999999999996E-2</c:v>
                </c:pt>
                <c:pt idx="141">
                  <c:v>4.2930000000000003E-2</c:v>
                </c:pt>
                <c:pt idx="142">
                  <c:v>4.3124000000000003E-2</c:v>
                </c:pt>
                <c:pt idx="143">
                  <c:v>4.3318000000000002E-2</c:v>
                </c:pt>
                <c:pt idx="144">
                  <c:v>4.3512000000000002E-2</c:v>
                </c:pt>
                <c:pt idx="145">
                  <c:v>4.3680000000000004E-2</c:v>
                </c:pt>
                <c:pt idx="146">
                  <c:v>4.3845999999999996E-2</c:v>
                </c:pt>
                <c:pt idx="147">
                  <c:v>4.4012000000000003E-2</c:v>
                </c:pt>
                <c:pt idx="148">
                  <c:v>4.4180000000000004E-2</c:v>
                </c:pt>
                <c:pt idx="149">
                  <c:v>4.4344000000000001E-2</c:v>
                </c:pt>
                <c:pt idx="150">
                  <c:v>4.4513999999999998E-2</c:v>
                </c:pt>
                <c:pt idx="151">
                  <c:v>4.4706000000000003E-2</c:v>
                </c:pt>
                <c:pt idx="152">
                  <c:v>4.4871999999999995E-2</c:v>
                </c:pt>
                <c:pt idx="153">
                  <c:v>4.5041999999999999E-2</c:v>
                </c:pt>
                <c:pt idx="154">
                  <c:v>4.5179999999999998E-2</c:v>
                </c:pt>
                <c:pt idx="155">
                  <c:v>4.5347999999999999E-2</c:v>
                </c:pt>
                <c:pt idx="156">
                  <c:v>4.5511999999999997E-2</c:v>
                </c:pt>
                <c:pt idx="157">
                  <c:v>4.5678000000000003E-2</c:v>
                </c:pt>
                <c:pt idx="158">
                  <c:v>4.5845999999999998E-2</c:v>
                </c:pt>
                <c:pt idx="159">
                  <c:v>4.5985999999999999E-2</c:v>
                </c:pt>
                <c:pt idx="160">
                  <c:v>4.6154000000000001E-2</c:v>
                </c:pt>
                <c:pt idx="161">
                  <c:v>4.6289999999999998E-2</c:v>
                </c:pt>
                <c:pt idx="162">
                  <c:v>4.6458000000000006E-2</c:v>
                </c:pt>
                <c:pt idx="163">
                  <c:v>4.6595999999999999E-2</c:v>
                </c:pt>
                <c:pt idx="164">
                  <c:v>4.6764E-2</c:v>
                </c:pt>
                <c:pt idx="165">
                  <c:v>4.6929999999999999E-2</c:v>
                </c:pt>
                <c:pt idx="166">
                  <c:v>4.7068000000000006E-2</c:v>
                </c:pt>
                <c:pt idx="167">
                  <c:v>4.7233999999999998E-2</c:v>
                </c:pt>
                <c:pt idx="168">
                  <c:v>4.7373999999999999E-2</c:v>
                </c:pt>
                <c:pt idx="169">
                  <c:v>4.7542000000000001E-2</c:v>
                </c:pt>
                <c:pt idx="170">
                  <c:v>4.768E-2</c:v>
                </c:pt>
                <c:pt idx="171">
                  <c:v>4.7817999999999999E-2</c:v>
                </c:pt>
                <c:pt idx="172">
                  <c:v>4.7956000000000006E-2</c:v>
                </c:pt>
                <c:pt idx="173">
                  <c:v>4.8096E-2</c:v>
                </c:pt>
                <c:pt idx="174">
                  <c:v>4.8236000000000001E-2</c:v>
                </c:pt>
                <c:pt idx="175">
                  <c:v>4.8374E-2</c:v>
                </c:pt>
                <c:pt idx="176">
                  <c:v>4.8512000000000007E-2</c:v>
                </c:pt>
                <c:pt idx="177">
                  <c:v>4.8652000000000001E-2</c:v>
                </c:pt>
                <c:pt idx="178">
                  <c:v>4.8789999999999993E-2</c:v>
                </c:pt>
                <c:pt idx="179">
                  <c:v>4.8930000000000001E-2</c:v>
                </c:pt>
                <c:pt idx="180">
                  <c:v>4.9070000000000003E-2</c:v>
                </c:pt>
                <c:pt idx="181">
                  <c:v>4.9208000000000002E-2</c:v>
                </c:pt>
                <c:pt idx="182">
                  <c:v>4.9345999999999994E-2</c:v>
                </c:pt>
                <c:pt idx="183">
                  <c:v>4.9484E-2</c:v>
                </c:pt>
                <c:pt idx="184">
                  <c:v>4.9621999999999999E-2</c:v>
                </c:pt>
                <c:pt idx="185">
                  <c:v>4.9762000000000001E-2</c:v>
                </c:pt>
                <c:pt idx="186">
                  <c:v>4.9874000000000002E-2</c:v>
                </c:pt>
                <c:pt idx="187">
                  <c:v>5.0014000000000003E-2</c:v>
                </c:pt>
                <c:pt idx="188">
                  <c:v>5.015E-2</c:v>
                </c:pt>
                <c:pt idx="189">
                  <c:v>5.0262000000000001E-2</c:v>
                </c:pt>
                <c:pt idx="190">
                  <c:v>5.0401999999999995E-2</c:v>
                </c:pt>
                <c:pt idx="191">
                  <c:v>5.0514000000000003E-2</c:v>
                </c:pt>
                <c:pt idx="192">
                  <c:v>5.0624000000000002E-2</c:v>
                </c:pt>
                <c:pt idx="193">
                  <c:v>5.0762000000000002E-2</c:v>
                </c:pt>
                <c:pt idx="194">
                  <c:v>5.0872000000000001E-2</c:v>
                </c:pt>
                <c:pt idx="195">
                  <c:v>5.1012000000000002E-2</c:v>
                </c:pt>
                <c:pt idx="196">
                  <c:v>5.1124000000000003E-2</c:v>
                </c:pt>
                <c:pt idx="197">
                  <c:v>5.1235999999999997E-2</c:v>
                </c:pt>
                <c:pt idx="198">
                  <c:v>5.1345999999999996E-2</c:v>
                </c:pt>
                <c:pt idx="199">
                  <c:v>5.1483999999999995E-2</c:v>
                </c:pt>
                <c:pt idx="200">
                  <c:v>5.1596000000000003E-2</c:v>
                </c:pt>
                <c:pt idx="201">
                  <c:v>5.1706000000000002E-2</c:v>
                </c:pt>
                <c:pt idx="202">
                  <c:v>5.1818000000000003E-2</c:v>
                </c:pt>
                <c:pt idx="203">
                  <c:v>5.1929999999999997E-2</c:v>
                </c:pt>
                <c:pt idx="204">
                  <c:v>5.2042000000000005E-2</c:v>
                </c:pt>
                <c:pt idx="205">
                  <c:v>5.2179999999999997E-2</c:v>
                </c:pt>
                <c:pt idx="206">
                  <c:v>5.2290000000000003E-2</c:v>
                </c:pt>
                <c:pt idx="207">
                  <c:v>5.2400000000000002E-2</c:v>
                </c:pt>
                <c:pt idx="208">
                  <c:v>5.2511999999999996E-2</c:v>
                </c:pt>
                <c:pt idx="209">
                  <c:v>5.2622000000000002E-2</c:v>
                </c:pt>
                <c:pt idx="210">
                  <c:v>5.2733999999999996E-2</c:v>
                </c:pt>
                <c:pt idx="211">
                  <c:v>5.2876000000000006E-2</c:v>
                </c:pt>
                <c:pt idx="212">
                  <c:v>5.2986000000000005E-2</c:v>
                </c:pt>
                <c:pt idx="213">
                  <c:v>5.3124000000000005E-2</c:v>
                </c:pt>
                <c:pt idx="214">
                  <c:v>5.3262000000000004E-2</c:v>
                </c:pt>
                <c:pt idx="215">
                  <c:v>5.3373999999999998E-2</c:v>
                </c:pt>
                <c:pt idx="216">
                  <c:v>5.3512000000000004E-2</c:v>
                </c:pt>
                <c:pt idx="217">
                  <c:v>5.3623999999999998E-2</c:v>
                </c:pt>
                <c:pt idx="218">
                  <c:v>5.3761999999999997E-2</c:v>
                </c:pt>
                <c:pt idx="219">
                  <c:v>5.3901999999999999E-2</c:v>
                </c:pt>
                <c:pt idx="220">
                  <c:v>5.4039999999999998E-2</c:v>
                </c:pt>
                <c:pt idx="221">
                  <c:v>5.4177999999999997E-2</c:v>
                </c:pt>
                <c:pt idx="222">
                  <c:v>5.4317999999999998E-2</c:v>
                </c:pt>
                <c:pt idx="223">
                  <c:v>5.4457999999999999E-2</c:v>
                </c:pt>
                <c:pt idx="224">
                  <c:v>5.4595999999999999E-2</c:v>
                </c:pt>
                <c:pt idx="225">
                  <c:v>5.4733999999999998E-2</c:v>
                </c:pt>
                <c:pt idx="226">
                  <c:v>5.4873999999999999E-2</c:v>
                </c:pt>
                <c:pt idx="227">
                  <c:v>5.5011999999999998E-2</c:v>
                </c:pt>
                <c:pt idx="228">
                  <c:v>5.518E-2</c:v>
                </c:pt>
                <c:pt idx="229">
                  <c:v>5.5317999999999999E-2</c:v>
                </c:pt>
                <c:pt idx="230">
                  <c:v>5.5456000000000005E-2</c:v>
                </c:pt>
                <c:pt idx="231">
                  <c:v>5.5596E-2</c:v>
                </c:pt>
                <c:pt idx="232">
                  <c:v>5.5734000000000006E-2</c:v>
                </c:pt>
                <c:pt idx="233">
                  <c:v>5.5874E-2</c:v>
                </c:pt>
                <c:pt idx="234">
                  <c:v>5.5986000000000001E-2</c:v>
                </c:pt>
                <c:pt idx="235">
                  <c:v>5.6124E-2</c:v>
                </c:pt>
                <c:pt idx="236">
                  <c:v>5.6262E-2</c:v>
                </c:pt>
                <c:pt idx="237">
                  <c:v>5.6428000000000006E-2</c:v>
                </c:pt>
                <c:pt idx="238">
                  <c:v>5.6597999999999996E-2</c:v>
                </c:pt>
                <c:pt idx="239">
                  <c:v>5.6736000000000002E-2</c:v>
                </c:pt>
                <c:pt idx="240">
                  <c:v>5.6902000000000001E-2</c:v>
                </c:pt>
                <c:pt idx="241">
                  <c:v>5.704E-2</c:v>
                </c:pt>
                <c:pt idx="242">
                  <c:v>5.7152000000000001E-2</c:v>
                </c:pt>
                <c:pt idx="243">
                  <c:v>5.7290000000000001E-2</c:v>
                </c:pt>
                <c:pt idx="244">
                  <c:v>5.7430000000000002E-2</c:v>
                </c:pt>
                <c:pt idx="245">
                  <c:v>5.7569999999999996E-2</c:v>
                </c:pt>
                <c:pt idx="246">
                  <c:v>5.7708000000000002E-2</c:v>
                </c:pt>
                <c:pt idx="247">
                  <c:v>5.7817999999999994E-2</c:v>
                </c:pt>
                <c:pt idx="248">
                  <c:v>5.7957999999999996E-2</c:v>
                </c:pt>
                <c:pt idx="249">
                  <c:v>5.8068000000000002E-2</c:v>
                </c:pt>
                <c:pt idx="250">
                  <c:v>5.8179999999999996E-2</c:v>
                </c:pt>
                <c:pt idx="251">
                  <c:v>5.8289999999999995E-2</c:v>
                </c:pt>
                <c:pt idx="252">
                  <c:v>5.8402000000000003E-2</c:v>
                </c:pt>
                <c:pt idx="253">
                  <c:v>5.8486000000000003E-2</c:v>
                </c:pt>
                <c:pt idx="254">
                  <c:v>5.8596000000000002E-2</c:v>
                </c:pt>
                <c:pt idx="255">
                  <c:v>5.8705999999999994E-2</c:v>
                </c:pt>
                <c:pt idx="256">
                  <c:v>5.8818000000000002E-2</c:v>
                </c:pt>
                <c:pt idx="257">
                  <c:v>5.8902000000000003E-2</c:v>
                </c:pt>
                <c:pt idx="258">
                  <c:v>5.9013999999999997E-2</c:v>
                </c:pt>
                <c:pt idx="259">
                  <c:v>5.9097999999999998E-2</c:v>
                </c:pt>
                <c:pt idx="260">
                  <c:v>5.9207999999999997E-2</c:v>
                </c:pt>
                <c:pt idx="261">
                  <c:v>5.9318000000000003E-2</c:v>
                </c:pt>
                <c:pt idx="262">
                  <c:v>5.9401999999999996E-2</c:v>
                </c:pt>
                <c:pt idx="263">
                  <c:v>5.9485999999999997E-2</c:v>
                </c:pt>
                <c:pt idx="264">
                  <c:v>5.9568000000000003E-2</c:v>
                </c:pt>
                <c:pt idx="265">
                  <c:v>5.9650000000000002E-2</c:v>
                </c:pt>
                <c:pt idx="266">
                  <c:v>5.9762000000000003E-2</c:v>
                </c:pt>
                <c:pt idx="267">
                  <c:v>5.9846000000000003E-2</c:v>
                </c:pt>
                <c:pt idx="268">
                  <c:v>5.9957999999999997E-2</c:v>
                </c:pt>
                <c:pt idx="269">
                  <c:v>6.0041999999999998E-2</c:v>
                </c:pt>
                <c:pt idx="270">
                  <c:v>6.0149999999999995E-2</c:v>
                </c:pt>
                <c:pt idx="271">
                  <c:v>6.0262000000000003E-2</c:v>
                </c:pt>
                <c:pt idx="272">
                  <c:v>6.0373999999999997E-2</c:v>
                </c:pt>
                <c:pt idx="273">
                  <c:v>6.0484000000000003E-2</c:v>
                </c:pt>
                <c:pt idx="274">
                  <c:v>6.0595999999999997E-2</c:v>
                </c:pt>
                <c:pt idx="275">
                  <c:v>6.0679999999999998E-2</c:v>
                </c:pt>
                <c:pt idx="276">
                  <c:v>6.0763999999999999E-2</c:v>
                </c:pt>
                <c:pt idx="277">
                  <c:v>6.0872000000000002E-2</c:v>
                </c:pt>
                <c:pt idx="278">
                  <c:v>6.0983999999999997E-2</c:v>
                </c:pt>
                <c:pt idx="279">
                  <c:v>6.1121999999999996E-2</c:v>
                </c:pt>
                <c:pt idx="280">
                  <c:v>6.1261999999999997E-2</c:v>
                </c:pt>
                <c:pt idx="281">
                  <c:v>6.1399999999999996E-2</c:v>
                </c:pt>
                <c:pt idx="282">
                  <c:v>6.1542000000000006E-2</c:v>
                </c:pt>
                <c:pt idx="283">
                  <c:v>6.1679999999999999E-2</c:v>
                </c:pt>
                <c:pt idx="284">
                  <c:v>6.1817999999999998E-2</c:v>
                </c:pt>
                <c:pt idx="285">
                  <c:v>6.1928000000000004E-2</c:v>
                </c:pt>
                <c:pt idx="286">
                  <c:v>6.2068000000000005E-2</c:v>
                </c:pt>
                <c:pt idx="287">
                  <c:v>6.2207999999999999E-2</c:v>
                </c:pt>
                <c:pt idx="288">
                  <c:v>6.2317999999999998E-2</c:v>
                </c:pt>
                <c:pt idx="289">
                  <c:v>6.2427999999999997E-2</c:v>
                </c:pt>
                <c:pt idx="290">
                  <c:v>6.2567999999999999E-2</c:v>
                </c:pt>
                <c:pt idx="291">
                  <c:v>6.2708E-2</c:v>
                </c:pt>
                <c:pt idx="292">
                  <c:v>6.2845999999999999E-2</c:v>
                </c:pt>
                <c:pt idx="293">
                  <c:v>6.2955999999999998E-2</c:v>
                </c:pt>
                <c:pt idx="294">
                  <c:v>6.3067999999999999E-2</c:v>
                </c:pt>
                <c:pt idx="295">
                  <c:v>6.3177999999999998E-2</c:v>
                </c:pt>
                <c:pt idx="296">
                  <c:v>6.3289999999999999E-2</c:v>
                </c:pt>
                <c:pt idx="297">
                  <c:v>6.3427999999999998E-2</c:v>
                </c:pt>
                <c:pt idx="298">
                  <c:v>6.3542000000000001E-2</c:v>
                </c:pt>
                <c:pt idx="299">
                  <c:v>6.3652E-2</c:v>
                </c:pt>
                <c:pt idx="300">
                  <c:v>6.3764000000000001E-2</c:v>
                </c:pt>
                <c:pt idx="301">
                  <c:v>6.3874E-2</c:v>
                </c:pt>
                <c:pt idx="302">
                  <c:v>6.3983999999999999E-2</c:v>
                </c:pt>
                <c:pt idx="303">
                  <c:v>6.4096E-2</c:v>
                </c:pt>
                <c:pt idx="304">
                  <c:v>6.4205999999999999E-2</c:v>
                </c:pt>
                <c:pt idx="305">
                  <c:v>6.4318E-2</c:v>
                </c:pt>
                <c:pt idx="306">
                  <c:v>6.4430000000000001E-2</c:v>
                </c:pt>
                <c:pt idx="307">
                  <c:v>6.454E-2</c:v>
                </c:pt>
                <c:pt idx="308">
                  <c:v>6.4652000000000001E-2</c:v>
                </c:pt>
                <c:pt idx="309">
                  <c:v>6.4762E-2</c:v>
                </c:pt>
                <c:pt idx="310">
                  <c:v>6.4874000000000001E-2</c:v>
                </c:pt>
                <c:pt idx="311">
                  <c:v>6.4986000000000002E-2</c:v>
                </c:pt>
                <c:pt idx="312">
                  <c:v>6.5096000000000001E-2</c:v>
                </c:pt>
                <c:pt idx="313">
                  <c:v>6.5208000000000002E-2</c:v>
                </c:pt>
                <c:pt idx="314">
                  <c:v>6.5318000000000001E-2</c:v>
                </c:pt>
                <c:pt idx="315">
                  <c:v>6.5402000000000002E-2</c:v>
                </c:pt>
                <c:pt idx="316">
                  <c:v>6.5512000000000001E-2</c:v>
                </c:pt>
                <c:pt idx="317">
                  <c:v>6.5624000000000002E-2</c:v>
                </c:pt>
                <c:pt idx="318">
                  <c:v>6.5708000000000003E-2</c:v>
                </c:pt>
                <c:pt idx="319">
                  <c:v>6.5818000000000002E-2</c:v>
                </c:pt>
                <c:pt idx="320">
                  <c:v>6.5958000000000003E-2</c:v>
                </c:pt>
                <c:pt idx="321">
                  <c:v>6.6098000000000004E-2</c:v>
                </c:pt>
                <c:pt idx="322">
                  <c:v>6.6234000000000001E-2</c:v>
                </c:pt>
                <c:pt idx="323">
                  <c:v>6.6346000000000002E-2</c:v>
                </c:pt>
                <c:pt idx="324">
                  <c:v>6.6484000000000001E-2</c:v>
                </c:pt>
                <c:pt idx="325">
                  <c:v>6.6624000000000003E-2</c:v>
                </c:pt>
                <c:pt idx="326">
                  <c:v>6.6764000000000004E-2</c:v>
                </c:pt>
                <c:pt idx="327">
                  <c:v>6.6902000000000003E-2</c:v>
                </c:pt>
                <c:pt idx="328">
                  <c:v>6.7012000000000002E-2</c:v>
                </c:pt>
                <c:pt idx="329">
                  <c:v>6.7122000000000001E-2</c:v>
                </c:pt>
                <c:pt idx="330">
                  <c:v>6.7262000000000002E-2</c:v>
                </c:pt>
                <c:pt idx="331">
                  <c:v>6.7400000000000002E-2</c:v>
                </c:pt>
                <c:pt idx="332">
                  <c:v>6.7512000000000003E-2</c:v>
                </c:pt>
                <c:pt idx="333">
                  <c:v>6.7652000000000004E-2</c:v>
                </c:pt>
                <c:pt idx="334">
                  <c:v>6.7762000000000003E-2</c:v>
                </c:pt>
                <c:pt idx="335">
                  <c:v>6.790199999999999E-2</c:v>
                </c:pt>
                <c:pt idx="336">
                  <c:v>6.8012000000000003E-2</c:v>
                </c:pt>
                <c:pt idx="337">
                  <c:v>6.8152000000000004E-2</c:v>
                </c:pt>
                <c:pt idx="338">
                  <c:v>6.8262000000000003E-2</c:v>
                </c:pt>
                <c:pt idx="339">
                  <c:v>6.8402000000000004E-2</c:v>
                </c:pt>
                <c:pt idx="340">
                  <c:v>6.8514000000000005E-2</c:v>
                </c:pt>
                <c:pt idx="341">
                  <c:v>6.8624000000000004E-2</c:v>
                </c:pt>
                <c:pt idx="342">
                  <c:v>6.8734000000000003E-2</c:v>
                </c:pt>
                <c:pt idx="343">
                  <c:v>6.8844000000000002E-2</c:v>
                </c:pt>
                <c:pt idx="344">
                  <c:v>6.8956000000000003E-2</c:v>
                </c:pt>
                <c:pt idx="345">
                  <c:v>6.9067999999999991E-2</c:v>
                </c:pt>
                <c:pt idx="346">
                  <c:v>6.9178000000000003E-2</c:v>
                </c:pt>
                <c:pt idx="347">
                  <c:v>6.9290000000000004E-2</c:v>
                </c:pt>
                <c:pt idx="348">
                  <c:v>6.9402000000000005E-2</c:v>
                </c:pt>
                <c:pt idx="349">
                  <c:v>6.9512000000000004E-2</c:v>
                </c:pt>
                <c:pt idx="350">
                  <c:v>6.9652000000000006E-2</c:v>
                </c:pt>
                <c:pt idx="351">
                  <c:v>6.9790000000000005E-2</c:v>
                </c:pt>
                <c:pt idx="352">
                  <c:v>6.9930000000000006E-2</c:v>
                </c:pt>
                <c:pt idx="353">
                  <c:v>7.0068000000000005E-2</c:v>
                </c:pt>
                <c:pt idx="354">
                  <c:v>7.0206000000000005E-2</c:v>
                </c:pt>
                <c:pt idx="355">
                  <c:v>7.0346000000000006E-2</c:v>
                </c:pt>
                <c:pt idx="356">
                  <c:v>7.0486000000000007E-2</c:v>
                </c:pt>
                <c:pt idx="357">
                  <c:v>7.0624000000000006E-2</c:v>
                </c:pt>
                <c:pt idx="358">
                  <c:v>7.0763999999999994E-2</c:v>
                </c:pt>
                <c:pt idx="359">
                  <c:v>7.0900000000000005E-2</c:v>
                </c:pt>
                <c:pt idx="360">
                  <c:v>7.1040000000000006E-2</c:v>
                </c:pt>
                <c:pt idx="361">
                  <c:v>7.1180000000000007E-2</c:v>
                </c:pt>
                <c:pt idx="362">
                  <c:v>7.1318000000000006E-2</c:v>
                </c:pt>
                <c:pt idx="363">
                  <c:v>7.1458000000000008E-2</c:v>
                </c:pt>
                <c:pt idx="364">
                  <c:v>7.1596000000000007E-2</c:v>
                </c:pt>
                <c:pt idx="365">
                  <c:v>7.1734000000000006E-2</c:v>
                </c:pt>
                <c:pt idx="366">
                  <c:v>7.1874000000000007E-2</c:v>
                </c:pt>
                <c:pt idx="367">
                  <c:v>7.2013999999999995E-2</c:v>
                </c:pt>
                <c:pt idx="368">
                  <c:v>7.2152000000000008E-2</c:v>
                </c:pt>
                <c:pt idx="369">
                  <c:v>7.2290000000000007E-2</c:v>
                </c:pt>
                <c:pt idx="370">
                  <c:v>7.2427999999999992E-2</c:v>
                </c:pt>
                <c:pt idx="371">
                  <c:v>7.2565999999999992E-2</c:v>
                </c:pt>
                <c:pt idx="372">
                  <c:v>7.2705999999999993E-2</c:v>
                </c:pt>
                <c:pt idx="373">
                  <c:v>7.2846000000000008E-2</c:v>
                </c:pt>
                <c:pt idx="374">
                  <c:v>7.3013999999999996E-2</c:v>
                </c:pt>
                <c:pt idx="375">
                  <c:v>7.3178000000000007E-2</c:v>
                </c:pt>
                <c:pt idx="376">
                  <c:v>7.3345999999999995E-2</c:v>
                </c:pt>
                <c:pt idx="377">
                  <c:v>7.3512000000000008E-2</c:v>
                </c:pt>
                <c:pt idx="378">
                  <c:v>7.3651999999999995E-2</c:v>
                </c:pt>
                <c:pt idx="379">
                  <c:v>7.3815999999999993E-2</c:v>
                </c:pt>
                <c:pt idx="380">
                  <c:v>7.3983999999999994E-2</c:v>
                </c:pt>
                <c:pt idx="381">
                  <c:v>7.4149999999999994E-2</c:v>
                </c:pt>
                <c:pt idx="382">
                  <c:v>7.4290000000000009E-2</c:v>
                </c:pt>
                <c:pt idx="383">
                  <c:v>7.4457999999999996E-2</c:v>
                </c:pt>
                <c:pt idx="384">
                  <c:v>7.4623999999999996E-2</c:v>
                </c:pt>
                <c:pt idx="385">
                  <c:v>7.4789999999999995E-2</c:v>
                </c:pt>
                <c:pt idx="386">
                  <c:v>7.4929999999999997E-2</c:v>
                </c:pt>
                <c:pt idx="387">
                  <c:v>7.5067999999999996E-2</c:v>
                </c:pt>
                <c:pt idx="388">
                  <c:v>7.5207999999999997E-2</c:v>
                </c:pt>
                <c:pt idx="389">
                  <c:v>7.5373999999999997E-2</c:v>
                </c:pt>
                <c:pt idx="390">
                  <c:v>7.5511999999999996E-2</c:v>
                </c:pt>
                <c:pt idx="391">
                  <c:v>7.5675999999999993E-2</c:v>
                </c:pt>
                <c:pt idx="392">
                  <c:v>7.5817999999999997E-2</c:v>
                </c:pt>
                <c:pt idx="393">
                  <c:v>7.5983999999999996E-2</c:v>
                </c:pt>
                <c:pt idx="394">
                  <c:v>7.6151999999999997E-2</c:v>
                </c:pt>
                <c:pt idx="395">
                  <c:v>7.6287999999999995E-2</c:v>
                </c:pt>
                <c:pt idx="396">
                  <c:v>7.6427999999999996E-2</c:v>
                </c:pt>
                <c:pt idx="397">
                  <c:v>7.6593999999999995E-2</c:v>
                </c:pt>
                <c:pt idx="398">
                  <c:v>7.6761999999999997E-2</c:v>
                </c:pt>
                <c:pt idx="399">
                  <c:v>7.6927999999999996E-2</c:v>
                </c:pt>
                <c:pt idx="400">
                  <c:v>7.7095999999999998E-2</c:v>
                </c:pt>
                <c:pt idx="401">
                  <c:v>7.7261999999999997E-2</c:v>
                </c:pt>
                <c:pt idx="402">
                  <c:v>7.7427999999999997E-2</c:v>
                </c:pt>
                <c:pt idx="403">
                  <c:v>7.7598E-2</c:v>
                </c:pt>
                <c:pt idx="404">
                  <c:v>7.7761999999999998E-2</c:v>
                </c:pt>
                <c:pt idx="405">
                  <c:v>7.7929999999999999E-2</c:v>
                </c:pt>
                <c:pt idx="406">
                  <c:v>7.8095999999999999E-2</c:v>
                </c:pt>
                <c:pt idx="407">
                  <c:v>7.8261999999999998E-2</c:v>
                </c:pt>
                <c:pt idx="408">
                  <c:v>7.843E-2</c:v>
                </c:pt>
                <c:pt idx="409">
                  <c:v>7.8595999999999999E-2</c:v>
                </c:pt>
                <c:pt idx="410">
                  <c:v>7.8761999999999999E-2</c:v>
                </c:pt>
                <c:pt idx="411">
                  <c:v>7.893E-2</c:v>
                </c:pt>
                <c:pt idx="412">
                  <c:v>7.9096E-2</c:v>
                </c:pt>
                <c:pt idx="413">
                  <c:v>7.9289999999999999E-2</c:v>
                </c:pt>
                <c:pt idx="414">
                  <c:v>7.9458000000000001E-2</c:v>
                </c:pt>
                <c:pt idx="415">
                  <c:v>7.9624E-2</c:v>
                </c:pt>
                <c:pt idx="416">
                  <c:v>7.9792000000000002E-2</c:v>
                </c:pt>
                <c:pt idx="417">
                  <c:v>7.9958000000000001E-2</c:v>
                </c:pt>
                <c:pt idx="418">
                  <c:v>8.0121999999999999E-2</c:v>
                </c:pt>
                <c:pt idx="419">
                  <c:v>8.029E-2</c:v>
                </c:pt>
                <c:pt idx="420">
                  <c:v>8.0456E-2</c:v>
                </c:pt>
                <c:pt idx="421">
                  <c:v>8.0624000000000001E-2</c:v>
                </c:pt>
                <c:pt idx="422">
                  <c:v>8.0792000000000003E-2</c:v>
                </c:pt>
                <c:pt idx="423">
                  <c:v>8.0955999999999986E-2</c:v>
                </c:pt>
                <c:pt idx="424">
                  <c:v>8.1123999999999988E-2</c:v>
                </c:pt>
                <c:pt idx="425">
                  <c:v>8.1290000000000001E-2</c:v>
                </c:pt>
                <c:pt idx="426">
                  <c:v>8.1486000000000003E-2</c:v>
                </c:pt>
                <c:pt idx="427">
                  <c:v>8.1678000000000001E-2</c:v>
                </c:pt>
                <c:pt idx="428">
                  <c:v>8.1872E-2</c:v>
                </c:pt>
                <c:pt idx="429">
                  <c:v>8.2067999999999988E-2</c:v>
                </c:pt>
                <c:pt idx="430">
                  <c:v>8.2264000000000004E-2</c:v>
                </c:pt>
                <c:pt idx="431">
                  <c:v>8.2456000000000002E-2</c:v>
                </c:pt>
                <c:pt idx="432">
                  <c:v>8.2652000000000003E-2</c:v>
                </c:pt>
                <c:pt idx="433">
                  <c:v>8.2848000000000005E-2</c:v>
                </c:pt>
                <c:pt idx="434">
                  <c:v>8.3042000000000005E-2</c:v>
                </c:pt>
                <c:pt idx="435">
                  <c:v>8.3233999999999989E-2</c:v>
                </c:pt>
                <c:pt idx="436">
                  <c:v>8.3428000000000002E-2</c:v>
                </c:pt>
                <c:pt idx="437">
                  <c:v>8.3596000000000004E-2</c:v>
                </c:pt>
                <c:pt idx="438">
                  <c:v>8.3764000000000005E-2</c:v>
                </c:pt>
                <c:pt idx="439">
                  <c:v>8.3956000000000003E-2</c:v>
                </c:pt>
                <c:pt idx="440">
                  <c:v>8.4149999999999989E-2</c:v>
                </c:pt>
                <c:pt idx="441">
                  <c:v>8.434599999999999E-2</c:v>
                </c:pt>
                <c:pt idx="442">
                  <c:v>8.4542000000000006E-2</c:v>
                </c:pt>
                <c:pt idx="443">
                  <c:v>8.4734000000000004E-2</c:v>
                </c:pt>
                <c:pt idx="444">
                  <c:v>8.4928000000000003E-2</c:v>
                </c:pt>
                <c:pt idx="445">
                  <c:v>8.5123999999999991E-2</c:v>
                </c:pt>
                <c:pt idx="446">
                  <c:v>8.5318000000000005E-2</c:v>
                </c:pt>
                <c:pt idx="447">
                  <c:v>8.5511999999999991E-2</c:v>
                </c:pt>
                <c:pt idx="448">
                  <c:v>8.5706000000000004E-2</c:v>
                </c:pt>
                <c:pt idx="449">
                  <c:v>8.5900000000000004E-2</c:v>
                </c:pt>
                <c:pt idx="450">
                  <c:v>8.6097999999999994E-2</c:v>
                </c:pt>
                <c:pt idx="451">
                  <c:v>8.6289999999999992E-2</c:v>
                </c:pt>
                <c:pt idx="452">
                  <c:v>8.6486000000000007E-2</c:v>
                </c:pt>
                <c:pt idx="453">
                  <c:v>8.6679999999999993E-2</c:v>
                </c:pt>
                <c:pt idx="454">
                  <c:v>8.6874000000000007E-2</c:v>
                </c:pt>
                <c:pt idx="455">
                  <c:v>8.7067999999999993E-2</c:v>
                </c:pt>
                <c:pt idx="456">
                  <c:v>8.7262000000000006E-2</c:v>
                </c:pt>
                <c:pt idx="457">
                  <c:v>8.7455999999999992E-2</c:v>
                </c:pt>
                <c:pt idx="458">
                  <c:v>8.7652000000000008E-2</c:v>
                </c:pt>
                <c:pt idx="459">
                  <c:v>8.7845999999999994E-2</c:v>
                </c:pt>
                <c:pt idx="460">
                  <c:v>8.8041999999999995E-2</c:v>
                </c:pt>
                <c:pt idx="461">
                  <c:v>8.8236000000000009E-2</c:v>
                </c:pt>
                <c:pt idx="462">
                  <c:v>8.8429999999999995E-2</c:v>
                </c:pt>
                <c:pt idx="463">
                  <c:v>8.8651999999999995E-2</c:v>
                </c:pt>
                <c:pt idx="464">
                  <c:v>8.8873999999999995E-2</c:v>
                </c:pt>
                <c:pt idx="465">
                  <c:v>8.9095999999999995E-2</c:v>
                </c:pt>
                <c:pt idx="466">
                  <c:v>8.9318000000000008E-2</c:v>
                </c:pt>
                <c:pt idx="467">
                  <c:v>8.9540000000000008E-2</c:v>
                </c:pt>
                <c:pt idx="468">
                  <c:v>8.9733999999999994E-2</c:v>
                </c:pt>
                <c:pt idx="469">
                  <c:v>8.9928000000000008E-2</c:v>
                </c:pt>
                <c:pt idx="470">
                  <c:v>9.0151999999999996E-2</c:v>
                </c:pt>
                <c:pt idx="471">
                  <c:v>9.0345999999999996E-2</c:v>
                </c:pt>
                <c:pt idx="472">
                  <c:v>9.0565999999999994E-2</c:v>
                </c:pt>
                <c:pt idx="473">
                  <c:v>9.079000000000001E-2</c:v>
                </c:pt>
                <c:pt idx="474">
                  <c:v>9.101200000000001E-2</c:v>
                </c:pt>
                <c:pt idx="475">
                  <c:v>9.1235999999999998E-2</c:v>
                </c:pt>
                <c:pt idx="476">
                  <c:v>9.1457999999999998E-2</c:v>
                </c:pt>
                <c:pt idx="477">
                  <c:v>9.1677999999999996E-2</c:v>
                </c:pt>
                <c:pt idx="478">
                  <c:v>9.1899999999999996E-2</c:v>
                </c:pt>
                <c:pt idx="479">
                  <c:v>9.2121999999999996E-2</c:v>
                </c:pt>
                <c:pt idx="480">
                  <c:v>9.2345999999999998E-2</c:v>
                </c:pt>
                <c:pt idx="481">
                  <c:v>9.2567999999999998E-2</c:v>
                </c:pt>
                <c:pt idx="482">
                  <c:v>9.2818000000000012E-2</c:v>
                </c:pt>
                <c:pt idx="483">
                  <c:v>9.3039999999999998E-2</c:v>
                </c:pt>
                <c:pt idx="484">
                  <c:v>9.3261999999999998E-2</c:v>
                </c:pt>
                <c:pt idx="485">
                  <c:v>9.3483999999999998E-2</c:v>
                </c:pt>
                <c:pt idx="486">
                  <c:v>9.3707999999999986E-2</c:v>
                </c:pt>
                <c:pt idx="487">
                  <c:v>9.3930000000000013E-2</c:v>
                </c:pt>
                <c:pt idx="488">
                  <c:v>9.4152E-2</c:v>
                </c:pt>
                <c:pt idx="489">
                  <c:v>9.4374E-2</c:v>
                </c:pt>
                <c:pt idx="490">
                  <c:v>9.4594000000000011E-2</c:v>
                </c:pt>
                <c:pt idx="491">
                  <c:v>9.4846E-2</c:v>
                </c:pt>
                <c:pt idx="492">
                  <c:v>9.5096000000000014E-2</c:v>
                </c:pt>
                <c:pt idx="493">
                  <c:v>9.5345999999999986E-2</c:v>
                </c:pt>
                <c:pt idx="494">
                  <c:v>9.5596E-2</c:v>
                </c:pt>
                <c:pt idx="495">
                  <c:v>9.5818E-2</c:v>
                </c:pt>
                <c:pt idx="496">
                  <c:v>9.6068000000000001E-2</c:v>
                </c:pt>
                <c:pt idx="497">
                  <c:v>9.6290000000000001E-2</c:v>
                </c:pt>
                <c:pt idx="498">
                  <c:v>9.6511999999999987E-2</c:v>
                </c:pt>
                <c:pt idx="499">
                  <c:v>9.6762000000000001E-2</c:v>
                </c:pt>
                <c:pt idx="500">
                  <c:v>9.7012000000000001E-2</c:v>
                </c:pt>
                <c:pt idx="501">
                  <c:v>9.7262000000000001E-2</c:v>
                </c:pt>
                <c:pt idx="502">
                  <c:v>9.7514000000000003E-2</c:v>
                </c:pt>
                <c:pt idx="503">
                  <c:v>9.7736000000000003E-2</c:v>
                </c:pt>
                <c:pt idx="504">
                  <c:v>9.7984000000000016E-2</c:v>
                </c:pt>
                <c:pt idx="505">
                  <c:v>9.8208000000000004E-2</c:v>
                </c:pt>
                <c:pt idx="506">
                  <c:v>9.8458000000000004E-2</c:v>
                </c:pt>
                <c:pt idx="507">
                  <c:v>9.870799999999999E-2</c:v>
                </c:pt>
                <c:pt idx="508">
                  <c:v>9.8956000000000002E-2</c:v>
                </c:pt>
                <c:pt idx="509">
                  <c:v>9.9208000000000005E-2</c:v>
                </c:pt>
                <c:pt idx="510">
                  <c:v>9.9456000000000003E-2</c:v>
                </c:pt>
                <c:pt idx="511">
                  <c:v>9.9705999999999989E-2</c:v>
                </c:pt>
                <c:pt idx="512">
                  <c:v>9.9957999999999991E-2</c:v>
                </c:pt>
                <c:pt idx="513">
                  <c:v>0.100206</c:v>
                </c:pt>
                <c:pt idx="514">
                  <c:v>0.10045799999999999</c:v>
                </c:pt>
                <c:pt idx="515">
                  <c:v>0.10070800000000001</c:v>
                </c:pt>
                <c:pt idx="516">
                  <c:v>0.10095599999999999</c:v>
                </c:pt>
                <c:pt idx="517">
                  <c:v>0.10120799999999999</c:v>
                </c:pt>
                <c:pt idx="518">
                  <c:v>0.10145799999999999</c:v>
                </c:pt>
                <c:pt idx="519">
                  <c:v>0.101706</c:v>
                </c:pt>
                <c:pt idx="520">
                  <c:v>0.10198600000000001</c:v>
                </c:pt>
                <c:pt idx="521">
                  <c:v>0.10226399999999999</c:v>
                </c:pt>
                <c:pt idx="522">
                  <c:v>0.10253999999999999</c:v>
                </c:pt>
                <c:pt idx="523">
                  <c:v>0.10281800000000001</c:v>
                </c:pt>
                <c:pt idx="524">
                  <c:v>0.10309599999999999</c:v>
                </c:pt>
                <c:pt idx="525">
                  <c:v>0.10334599999999999</c:v>
                </c:pt>
                <c:pt idx="526">
                  <c:v>0.10362399999999999</c:v>
                </c:pt>
                <c:pt idx="527">
                  <c:v>0.10390000000000001</c:v>
                </c:pt>
                <c:pt idx="528">
                  <c:v>0.10417999999999999</c:v>
                </c:pt>
                <c:pt idx="529">
                  <c:v>0.104458</c:v>
                </c:pt>
                <c:pt idx="530">
                  <c:v>0.10473399999999999</c:v>
                </c:pt>
                <c:pt idx="531">
                  <c:v>0.105014</c:v>
                </c:pt>
                <c:pt idx="532">
                  <c:v>0.10528999999999999</c:v>
                </c:pt>
                <c:pt idx="533">
                  <c:v>0.105596</c:v>
                </c:pt>
                <c:pt idx="534">
                  <c:v>0.105902</c:v>
                </c:pt>
                <c:pt idx="535">
                  <c:v>0.10618</c:v>
                </c:pt>
                <c:pt idx="536">
                  <c:v>0.106458</c:v>
                </c:pt>
                <c:pt idx="537">
                  <c:v>0.106736</c:v>
                </c:pt>
                <c:pt idx="538">
                  <c:v>0.107012</c:v>
                </c:pt>
                <c:pt idx="539">
                  <c:v>0.10731600000000001</c:v>
                </c:pt>
                <c:pt idx="540">
                  <c:v>0.107622</c:v>
                </c:pt>
                <c:pt idx="541">
                  <c:v>0.107928</c:v>
                </c:pt>
                <c:pt idx="542">
                  <c:v>0.108234</c:v>
                </c:pt>
                <c:pt idx="543">
                  <c:v>0.10854</c:v>
                </c:pt>
                <c:pt idx="544">
                  <c:v>0.10884600000000001</c:v>
                </c:pt>
                <c:pt idx="545">
                  <c:v>0.109152</c:v>
                </c:pt>
                <c:pt idx="546">
                  <c:v>0.10945600000000001</c:v>
                </c:pt>
                <c:pt idx="547">
                  <c:v>0.109764</c:v>
                </c:pt>
                <c:pt idx="548">
                  <c:v>0.110068</c:v>
                </c:pt>
                <c:pt idx="549">
                  <c:v>0.110374</c:v>
                </c:pt>
                <c:pt idx="550">
                  <c:v>0.110708</c:v>
                </c:pt>
                <c:pt idx="551">
                  <c:v>0.111038</c:v>
                </c:pt>
                <c:pt idx="552">
                  <c:v>0.111374</c:v>
                </c:pt>
                <c:pt idx="553">
                  <c:v>0.111706</c:v>
                </c:pt>
                <c:pt idx="554">
                  <c:v>0.112042</c:v>
                </c:pt>
                <c:pt idx="555">
                  <c:v>0.11237399999999999</c:v>
                </c:pt>
                <c:pt idx="556">
                  <c:v>0.112706</c:v>
                </c:pt>
                <c:pt idx="557">
                  <c:v>0.11304</c:v>
                </c:pt>
                <c:pt idx="558">
                  <c:v>0.113374</c:v>
                </c:pt>
                <c:pt idx="559">
                  <c:v>0.11370799999999999</c:v>
                </c:pt>
                <c:pt idx="560">
                  <c:v>0.114068</c:v>
                </c:pt>
                <c:pt idx="561">
                  <c:v>0.11442999999999999</c:v>
                </c:pt>
                <c:pt idx="562">
                  <c:v>0.11478999999999999</c:v>
                </c:pt>
                <c:pt idx="563">
                  <c:v>0.115152</c:v>
                </c:pt>
                <c:pt idx="564">
                  <c:v>0.115512</c:v>
                </c:pt>
                <c:pt idx="565">
                  <c:v>0.115874</c:v>
                </c:pt>
                <c:pt idx="566">
                  <c:v>0.11623599999999999</c:v>
                </c:pt>
                <c:pt idx="567">
                  <c:v>0.11659599999999999</c:v>
                </c:pt>
                <c:pt idx="568">
                  <c:v>0.116956</c:v>
                </c:pt>
                <c:pt idx="569">
                  <c:v>0.11731799999999999</c:v>
                </c:pt>
                <c:pt idx="570">
                  <c:v>0.11768000000000001</c:v>
                </c:pt>
                <c:pt idx="571">
                  <c:v>0.11804000000000001</c:v>
                </c:pt>
                <c:pt idx="572">
                  <c:v>0.11840199999999999</c:v>
                </c:pt>
                <c:pt idx="573">
                  <c:v>0.11876200000000001</c:v>
                </c:pt>
                <c:pt idx="574">
                  <c:v>0.11912399999999999</c:v>
                </c:pt>
                <c:pt idx="575">
                  <c:v>0.11948600000000001</c:v>
                </c:pt>
                <c:pt idx="576">
                  <c:v>0.119848</c:v>
                </c:pt>
                <c:pt idx="577">
                  <c:v>0.12023400000000001</c:v>
                </c:pt>
                <c:pt idx="578">
                  <c:v>0.12062400000000001</c:v>
                </c:pt>
                <c:pt idx="579">
                  <c:v>0.12101200000000001</c:v>
                </c:pt>
                <c:pt idx="580">
                  <c:v>0.121402</c:v>
                </c:pt>
                <c:pt idx="581">
                  <c:v>0.12179000000000001</c:v>
                </c:pt>
                <c:pt idx="582">
                  <c:v>0.122206</c:v>
                </c:pt>
                <c:pt idx="583">
                  <c:v>0.122624</c:v>
                </c:pt>
                <c:pt idx="584">
                  <c:v>0.123014</c:v>
                </c:pt>
                <c:pt idx="585">
                  <c:v>0.12342800000000001</c:v>
                </c:pt>
                <c:pt idx="586">
                  <c:v>0.123848</c:v>
                </c:pt>
                <c:pt idx="587">
                  <c:v>0.124262</c:v>
                </c:pt>
                <c:pt idx="588">
                  <c:v>0.12468</c:v>
                </c:pt>
                <c:pt idx="589">
                  <c:v>0.12509600000000001</c:v>
                </c:pt>
                <c:pt idx="590">
                  <c:v>0.12551199999999998</c:v>
                </c:pt>
                <c:pt idx="591">
                  <c:v>0.12595599999999998</c:v>
                </c:pt>
                <c:pt idx="592">
                  <c:v>0.12637399999999999</c:v>
                </c:pt>
                <c:pt idx="593">
                  <c:v>0.12679199999999999</c:v>
                </c:pt>
                <c:pt idx="594">
                  <c:v>0.12723599999999999</c:v>
                </c:pt>
                <c:pt idx="595">
                  <c:v>0.12768000000000002</c:v>
                </c:pt>
                <c:pt idx="596">
                  <c:v>0.12809400000000001</c:v>
                </c:pt>
                <c:pt idx="597">
                  <c:v>0.12854200000000002</c:v>
                </c:pt>
                <c:pt idx="598">
                  <c:v>0.12898599999999999</c:v>
                </c:pt>
                <c:pt idx="599">
                  <c:v>0.12942799999999999</c:v>
                </c:pt>
                <c:pt idx="600">
                  <c:v>0.12987399999999999</c:v>
                </c:pt>
                <c:pt idx="601">
                  <c:v>0.13031800000000002</c:v>
                </c:pt>
                <c:pt idx="602">
                  <c:v>0.13079000000000002</c:v>
                </c:pt>
                <c:pt idx="603">
                  <c:v>0.13126399999999999</c:v>
                </c:pt>
                <c:pt idx="604">
                  <c:v>0.13173400000000002</c:v>
                </c:pt>
                <c:pt idx="605">
                  <c:v>0.13223399999999999</c:v>
                </c:pt>
                <c:pt idx="606">
                  <c:v>0.13273400000000002</c:v>
                </c:pt>
                <c:pt idx="607">
                  <c:v>0.13320600000000002</c:v>
                </c:pt>
                <c:pt idx="608">
                  <c:v>0.13370599999999999</c:v>
                </c:pt>
                <c:pt idx="609">
                  <c:v>0.13420599999999999</c:v>
                </c:pt>
                <c:pt idx="610">
                  <c:v>0.13470799999999999</c:v>
                </c:pt>
                <c:pt idx="611">
                  <c:v>0.13523399999999999</c:v>
                </c:pt>
                <c:pt idx="612">
                  <c:v>0.13576199999999999</c:v>
                </c:pt>
                <c:pt idx="613">
                  <c:v>0.13628999999999999</c:v>
                </c:pt>
                <c:pt idx="614">
                  <c:v>0.13682</c:v>
                </c:pt>
                <c:pt idx="615">
                  <c:v>0.137346</c:v>
                </c:pt>
                <c:pt idx="616">
                  <c:v>0.137874</c:v>
                </c:pt>
                <c:pt idx="617">
                  <c:v>0.138404</c:v>
                </c:pt>
                <c:pt idx="618">
                  <c:v>0.138956</c:v>
                </c:pt>
                <c:pt idx="619">
                  <c:v>0.139514</c:v>
                </c:pt>
                <c:pt idx="620">
                  <c:v>0.14007</c:v>
                </c:pt>
                <c:pt idx="621">
                  <c:v>0.140652</c:v>
                </c:pt>
                <c:pt idx="622">
                  <c:v>0.141234</c:v>
                </c:pt>
                <c:pt idx="623">
                  <c:v>0.141846</c:v>
                </c:pt>
                <c:pt idx="624">
                  <c:v>0.142484</c:v>
                </c:pt>
                <c:pt idx="625">
                  <c:v>0.143124</c:v>
                </c:pt>
                <c:pt idx="626">
                  <c:v>0.143764</c:v>
                </c:pt>
                <c:pt idx="627">
                  <c:v>0.144458</c:v>
                </c:pt>
                <c:pt idx="628">
                  <c:v>0.14515</c:v>
                </c:pt>
                <c:pt idx="629">
                  <c:v>0.14584800000000001</c:v>
                </c:pt>
                <c:pt idx="630">
                  <c:v>0.146568</c:v>
                </c:pt>
                <c:pt idx="631">
                  <c:v>0.147316</c:v>
                </c:pt>
                <c:pt idx="632">
                  <c:v>0.14809600000000001</c:v>
                </c:pt>
                <c:pt idx="633">
                  <c:v>0.14893000000000001</c:v>
                </c:pt>
                <c:pt idx="634">
                  <c:v>0.14976400000000001</c:v>
                </c:pt>
                <c:pt idx="635">
                  <c:v>0.15059600000000001</c:v>
                </c:pt>
                <c:pt idx="636">
                  <c:v>0.15143000000000001</c:v>
                </c:pt>
                <c:pt idx="637">
                  <c:v>0.15226400000000001</c:v>
                </c:pt>
                <c:pt idx="638">
                  <c:v>0.15309799999999998</c:v>
                </c:pt>
                <c:pt idx="639">
                  <c:v>0.15393000000000001</c:v>
                </c:pt>
              </c:numCache>
            </c:numRef>
          </c:cat>
          <c:val>
            <c:numRef>
              <c:f>'A11-3'!$F$2:$F$641</c:f>
              <c:numCache>
                <c:formatCode>0.00</c:formatCode>
                <c:ptCount val="640"/>
                <c:pt idx="0">
                  <c:v>0</c:v>
                </c:pt>
                <c:pt idx="1">
                  <c:v>0.21687783887162324</c:v>
                </c:pt>
                <c:pt idx="2">
                  <c:v>0.21687783887162324</c:v>
                </c:pt>
                <c:pt idx="3">
                  <c:v>0.21687783887162324</c:v>
                </c:pt>
                <c:pt idx="4">
                  <c:v>0.21687783887162324</c:v>
                </c:pt>
                <c:pt idx="5">
                  <c:v>0.21687783887162324</c:v>
                </c:pt>
                <c:pt idx="6">
                  <c:v>0.21687783887162324</c:v>
                </c:pt>
                <c:pt idx="7">
                  <c:v>0.21687783887162324</c:v>
                </c:pt>
                <c:pt idx="8">
                  <c:v>0.21687783887162324</c:v>
                </c:pt>
                <c:pt idx="9">
                  <c:v>0.21687783887162324</c:v>
                </c:pt>
                <c:pt idx="10">
                  <c:v>0.21687783887162324</c:v>
                </c:pt>
                <c:pt idx="11">
                  <c:v>0.22229978484341384</c:v>
                </c:pt>
                <c:pt idx="12">
                  <c:v>0.22229978484341384</c:v>
                </c:pt>
                <c:pt idx="13">
                  <c:v>0.22229978484341384</c:v>
                </c:pt>
                <c:pt idx="14">
                  <c:v>0.21687783887162324</c:v>
                </c:pt>
                <c:pt idx="15">
                  <c:v>0.21687783887162324</c:v>
                </c:pt>
                <c:pt idx="16">
                  <c:v>0.21687783887162324</c:v>
                </c:pt>
                <c:pt idx="17">
                  <c:v>0.21687783887162324</c:v>
                </c:pt>
                <c:pt idx="18">
                  <c:v>0.21687783887162324</c:v>
                </c:pt>
                <c:pt idx="19">
                  <c:v>0.21687783887162324</c:v>
                </c:pt>
                <c:pt idx="20">
                  <c:v>0.21687783887162324</c:v>
                </c:pt>
                <c:pt idx="21">
                  <c:v>0.21687783887162324</c:v>
                </c:pt>
                <c:pt idx="22">
                  <c:v>0.22229978484341384</c:v>
                </c:pt>
                <c:pt idx="23">
                  <c:v>0.22229978484341384</c:v>
                </c:pt>
                <c:pt idx="24">
                  <c:v>0.22229978484341384</c:v>
                </c:pt>
                <c:pt idx="25">
                  <c:v>0.22229978484341384</c:v>
                </c:pt>
                <c:pt idx="26">
                  <c:v>0.22229978484341384</c:v>
                </c:pt>
                <c:pt idx="27">
                  <c:v>0.22229978484341384</c:v>
                </c:pt>
                <c:pt idx="28">
                  <c:v>0.22229978484341384</c:v>
                </c:pt>
                <c:pt idx="29">
                  <c:v>0.22772173081520442</c:v>
                </c:pt>
                <c:pt idx="30">
                  <c:v>0.22772173081520442</c:v>
                </c:pt>
                <c:pt idx="31">
                  <c:v>0.22772173081520442</c:v>
                </c:pt>
                <c:pt idx="32">
                  <c:v>0.22772173081520442</c:v>
                </c:pt>
                <c:pt idx="33">
                  <c:v>0.22772173081520442</c:v>
                </c:pt>
                <c:pt idx="34">
                  <c:v>0.23314048928201453</c:v>
                </c:pt>
                <c:pt idx="35">
                  <c:v>0.23314048928201453</c:v>
                </c:pt>
                <c:pt idx="36">
                  <c:v>0.23314048928201453</c:v>
                </c:pt>
                <c:pt idx="37">
                  <c:v>0.23314048928201453</c:v>
                </c:pt>
                <c:pt idx="38">
                  <c:v>0.24398438122559568</c:v>
                </c:pt>
                <c:pt idx="39">
                  <c:v>0.24940632719738623</c:v>
                </c:pt>
                <c:pt idx="40">
                  <c:v>0.24940632719738623</c:v>
                </c:pt>
                <c:pt idx="41">
                  <c:v>0.24940632719738623</c:v>
                </c:pt>
                <c:pt idx="42">
                  <c:v>0.24940632719738623</c:v>
                </c:pt>
                <c:pt idx="43">
                  <c:v>0.24940632719738623</c:v>
                </c:pt>
                <c:pt idx="44">
                  <c:v>0.26025021914096741</c:v>
                </c:pt>
                <c:pt idx="45">
                  <c:v>0.25482827316917683</c:v>
                </c:pt>
                <c:pt idx="46">
                  <c:v>0.24940632719738623</c:v>
                </c:pt>
                <c:pt idx="47">
                  <c:v>0.25482827316917683</c:v>
                </c:pt>
                <c:pt idx="48">
                  <c:v>0.27651605705633919</c:v>
                </c:pt>
                <c:pt idx="49">
                  <c:v>0.29278189497171092</c:v>
                </c:pt>
                <c:pt idx="50">
                  <c:v>0.30904773288708265</c:v>
                </c:pt>
                <c:pt idx="51">
                  <c:v>0.32531675830743484</c:v>
                </c:pt>
                <c:pt idx="52">
                  <c:v>0.33073551677424495</c:v>
                </c:pt>
                <c:pt idx="53">
                  <c:v>0.33073551677424495</c:v>
                </c:pt>
                <c:pt idx="54">
                  <c:v>0.33073551677424495</c:v>
                </c:pt>
                <c:pt idx="55">
                  <c:v>0.33073551677424495</c:v>
                </c:pt>
                <c:pt idx="56">
                  <c:v>0.33615427524105507</c:v>
                </c:pt>
                <c:pt idx="57">
                  <c:v>0.33615427524105507</c:v>
                </c:pt>
                <c:pt idx="58">
                  <c:v>0.33615427524105507</c:v>
                </c:pt>
                <c:pt idx="59">
                  <c:v>0.33073551677424495</c:v>
                </c:pt>
                <c:pt idx="60">
                  <c:v>0.33615427524105507</c:v>
                </c:pt>
                <c:pt idx="61">
                  <c:v>0.33615427524105507</c:v>
                </c:pt>
                <c:pt idx="62">
                  <c:v>0.33615427524105507</c:v>
                </c:pt>
                <c:pt idx="63">
                  <c:v>0.33615427524105507</c:v>
                </c:pt>
                <c:pt idx="64">
                  <c:v>0.33615427524105507</c:v>
                </c:pt>
                <c:pt idx="65">
                  <c:v>0.33615427524105507</c:v>
                </c:pt>
                <c:pt idx="66">
                  <c:v>0.33615427524105507</c:v>
                </c:pt>
                <c:pt idx="67">
                  <c:v>0.33615427524105507</c:v>
                </c:pt>
                <c:pt idx="68">
                  <c:v>0.34157303370786518</c:v>
                </c:pt>
                <c:pt idx="69">
                  <c:v>0.34157303370786518</c:v>
                </c:pt>
                <c:pt idx="70">
                  <c:v>0.34157303370786518</c:v>
                </c:pt>
                <c:pt idx="71">
                  <c:v>0.34157303370786518</c:v>
                </c:pt>
                <c:pt idx="72">
                  <c:v>0.35241055064148535</c:v>
                </c:pt>
                <c:pt idx="73">
                  <c:v>0.35786118415810025</c:v>
                </c:pt>
                <c:pt idx="74">
                  <c:v>0.36869870109172048</c:v>
                </c:pt>
                <c:pt idx="75">
                  <c:v>0.37953621802534071</c:v>
                </c:pt>
                <c:pt idx="76">
                  <c:v>0.39037373495896088</c:v>
                </c:pt>
                <c:pt idx="77">
                  <c:v>0.395792493425771</c:v>
                </c:pt>
                <c:pt idx="78">
                  <c:v>0.40121125189258111</c:v>
                </c:pt>
                <c:pt idx="79">
                  <c:v>0.395792493425771</c:v>
                </c:pt>
                <c:pt idx="80">
                  <c:v>0.395792493425771</c:v>
                </c:pt>
                <c:pt idx="81">
                  <c:v>0.395792493425771</c:v>
                </c:pt>
                <c:pt idx="82">
                  <c:v>0.40121125189258111</c:v>
                </c:pt>
                <c:pt idx="83">
                  <c:v>0.40121125189258111</c:v>
                </c:pt>
                <c:pt idx="84">
                  <c:v>0.40121125189258111</c:v>
                </c:pt>
                <c:pt idx="85">
                  <c:v>0.40121125189258111</c:v>
                </c:pt>
                <c:pt idx="86">
                  <c:v>0.40121125189258111</c:v>
                </c:pt>
                <c:pt idx="87">
                  <c:v>0.40121125189258111</c:v>
                </c:pt>
                <c:pt idx="88">
                  <c:v>0.40121125189258111</c:v>
                </c:pt>
                <c:pt idx="89">
                  <c:v>0.40663001035939123</c:v>
                </c:pt>
                <c:pt idx="90">
                  <c:v>0.40121125189258111</c:v>
                </c:pt>
                <c:pt idx="91">
                  <c:v>0.40121125189258111</c:v>
                </c:pt>
                <c:pt idx="92">
                  <c:v>0.40121125189258111</c:v>
                </c:pt>
                <c:pt idx="93">
                  <c:v>0.40663001035939123</c:v>
                </c:pt>
                <c:pt idx="94">
                  <c:v>0.40663001035939123</c:v>
                </c:pt>
                <c:pt idx="95">
                  <c:v>0.40663001035939123</c:v>
                </c:pt>
                <c:pt idx="96">
                  <c:v>0.40663001035939123</c:v>
                </c:pt>
                <c:pt idx="97">
                  <c:v>0.40663001035939123</c:v>
                </c:pt>
                <c:pt idx="98">
                  <c:v>0.40663001035939123</c:v>
                </c:pt>
                <c:pt idx="99">
                  <c:v>0.40663001035939123</c:v>
                </c:pt>
                <c:pt idx="100">
                  <c:v>0.40663001035939123</c:v>
                </c:pt>
                <c:pt idx="101">
                  <c:v>0.41208064387600613</c:v>
                </c:pt>
                <c:pt idx="102">
                  <c:v>0.41749940234281624</c:v>
                </c:pt>
                <c:pt idx="103">
                  <c:v>0.41749940234281624</c:v>
                </c:pt>
                <c:pt idx="104">
                  <c:v>0.42291816080962635</c:v>
                </c:pt>
                <c:pt idx="105">
                  <c:v>0.43375567774324647</c:v>
                </c:pt>
                <c:pt idx="106">
                  <c:v>0.43917443621005658</c:v>
                </c:pt>
                <c:pt idx="107">
                  <c:v>0.45001195314367681</c:v>
                </c:pt>
                <c:pt idx="108">
                  <c:v>0.4662682285441071</c:v>
                </c:pt>
                <c:pt idx="109">
                  <c:v>0.48797513746115229</c:v>
                </c:pt>
                <c:pt idx="110">
                  <c:v>0.50423141286158268</c:v>
                </c:pt>
                <c:pt idx="111">
                  <c:v>0.52048768826201297</c:v>
                </c:pt>
                <c:pt idx="112">
                  <c:v>0.54219459717905816</c:v>
                </c:pt>
                <c:pt idx="113">
                  <c:v>0.5638696310462985</c:v>
                </c:pt>
                <c:pt idx="114">
                  <c:v>0.58557653996334369</c:v>
                </c:pt>
                <c:pt idx="115">
                  <c:v>0.60725157383058403</c:v>
                </c:pt>
                <c:pt idx="116">
                  <c:v>0.6289266076978246</c:v>
                </c:pt>
                <c:pt idx="117">
                  <c:v>0.63979599968124945</c:v>
                </c:pt>
                <c:pt idx="118">
                  <c:v>0.66147103354848991</c:v>
                </c:pt>
                <c:pt idx="119">
                  <c:v>0.68314606741573036</c:v>
                </c:pt>
                <c:pt idx="120">
                  <c:v>0.70485297633277555</c:v>
                </c:pt>
                <c:pt idx="121">
                  <c:v>0.72652801020001601</c:v>
                </c:pt>
                <c:pt idx="122">
                  <c:v>0.74823491911706119</c:v>
                </c:pt>
                <c:pt idx="123">
                  <c:v>0.76990995298430165</c:v>
                </c:pt>
                <c:pt idx="124">
                  <c:v>0.79703562036815678</c:v>
                </c:pt>
                <c:pt idx="125">
                  <c:v>0.81871065423539724</c:v>
                </c:pt>
                <c:pt idx="126">
                  <c:v>0.8403856881026377</c:v>
                </c:pt>
                <c:pt idx="127">
                  <c:v>0.86209259701968288</c:v>
                </c:pt>
                <c:pt idx="128">
                  <c:v>0.88376763088692334</c:v>
                </c:pt>
                <c:pt idx="129">
                  <c:v>0.90547453980396853</c:v>
                </c:pt>
                <c:pt idx="130">
                  <c:v>0.92714957367120898</c:v>
                </c:pt>
                <c:pt idx="131">
                  <c:v>0.94882460753844933</c:v>
                </c:pt>
                <c:pt idx="132">
                  <c:v>0.97053151645549451</c:v>
                </c:pt>
                <c:pt idx="133">
                  <c:v>0.99220655032273497</c:v>
                </c:pt>
                <c:pt idx="134">
                  <c:v>1.0138815841899753</c:v>
                </c:pt>
                <c:pt idx="135">
                  <c:v>1.0355884931070205</c:v>
                </c:pt>
                <c:pt idx="136">
                  <c:v>1.0572635269742607</c:v>
                </c:pt>
                <c:pt idx="137">
                  <c:v>1.0789704358913064</c:v>
                </c:pt>
                <c:pt idx="138">
                  <c:v>1.1006454697585466</c:v>
                </c:pt>
                <c:pt idx="139">
                  <c:v>1.1223205036257871</c:v>
                </c:pt>
                <c:pt idx="140">
                  <c:v>1.144027412542832</c:v>
                </c:pt>
                <c:pt idx="141">
                  <c:v>1.1657024464100725</c:v>
                </c:pt>
                <c:pt idx="142">
                  <c:v>1.1874093553271179</c:v>
                </c:pt>
                <c:pt idx="143">
                  <c:v>1.2090843891943581</c:v>
                </c:pt>
                <c:pt idx="144">
                  <c:v>1.2307594230615986</c:v>
                </c:pt>
                <c:pt idx="145">
                  <c:v>1.2524663319786438</c:v>
                </c:pt>
                <c:pt idx="146">
                  <c:v>1.2741413658458842</c:v>
                </c:pt>
                <c:pt idx="147">
                  <c:v>1.2958482747629294</c:v>
                </c:pt>
                <c:pt idx="148">
                  <c:v>1.3175233086301699</c:v>
                </c:pt>
                <c:pt idx="149">
                  <c:v>1.3391983424974103</c:v>
                </c:pt>
                <c:pt idx="150">
                  <c:v>1.3609052514144555</c:v>
                </c:pt>
                <c:pt idx="151">
                  <c:v>1.382580285281696</c:v>
                </c:pt>
                <c:pt idx="152">
                  <c:v>1.4042871941987409</c:v>
                </c:pt>
                <c:pt idx="153">
                  <c:v>1.4259622280659814</c:v>
                </c:pt>
                <c:pt idx="154">
                  <c:v>1.4476372619332216</c:v>
                </c:pt>
                <c:pt idx="155">
                  <c:v>1.4693441708502673</c:v>
                </c:pt>
                <c:pt idx="156">
                  <c:v>1.4910192047175075</c:v>
                </c:pt>
                <c:pt idx="157">
                  <c:v>1.5127261136345527</c:v>
                </c:pt>
                <c:pt idx="158">
                  <c:v>1.5344011475017929</c:v>
                </c:pt>
                <c:pt idx="159">
                  <c:v>1.5560761813690334</c:v>
                </c:pt>
                <c:pt idx="160">
                  <c:v>1.5777830902860785</c:v>
                </c:pt>
                <c:pt idx="161">
                  <c:v>1.599458124153319</c:v>
                </c:pt>
                <c:pt idx="162">
                  <c:v>1.6211650330703642</c:v>
                </c:pt>
                <c:pt idx="163">
                  <c:v>1.6428400669376046</c:v>
                </c:pt>
                <c:pt idx="164">
                  <c:v>1.6645151008048451</c:v>
                </c:pt>
                <c:pt idx="165">
                  <c:v>1.6862220097218903</c:v>
                </c:pt>
                <c:pt idx="166">
                  <c:v>1.7078970435891307</c:v>
                </c:pt>
                <c:pt idx="167">
                  <c:v>1.7296039525061759</c:v>
                </c:pt>
                <c:pt idx="168">
                  <c:v>1.7512789863734164</c:v>
                </c:pt>
                <c:pt idx="169">
                  <c:v>1.7729540202406568</c:v>
                </c:pt>
                <c:pt idx="170">
                  <c:v>1.7946609291577018</c:v>
                </c:pt>
                <c:pt idx="171">
                  <c:v>1.8163359630249423</c:v>
                </c:pt>
                <c:pt idx="172">
                  <c:v>1.8380109968921827</c:v>
                </c:pt>
                <c:pt idx="173">
                  <c:v>1.8597179058092281</c:v>
                </c:pt>
                <c:pt idx="174">
                  <c:v>1.8813929396764686</c:v>
                </c:pt>
                <c:pt idx="175">
                  <c:v>1.9030998485935136</c:v>
                </c:pt>
                <c:pt idx="176">
                  <c:v>1.9247748824607538</c:v>
                </c:pt>
                <c:pt idx="177">
                  <c:v>1.9464499163279942</c:v>
                </c:pt>
                <c:pt idx="178">
                  <c:v>1.9681568252450394</c:v>
                </c:pt>
                <c:pt idx="179">
                  <c:v>1.9898318591122799</c:v>
                </c:pt>
                <c:pt idx="180">
                  <c:v>2.0115387680293253</c:v>
                </c:pt>
                <c:pt idx="181">
                  <c:v>2.0332138018965655</c:v>
                </c:pt>
                <c:pt idx="182">
                  <c:v>2.0548888357638062</c:v>
                </c:pt>
                <c:pt idx="183">
                  <c:v>2.076595744680851</c:v>
                </c:pt>
                <c:pt idx="184">
                  <c:v>2.0982707785480916</c:v>
                </c:pt>
                <c:pt idx="185">
                  <c:v>2.1199776874651368</c:v>
                </c:pt>
                <c:pt idx="186">
                  <c:v>2.1416527213323766</c:v>
                </c:pt>
                <c:pt idx="187">
                  <c:v>2.1633277551996177</c:v>
                </c:pt>
                <c:pt idx="188">
                  <c:v>2.1850346641166629</c:v>
                </c:pt>
                <c:pt idx="189">
                  <c:v>2.2067096979839032</c:v>
                </c:pt>
                <c:pt idx="190">
                  <c:v>2.2284166069009488</c:v>
                </c:pt>
                <c:pt idx="191">
                  <c:v>2.2500916407681886</c:v>
                </c:pt>
                <c:pt idx="192">
                  <c:v>2.2717666746354293</c:v>
                </c:pt>
                <c:pt idx="193">
                  <c:v>2.293473583552474</c:v>
                </c:pt>
                <c:pt idx="194">
                  <c:v>2.3151486174197151</c:v>
                </c:pt>
                <c:pt idx="195">
                  <c:v>2.3368555263367603</c:v>
                </c:pt>
                <c:pt idx="196">
                  <c:v>2.3585305602040001</c:v>
                </c:pt>
                <c:pt idx="197">
                  <c:v>2.3802055940712412</c:v>
                </c:pt>
                <c:pt idx="198">
                  <c:v>2.401912502988286</c:v>
                </c:pt>
                <c:pt idx="199">
                  <c:v>2.4235875368555266</c:v>
                </c:pt>
                <c:pt idx="200">
                  <c:v>2.4452944457725718</c:v>
                </c:pt>
                <c:pt idx="201">
                  <c:v>2.4669694796398121</c:v>
                </c:pt>
                <c:pt idx="202">
                  <c:v>2.4886445135070527</c:v>
                </c:pt>
                <c:pt idx="203">
                  <c:v>2.5103514224240975</c:v>
                </c:pt>
                <c:pt idx="204">
                  <c:v>2.5320264562913386</c:v>
                </c:pt>
                <c:pt idx="205">
                  <c:v>2.5537333652083838</c:v>
                </c:pt>
                <c:pt idx="206">
                  <c:v>2.5754083990756236</c:v>
                </c:pt>
                <c:pt idx="207">
                  <c:v>2.5970834329428638</c:v>
                </c:pt>
                <c:pt idx="208">
                  <c:v>2.6187903418599094</c:v>
                </c:pt>
                <c:pt idx="209">
                  <c:v>2.6404653757271497</c:v>
                </c:pt>
                <c:pt idx="210">
                  <c:v>2.6621722846441949</c:v>
                </c:pt>
                <c:pt idx="211">
                  <c:v>2.6838473185114351</c:v>
                </c:pt>
                <c:pt idx="212">
                  <c:v>2.7055223523786758</c:v>
                </c:pt>
                <c:pt idx="213">
                  <c:v>2.727229261295721</c:v>
                </c:pt>
                <c:pt idx="214">
                  <c:v>2.7489042951629612</c:v>
                </c:pt>
                <c:pt idx="215">
                  <c:v>2.7705793290302019</c:v>
                </c:pt>
                <c:pt idx="216">
                  <c:v>2.7922862379472471</c:v>
                </c:pt>
                <c:pt idx="217">
                  <c:v>2.8139612718144873</c:v>
                </c:pt>
                <c:pt idx="218">
                  <c:v>2.8356681807315325</c:v>
                </c:pt>
                <c:pt idx="219">
                  <c:v>2.8573432145987732</c:v>
                </c:pt>
                <c:pt idx="220">
                  <c:v>2.8790182484660134</c:v>
                </c:pt>
                <c:pt idx="221">
                  <c:v>2.9007251573830586</c:v>
                </c:pt>
                <c:pt idx="222">
                  <c:v>2.9224001912502993</c:v>
                </c:pt>
                <c:pt idx="223">
                  <c:v>2.9441071001673444</c:v>
                </c:pt>
                <c:pt idx="224">
                  <c:v>2.9657821340345842</c:v>
                </c:pt>
                <c:pt idx="225">
                  <c:v>2.9874571679018254</c:v>
                </c:pt>
                <c:pt idx="226">
                  <c:v>3.0091640768188705</c:v>
                </c:pt>
                <c:pt idx="227">
                  <c:v>3.0308391106861103</c:v>
                </c:pt>
                <c:pt idx="228">
                  <c:v>3.052546019603156</c:v>
                </c:pt>
                <c:pt idx="229">
                  <c:v>3.0742210534703958</c:v>
                </c:pt>
                <c:pt idx="230">
                  <c:v>3.0958960873376369</c:v>
                </c:pt>
                <c:pt idx="231">
                  <c:v>3.1176029962546821</c:v>
                </c:pt>
                <c:pt idx="232">
                  <c:v>3.1392780301219219</c:v>
                </c:pt>
                <c:pt idx="233">
                  <c:v>3.1609849390389679</c:v>
                </c:pt>
                <c:pt idx="234">
                  <c:v>3.1826599729062077</c:v>
                </c:pt>
                <c:pt idx="235">
                  <c:v>3.2043987568730579</c:v>
                </c:pt>
                <c:pt idx="236">
                  <c:v>3.2260737907402981</c:v>
                </c:pt>
                <c:pt idx="237">
                  <c:v>3.2477488246075383</c:v>
                </c:pt>
                <c:pt idx="238">
                  <c:v>3.269423858474779</c:v>
                </c:pt>
                <c:pt idx="239">
                  <c:v>3.2910988923420192</c:v>
                </c:pt>
                <c:pt idx="240">
                  <c:v>3.3127739262092604</c:v>
                </c:pt>
                <c:pt idx="241">
                  <c:v>3.3344489600765002</c:v>
                </c:pt>
                <c:pt idx="242">
                  <c:v>3.3561239939437413</c:v>
                </c:pt>
                <c:pt idx="243">
                  <c:v>3.3777990278109811</c:v>
                </c:pt>
                <c:pt idx="244">
                  <c:v>3.3994740616782217</c:v>
                </c:pt>
                <c:pt idx="245">
                  <c:v>3.421149095545462</c:v>
                </c:pt>
                <c:pt idx="246">
                  <c:v>3.4428241294127027</c:v>
                </c:pt>
                <c:pt idx="247">
                  <c:v>3.4644991632799429</c:v>
                </c:pt>
                <c:pt idx="248">
                  <c:v>3.4861741971471836</c:v>
                </c:pt>
                <c:pt idx="249">
                  <c:v>3.5078492310144234</c:v>
                </c:pt>
                <c:pt idx="250">
                  <c:v>3.5295242648816645</c:v>
                </c:pt>
                <c:pt idx="251">
                  <c:v>3.5511992987489043</c:v>
                </c:pt>
                <c:pt idx="252">
                  <c:v>3.5731930831141923</c:v>
                </c:pt>
                <c:pt idx="253">
                  <c:v>3.5948681169814334</c:v>
                </c:pt>
                <c:pt idx="254">
                  <c:v>3.6165431508486732</c:v>
                </c:pt>
                <c:pt idx="255">
                  <c:v>3.6436369431827242</c:v>
                </c:pt>
                <c:pt idx="256">
                  <c:v>3.665311977049964</c:v>
                </c:pt>
                <c:pt idx="257">
                  <c:v>3.6869870109172047</c:v>
                </c:pt>
                <c:pt idx="258">
                  <c:v>3.7086620447844449</c:v>
                </c:pt>
                <c:pt idx="259">
                  <c:v>3.7303370786516856</c:v>
                </c:pt>
                <c:pt idx="260">
                  <c:v>3.7574308709857362</c:v>
                </c:pt>
                <c:pt idx="261">
                  <c:v>3.7791059048529765</c:v>
                </c:pt>
                <c:pt idx="262">
                  <c:v>3.8007809387202172</c:v>
                </c:pt>
                <c:pt idx="263">
                  <c:v>3.8224559725874574</c:v>
                </c:pt>
                <c:pt idx="264">
                  <c:v>3.8441310064546976</c:v>
                </c:pt>
                <c:pt idx="265">
                  <c:v>3.8658060403219383</c:v>
                </c:pt>
                <c:pt idx="266">
                  <c:v>3.8874810741891785</c:v>
                </c:pt>
                <c:pt idx="267">
                  <c:v>3.9091561080564192</c:v>
                </c:pt>
                <c:pt idx="268">
                  <c:v>3.9362499003904694</c:v>
                </c:pt>
                <c:pt idx="269">
                  <c:v>3.9579249342577101</c:v>
                </c:pt>
                <c:pt idx="270">
                  <c:v>3.9850187265917603</c:v>
                </c:pt>
                <c:pt idx="271">
                  <c:v>4.0121125189258109</c:v>
                </c:pt>
                <c:pt idx="272">
                  <c:v>4.0392063112598615</c:v>
                </c:pt>
                <c:pt idx="273">
                  <c:v>4.0663001035939121</c:v>
                </c:pt>
                <c:pt idx="274">
                  <c:v>4.0879751374611528</c:v>
                </c:pt>
                <c:pt idx="275">
                  <c:v>4.1096501713283935</c:v>
                </c:pt>
                <c:pt idx="276">
                  <c:v>4.131643955693681</c:v>
                </c:pt>
                <c:pt idx="277">
                  <c:v>4.1587377480277317</c:v>
                </c:pt>
                <c:pt idx="278">
                  <c:v>4.1804127818949723</c:v>
                </c:pt>
                <c:pt idx="279">
                  <c:v>4.2183440911626429</c:v>
                </c:pt>
                <c:pt idx="280">
                  <c:v>4.2508566419635034</c:v>
                </c:pt>
                <c:pt idx="281">
                  <c:v>4.283369192764364</c:v>
                </c:pt>
                <c:pt idx="282">
                  <c:v>4.3158817435652255</c:v>
                </c:pt>
                <c:pt idx="283">
                  <c:v>4.3538130528328951</c:v>
                </c:pt>
                <c:pt idx="284">
                  <c:v>4.3863256036337566</c:v>
                </c:pt>
                <c:pt idx="285">
                  <c:v>4.4188381544346162</c:v>
                </c:pt>
                <c:pt idx="286">
                  <c:v>4.4567694637022877</c:v>
                </c:pt>
                <c:pt idx="287">
                  <c:v>4.4892820145031482</c:v>
                </c:pt>
                <c:pt idx="288">
                  <c:v>4.5217945653040088</c:v>
                </c:pt>
                <c:pt idx="289">
                  <c:v>4.5543071161048694</c:v>
                </c:pt>
                <c:pt idx="290">
                  <c:v>4.5922384253725399</c:v>
                </c:pt>
                <c:pt idx="291">
                  <c:v>4.6301697346402095</c:v>
                </c:pt>
                <c:pt idx="292">
                  <c:v>4.6684197944059296</c:v>
                </c:pt>
                <c:pt idx="293">
                  <c:v>4.7009323452067893</c:v>
                </c:pt>
                <c:pt idx="294">
                  <c:v>4.7334448960076507</c:v>
                </c:pt>
                <c:pt idx="295">
                  <c:v>4.7659574468085113</c:v>
                </c:pt>
                <c:pt idx="296">
                  <c:v>4.798469997609371</c:v>
                </c:pt>
                <c:pt idx="297">
                  <c:v>4.8364013068770424</c:v>
                </c:pt>
                <c:pt idx="298">
                  <c:v>4.868913857677903</c:v>
                </c:pt>
                <c:pt idx="299">
                  <c:v>4.9014264084787635</c:v>
                </c:pt>
                <c:pt idx="300">
                  <c:v>4.939357717746435</c:v>
                </c:pt>
                <c:pt idx="301">
                  <c:v>4.9718702685472946</c:v>
                </c:pt>
                <c:pt idx="302">
                  <c:v>5.0043828193481552</c:v>
                </c:pt>
                <c:pt idx="303">
                  <c:v>5.0368953701490167</c:v>
                </c:pt>
                <c:pt idx="304">
                  <c:v>5.0694079209498764</c:v>
                </c:pt>
                <c:pt idx="305">
                  <c:v>5.1019204717507369</c:v>
                </c:pt>
                <c:pt idx="306">
                  <c:v>5.1344330225515984</c:v>
                </c:pt>
                <c:pt idx="307">
                  <c:v>5.166945573352459</c:v>
                </c:pt>
                <c:pt idx="308">
                  <c:v>5.1994581241533195</c:v>
                </c:pt>
                <c:pt idx="309">
                  <c:v>5.2377081839190378</c:v>
                </c:pt>
                <c:pt idx="310">
                  <c:v>5.2702207347198984</c:v>
                </c:pt>
                <c:pt idx="311">
                  <c:v>5.3081520439875698</c:v>
                </c:pt>
                <c:pt idx="312">
                  <c:v>5.3406645947884304</c:v>
                </c:pt>
                <c:pt idx="313">
                  <c:v>5.3785959040561009</c:v>
                </c:pt>
                <c:pt idx="314">
                  <c:v>5.4111084548569615</c:v>
                </c:pt>
                <c:pt idx="315">
                  <c:v>5.443621005657822</c:v>
                </c:pt>
                <c:pt idx="316">
                  <c:v>5.4815523149254926</c:v>
                </c:pt>
                <c:pt idx="317">
                  <c:v>5.514064865726354</c:v>
                </c:pt>
                <c:pt idx="318">
                  <c:v>5.5465774165272137</c:v>
                </c:pt>
                <c:pt idx="319">
                  <c:v>5.5845087257948842</c:v>
                </c:pt>
                <c:pt idx="320">
                  <c:v>5.6332775519961755</c:v>
                </c:pt>
                <c:pt idx="321">
                  <c:v>5.6820463781974659</c:v>
                </c:pt>
                <c:pt idx="322">
                  <c:v>5.7253964459319473</c:v>
                </c:pt>
                <c:pt idx="323">
                  <c:v>5.7690652641644755</c:v>
                </c:pt>
                <c:pt idx="324">
                  <c:v>5.8178340903657668</c:v>
                </c:pt>
                <c:pt idx="325">
                  <c:v>5.8666029165670572</c:v>
                </c:pt>
                <c:pt idx="326">
                  <c:v>5.9153717427683494</c:v>
                </c:pt>
                <c:pt idx="327">
                  <c:v>5.9641405689696398</c:v>
                </c:pt>
                <c:pt idx="328">
                  <c:v>6.0074906367041194</c:v>
                </c:pt>
                <c:pt idx="329">
                  <c:v>6.0508407044386017</c:v>
                </c:pt>
                <c:pt idx="330">
                  <c:v>6.0996095306398921</c:v>
                </c:pt>
                <c:pt idx="331">
                  <c:v>6.1483783568411825</c:v>
                </c:pt>
                <c:pt idx="332">
                  <c:v>6.1917284245756639</c:v>
                </c:pt>
                <c:pt idx="333">
                  <c:v>6.2404972507769552</c:v>
                </c:pt>
                <c:pt idx="334">
                  <c:v>6.2838473185114347</c:v>
                </c:pt>
                <c:pt idx="335">
                  <c:v>6.3329348952107747</c:v>
                </c:pt>
                <c:pt idx="336">
                  <c:v>6.3762849629452543</c:v>
                </c:pt>
                <c:pt idx="337">
                  <c:v>6.4250537891465456</c:v>
                </c:pt>
                <c:pt idx="338">
                  <c:v>6.4684038568810269</c:v>
                </c:pt>
                <c:pt idx="339">
                  <c:v>6.5171726830823182</c:v>
                </c:pt>
                <c:pt idx="340">
                  <c:v>6.5605227508167987</c:v>
                </c:pt>
                <c:pt idx="341">
                  <c:v>6.6038728185512792</c:v>
                </c:pt>
                <c:pt idx="342">
                  <c:v>6.6526416447525705</c:v>
                </c:pt>
                <c:pt idx="343">
                  <c:v>6.6959917124870509</c:v>
                </c:pt>
                <c:pt idx="344">
                  <c:v>6.7393417802215323</c:v>
                </c:pt>
                <c:pt idx="345">
                  <c:v>6.7826918479560128</c:v>
                </c:pt>
                <c:pt idx="346">
                  <c:v>6.8260419156904941</c:v>
                </c:pt>
                <c:pt idx="347">
                  <c:v>6.8697107339230223</c:v>
                </c:pt>
                <c:pt idx="348">
                  <c:v>6.9130608016575028</c:v>
                </c:pt>
                <c:pt idx="349">
                  <c:v>6.9618296278587932</c:v>
                </c:pt>
                <c:pt idx="350">
                  <c:v>7.0160172125268954</c:v>
                </c:pt>
                <c:pt idx="351">
                  <c:v>7.0702047971949957</c:v>
                </c:pt>
                <c:pt idx="352">
                  <c:v>7.1298111403299078</c:v>
                </c:pt>
                <c:pt idx="353">
                  <c:v>7.1839987249980082</c:v>
                </c:pt>
                <c:pt idx="354">
                  <c:v>7.2381863096661094</c:v>
                </c:pt>
                <c:pt idx="355">
                  <c:v>7.2977926528010197</c:v>
                </c:pt>
                <c:pt idx="356">
                  <c:v>7.3519802374691219</c:v>
                </c:pt>
                <c:pt idx="357">
                  <c:v>7.4119053311020808</c:v>
                </c:pt>
                <c:pt idx="358">
                  <c:v>7.4660929157701812</c:v>
                </c:pt>
                <c:pt idx="359">
                  <c:v>7.5256992589050924</c:v>
                </c:pt>
                <c:pt idx="360">
                  <c:v>7.5853056020400036</c:v>
                </c:pt>
                <c:pt idx="361">
                  <c:v>7.6449119451749148</c:v>
                </c:pt>
                <c:pt idx="362">
                  <c:v>7.6990995298430152</c:v>
                </c:pt>
                <c:pt idx="363">
                  <c:v>7.7587058729779272</c:v>
                </c:pt>
                <c:pt idx="364">
                  <c:v>7.8183122161128384</c:v>
                </c:pt>
                <c:pt idx="365">
                  <c:v>7.8779185592477496</c:v>
                </c:pt>
                <c:pt idx="366">
                  <c:v>7.93210614391585</c:v>
                </c:pt>
                <c:pt idx="367">
                  <c:v>7.992031237548809</c:v>
                </c:pt>
                <c:pt idx="368">
                  <c:v>8.051637580683721</c:v>
                </c:pt>
                <c:pt idx="369">
                  <c:v>8.1166626822854404</c:v>
                </c:pt>
                <c:pt idx="370">
                  <c:v>8.1762690254203534</c:v>
                </c:pt>
                <c:pt idx="371">
                  <c:v>8.2358753685552628</c:v>
                </c:pt>
                <c:pt idx="372">
                  <c:v>8.3009004701569857</c:v>
                </c:pt>
                <c:pt idx="373">
                  <c:v>8.3605068132918969</c:v>
                </c:pt>
                <c:pt idx="374">
                  <c:v>8.436369431827238</c:v>
                </c:pt>
                <c:pt idx="375">
                  <c:v>8.5071320423938168</c:v>
                </c:pt>
                <c:pt idx="376">
                  <c:v>8.5829946609291579</c:v>
                </c:pt>
                <c:pt idx="377">
                  <c:v>8.6534385209976907</c:v>
                </c:pt>
                <c:pt idx="378">
                  <c:v>8.7184636225994101</c:v>
                </c:pt>
                <c:pt idx="379">
                  <c:v>8.7943262411347511</c:v>
                </c:pt>
                <c:pt idx="380">
                  <c:v>8.870188859670094</c:v>
                </c:pt>
                <c:pt idx="381">
                  <c:v>8.9460514782054368</c:v>
                </c:pt>
                <c:pt idx="382">
                  <c:v>9.0110765798071562</c:v>
                </c:pt>
                <c:pt idx="383">
                  <c:v>9.0872579488405449</c:v>
                </c:pt>
                <c:pt idx="384">
                  <c:v>9.1631205673758878</c:v>
                </c:pt>
                <c:pt idx="385">
                  <c:v>9.2389831859112288</c:v>
                </c:pt>
                <c:pt idx="386">
                  <c:v>9.3040082875129482</c:v>
                </c:pt>
                <c:pt idx="387">
                  <c:v>9.3690333891146711</c:v>
                </c:pt>
                <c:pt idx="388">
                  <c:v>9.434058490716394</c:v>
                </c:pt>
                <c:pt idx="389">
                  <c:v>9.5099211092517333</c:v>
                </c:pt>
                <c:pt idx="390">
                  <c:v>9.5749462108534544</c:v>
                </c:pt>
                <c:pt idx="391">
                  <c:v>9.6511275798868432</c:v>
                </c:pt>
                <c:pt idx="392">
                  <c:v>9.7161526814885644</c:v>
                </c:pt>
                <c:pt idx="393">
                  <c:v>9.7974340584907171</c:v>
                </c:pt>
                <c:pt idx="394">
                  <c:v>9.8787154354928699</c:v>
                </c:pt>
                <c:pt idx="395">
                  <c:v>9.9599968124950209</c:v>
                </c:pt>
                <c:pt idx="396">
                  <c:v>10.035859431030364</c:v>
                </c:pt>
                <c:pt idx="397">
                  <c:v>10.117140808032513</c:v>
                </c:pt>
                <c:pt idx="398">
                  <c:v>10.198740935532712</c:v>
                </c:pt>
                <c:pt idx="399">
                  <c:v>10.280022312534863</c:v>
                </c:pt>
                <c:pt idx="400">
                  <c:v>10.366722448003827</c:v>
                </c:pt>
                <c:pt idx="401">
                  <c:v>10.448003825005976</c:v>
                </c:pt>
                <c:pt idx="402">
                  <c:v>10.534703960474937</c:v>
                </c:pt>
                <c:pt idx="403">
                  <c:v>10.615985337477092</c:v>
                </c:pt>
                <c:pt idx="404">
                  <c:v>10.697266714479243</c:v>
                </c:pt>
                <c:pt idx="405">
                  <c:v>10.78428560044625</c:v>
                </c:pt>
                <c:pt idx="406">
                  <c:v>10.870985735915214</c:v>
                </c:pt>
                <c:pt idx="407">
                  <c:v>10.957685871384173</c:v>
                </c:pt>
                <c:pt idx="408">
                  <c:v>11.044386006853138</c:v>
                </c:pt>
                <c:pt idx="409">
                  <c:v>11.125667383855289</c:v>
                </c:pt>
                <c:pt idx="410">
                  <c:v>11.212367519324248</c:v>
                </c:pt>
                <c:pt idx="411">
                  <c:v>11.299386405291258</c:v>
                </c:pt>
                <c:pt idx="412">
                  <c:v>11.386086540760219</c:v>
                </c:pt>
                <c:pt idx="413">
                  <c:v>11.483624193162802</c:v>
                </c:pt>
                <c:pt idx="414">
                  <c:v>11.570324328631765</c:v>
                </c:pt>
                <c:pt idx="415">
                  <c:v>11.657024464100726</c:v>
                </c:pt>
                <c:pt idx="416">
                  <c:v>11.743724599569688</c:v>
                </c:pt>
                <c:pt idx="417">
                  <c:v>11.836162244003507</c:v>
                </c:pt>
                <c:pt idx="418">
                  <c:v>11.922862379472468</c:v>
                </c:pt>
                <c:pt idx="419">
                  <c:v>12.014981273408239</c:v>
                </c:pt>
                <c:pt idx="420">
                  <c:v>12.101681408877203</c:v>
                </c:pt>
                <c:pt idx="421">
                  <c:v>12.193800302812974</c:v>
                </c:pt>
                <c:pt idx="422">
                  <c:v>12.280500438281935</c:v>
                </c:pt>
                <c:pt idx="423">
                  <c:v>12.367519324248946</c:v>
                </c:pt>
                <c:pt idx="424">
                  <c:v>12.459638218184717</c:v>
                </c:pt>
                <c:pt idx="425">
                  <c:v>12.546338353653679</c:v>
                </c:pt>
                <c:pt idx="426">
                  <c:v>12.65471352298988</c:v>
                </c:pt>
                <c:pt idx="427">
                  <c:v>12.757669933859273</c:v>
                </c:pt>
                <c:pt idx="428">
                  <c:v>12.866045103195473</c:v>
                </c:pt>
                <c:pt idx="429">
                  <c:v>12.974739023029723</c:v>
                </c:pt>
                <c:pt idx="430">
                  <c:v>13.077695433899116</c:v>
                </c:pt>
                <c:pt idx="431">
                  <c:v>13.186070603235319</c:v>
                </c:pt>
                <c:pt idx="432">
                  <c:v>13.294445772571519</c:v>
                </c:pt>
                <c:pt idx="433">
                  <c:v>13.402820941907722</c:v>
                </c:pt>
                <c:pt idx="434">
                  <c:v>13.511514861741972</c:v>
                </c:pt>
                <c:pt idx="435">
                  <c:v>13.619890031078175</c:v>
                </c:pt>
                <c:pt idx="436">
                  <c:v>13.728265200414377</c:v>
                </c:pt>
                <c:pt idx="437">
                  <c:v>13.825802852816958</c:v>
                </c:pt>
                <c:pt idx="438">
                  <c:v>13.92334050521954</c:v>
                </c:pt>
                <c:pt idx="439">
                  <c:v>14.032034425053791</c:v>
                </c:pt>
                <c:pt idx="440">
                  <c:v>14.145828352856803</c:v>
                </c:pt>
                <c:pt idx="441">
                  <c:v>14.254203522193004</c:v>
                </c:pt>
                <c:pt idx="442">
                  <c:v>14.367997449996016</c:v>
                </c:pt>
                <c:pt idx="443">
                  <c:v>14.481791377799029</c:v>
                </c:pt>
                <c:pt idx="444">
                  <c:v>14.595904056100089</c:v>
                </c:pt>
                <c:pt idx="445">
                  <c:v>14.709697983903101</c:v>
                </c:pt>
                <c:pt idx="446">
                  <c:v>14.823491911706112</c:v>
                </c:pt>
                <c:pt idx="447">
                  <c:v>14.937285839509126</c:v>
                </c:pt>
                <c:pt idx="448">
                  <c:v>15.056498525778947</c:v>
                </c:pt>
                <c:pt idx="449">
                  <c:v>15.170611204080007</c:v>
                </c:pt>
                <c:pt idx="450">
                  <c:v>15.28982389034983</c:v>
                </c:pt>
                <c:pt idx="451">
                  <c:v>15.409036576619654</c:v>
                </c:pt>
                <c:pt idx="452">
                  <c:v>15.528249262889474</c:v>
                </c:pt>
                <c:pt idx="453">
                  <c:v>15.647780699657345</c:v>
                </c:pt>
                <c:pt idx="454">
                  <c:v>15.766993385927165</c:v>
                </c:pt>
                <c:pt idx="455">
                  <c:v>15.891624830663797</c:v>
                </c:pt>
                <c:pt idx="456">
                  <c:v>16.010837516933623</c:v>
                </c:pt>
                <c:pt idx="457">
                  <c:v>16.135468961670252</c:v>
                </c:pt>
                <c:pt idx="458">
                  <c:v>16.265837915371744</c:v>
                </c:pt>
                <c:pt idx="459">
                  <c:v>16.390469360108376</c:v>
                </c:pt>
                <c:pt idx="460">
                  <c:v>16.515100804845009</c:v>
                </c:pt>
                <c:pt idx="461">
                  <c:v>16.645151008048451</c:v>
                </c:pt>
                <c:pt idx="462">
                  <c:v>16.775519961749939</c:v>
                </c:pt>
                <c:pt idx="463">
                  <c:v>16.921826440353815</c:v>
                </c:pt>
                <c:pt idx="464">
                  <c:v>17.068132918957687</c:v>
                </c:pt>
                <c:pt idx="465">
                  <c:v>17.214439397561559</c:v>
                </c:pt>
                <c:pt idx="466">
                  <c:v>17.361064626663481</c:v>
                </c:pt>
                <c:pt idx="467">
                  <c:v>17.507371105267353</c:v>
                </c:pt>
                <c:pt idx="468">
                  <c:v>17.637421308470795</c:v>
                </c:pt>
                <c:pt idx="469">
                  <c:v>17.767471511674238</c:v>
                </c:pt>
                <c:pt idx="470">
                  <c:v>17.914096740776159</c:v>
                </c:pt>
                <c:pt idx="471">
                  <c:v>18.044146943979602</c:v>
                </c:pt>
                <c:pt idx="472">
                  <c:v>18.190453422583474</c:v>
                </c:pt>
                <c:pt idx="473">
                  <c:v>18.336759901187346</c:v>
                </c:pt>
                <c:pt idx="474">
                  <c:v>18.483385130289268</c:v>
                </c:pt>
                <c:pt idx="475">
                  <c:v>18.63511036735995</c:v>
                </c:pt>
                <c:pt idx="476">
                  <c:v>18.781416845963825</c:v>
                </c:pt>
                <c:pt idx="477">
                  <c:v>18.933460833532553</c:v>
                </c:pt>
                <c:pt idx="478">
                  <c:v>19.085186070603235</c:v>
                </c:pt>
                <c:pt idx="479">
                  <c:v>19.236911307673921</c:v>
                </c:pt>
                <c:pt idx="480">
                  <c:v>19.388636544744603</c:v>
                </c:pt>
                <c:pt idx="481">
                  <c:v>19.546099290780145</c:v>
                </c:pt>
                <c:pt idx="482">
                  <c:v>19.714080803251257</c:v>
                </c:pt>
                <c:pt idx="483">
                  <c:v>19.865806040321939</c:v>
                </c:pt>
                <c:pt idx="484">
                  <c:v>20.022950035859431</c:v>
                </c:pt>
                <c:pt idx="485">
                  <c:v>20.180412781894976</c:v>
                </c:pt>
                <c:pt idx="486">
                  <c:v>20.332138018965658</c:v>
                </c:pt>
                <c:pt idx="487">
                  <c:v>20.489282014503146</c:v>
                </c:pt>
                <c:pt idx="488">
                  <c:v>20.646744760538692</c:v>
                </c:pt>
                <c:pt idx="489">
                  <c:v>20.798469997609374</c:v>
                </c:pt>
                <c:pt idx="490">
                  <c:v>20.955613993146862</c:v>
                </c:pt>
                <c:pt idx="491">
                  <c:v>21.134751773049643</c:v>
                </c:pt>
                <c:pt idx="492">
                  <c:v>21.313570802454379</c:v>
                </c:pt>
                <c:pt idx="493">
                  <c:v>21.492389831859111</c:v>
                </c:pt>
                <c:pt idx="494">
                  <c:v>21.66579010279704</c:v>
                </c:pt>
                <c:pt idx="495">
                  <c:v>21.828671607299388</c:v>
                </c:pt>
                <c:pt idx="496">
                  <c:v>22.007490636704119</c:v>
                </c:pt>
                <c:pt idx="497">
                  <c:v>22.170053390708425</c:v>
                </c:pt>
                <c:pt idx="498">
                  <c:v>22.338353653677583</c:v>
                </c:pt>
                <c:pt idx="499">
                  <c:v>22.528010200015938</c:v>
                </c:pt>
                <c:pt idx="500">
                  <c:v>22.71224798788748</c:v>
                </c:pt>
                <c:pt idx="501">
                  <c:v>22.902223284723885</c:v>
                </c:pt>
                <c:pt idx="502">
                  <c:v>23.09187983106224</c:v>
                </c:pt>
                <c:pt idx="503">
                  <c:v>23.265280102000162</c:v>
                </c:pt>
                <c:pt idx="504">
                  <c:v>23.455255398836563</c:v>
                </c:pt>
                <c:pt idx="505">
                  <c:v>23.628655669774485</c:v>
                </c:pt>
                <c:pt idx="506">
                  <c:v>23.823730974579647</c:v>
                </c:pt>
                <c:pt idx="507">
                  <c:v>24.019125029882858</c:v>
                </c:pt>
                <c:pt idx="508">
                  <c:v>24.214200334688023</c:v>
                </c:pt>
                <c:pt idx="509">
                  <c:v>24.409275639493185</c:v>
                </c:pt>
                <c:pt idx="510">
                  <c:v>24.599250936329589</c:v>
                </c:pt>
                <c:pt idx="511">
                  <c:v>24.794326241134755</c:v>
                </c:pt>
                <c:pt idx="512">
                  <c:v>24.989720296437962</c:v>
                </c:pt>
                <c:pt idx="513">
                  <c:v>25.184795601243128</c:v>
                </c:pt>
                <c:pt idx="514">
                  <c:v>25.385289664515099</c:v>
                </c:pt>
                <c:pt idx="515">
                  <c:v>25.586102478285127</c:v>
                </c:pt>
                <c:pt idx="516">
                  <c:v>25.781177783090289</c:v>
                </c:pt>
                <c:pt idx="517">
                  <c:v>25.981671846362264</c:v>
                </c:pt>
                <c:pt idx="518">
                  <c:v>26.177065901665472</c:v>
                </c:pt>
                <c:pt idx="519">
                  <c:v>26.372141206470637</c:v>
                </c:pt>
                <c:pt idx="520">
                  <c:v>26.588891545143039</c:v>
                </c:pt>
                <c:pt idx="521">
                  <c:v>26.811379392780303</c:v>
                </c:pt>
                <c:pt idx="522">
                  <c:v>27.033548489919518</c:v>
                </c:pt>
                <c:pt idx="523">
                  <c:v>27.256036337556779</c:v>
                </c:pt>
                <c:pt idx="524">
                  <c:v>27.478205434695994</c:v>
                </c:pt>
                <c:pt idx="525">
                  <c:v>27.684118256434775</c:v>
                </c:pt>
                <c:pt idx="526">
                  <c:v>27.906606104072036</c:v>
                </c:pt>
                <c:pt idx="527">
                  <c:v>28.128775201211255</c:v>
                </c:pt>
                <c:pt idx="528">
                  <c:v>28.351263048848516</c:v>
                </c:pt>
                <c:pt idx="529">
                  <c:v>28.573432145987727</c:v>
                </c:pt>
                <c:pt idx="530">
                  <c:v>28.795601243126942</c:v>
                </c:pt>
                <c:pt idx="531">
                  <c:v>29.018089090764207</c:v>
                </c:pt>
                <c:pt idx="532">
                  <c:v>29.245676946370228</c:v>
                </c:pt>
                <c:pt idx="533">
                  <c:v>29.495258586341546</c:v>
                </c:pt>
                <c:pt idx="534">
                  <c:v>29.739102717347997</c:v>
                </c:pt>
                <c:pt idx="535">
                  <c:v>29.967009323452071</c:v>
                </c:pt>
                <c:pt idx="536">
                  <c:v>30.194597179058093</c:v>
                </c:pt>
                <c:pt idx="537">
                  <c:v>30.422185034664118</c:v>
                </c:pt>
                <c:pt idx="538">
                  <c:v>30.650091640768192</c:v>
                </c:pt>
                <c:pt idx="539">
                  <c:v>30.904773288708263</c:v>
                </c:pt>
                <c:pt idx="540">
                  <c:v>31.154354928679577</c:v>
                </c:pt>
                <c:pt idx="541">
                  <c:v>31.409036576619652</c:v>
                </c:pt>
                <c:pt idx="542">
                  <c:v>31.669455733524583</c:v>
                </c:pt>
                <c:pt idx="543">
                  <c:v>31.92286237947247</c:v>
                </c:pt>
                <c:pt idx="544">
                  <c:v>32.184237787871545</c:v>
                </c:pt>
                <c:pt idx="545">
                  <c:v>32.439238186309666</c:v>
                </c:pt>
                <c:pt idx="546">
                  <c:v>32.694238584747794</c:v>
                </c:pt>
                <c:pt idx="547">
                  <c:v>32.955613993146869</c:v>
                </c:pt>
                <c:pt idx="548">
                  <c:v>33.21061439158499</c:v>
                </c:pt>
                <c:pt idx="549">
                  <c:v>33.468802295003591</c:v>
                </c:pt>
                <c:pt idx="550">
                  <c:v>33.746115228305051</c:v>
                </c:pt>
                <c:pt idx="551">
                  <c:v>34.023428161606503</c:v>
                </c:pt>
                <c:pt idx="552">
                  <c:v>34.297553589927489</c:v>
                </c:pt>
                <c:pt idx="553">
                  <c:v>34.571679018248467</c:v>
                </c:pt>
                <c:pt idx="554">
                  <c:v>34.842616941588965</c:v>
                </c:pt>
                <c:pt idx="555">
                  <c:v>35.116742369909957</c:v>
                </c:pt>
                <c:pt idx="556">
                  <c:v>35.387680293250462</c:v>
                </c:pt>
                <c:pt idx="557">
                  <c:v>35.658618216590966</c:v>
                </c:pt>
                <c:pt idx="558">
                  <c:v>35.929556139931471</c:v>
                </c:pt>
                <c:pt idx="559">
                  <c:v>36.206869073232937</c:v>
                </c:pt>
                <c:pt idx="560">
                  <c:v>36.509682046378202</c:v>
                </c:pt>
                <c:pt idx="561">
                  <c:v>36.809307514542986</c:v>
                </c:pt>
                <c:pt idx="562">
                  <c:v>37.108932982707792</c:v>
                </c:pt>
                <c:pt idx="563">
                  <c:v>37.411745955853057</c:v>
                </c:pt>
                <c:pt idx="564">
                  <c:v>37.708183919037381</c:v>
                </c:pt>
                <c:pt idx="565">
                  <c:v>38.01418439716312</c:v>
                </c:pt>
                <c:pt idx="566">
                  <c:v>38.316997370308393</c:v>
                </c:pt>
                <c:pt idx="567">
                  <c:v>38.61343533349271</c:v>
                </c:pt>
                <c:pt idx="568">
                  <c:v>38.919435811618456</c:v>
                </c:pt>
                <c:pt idx="569">
                  <c:v>39.228623794724683</c:v>
                </c:pt>
                <c:pt idx="570">
                  <c:v>39.553749302733287</c:v>
                </c:pt>
                <c:pt idx="571">
                  <c:v>39.866124790819988</c:v>
                </c:pt>
                <c:pt idx="572">
                  <c:v>40.181687783887163</c:v>
                </c:pt>
                <c:pt idx="573">
                  <c:v>40.497250776954338</c:v>
                </c:pt>
                <c:pt idx="574">
                  <c:v>40.80962626504104</c:v>
                </c:pt>
                <c:pt idx="575">
                  <c:v>41.125189258108222</c:v>
                </c:pt>
                <c:pt idx="576">
                  <c:v>41.44075225117539</c:v>
                </c:pt>
                <c:pt idx="577">
                  <c:v>41.769065264164475</c:v>
                </c:pt>
                <c:pt idx="578">
                  <c:v>42.100565782134034</c:v>
                </c:pt>
                <c:pt idx="579">
                  <c:v>42.438441310064555</c:v>
                </c:pt>
                <c:pt idx="580">
                  <c:v>42.773129333014587</c:v>
                </c:pt>
                <c:pt idx="581">
                  <c:v>43.111004860945101</c:v>
                </c:pt>
                <c:pt idx="582">
                  <c:v>43.461630408797518</c:v>
                </c:pt>
                <c:pt idx="583">
                  <c:v>43.818630966610883</c:v>
                </c:pt>
                <c:pt idx="584">
                  <c:v>44.156506494541397</c:v>
                </c:pt>
                <c:pt idx="585">
                  <c:v>44.503944537413346</c:v>
                </c:pt>
                <c:pt idx="586">
                  <c:v>44.854570085265763</c:v>
                </c:pt>
                <c:pt idx="587">
                  <c:v>45.208383138098654</c:v>
                </c:pt>
                <c:pt idx="588">
                  <c:v>45.559008685951078</c:v>
                </c:pt>
                <c:pt idx="589">
                  <c:v>45.912821738783968</c:v>
                </c:pt>
                <c:pt idx="590">
                  <c:v>46.26982229659734</c:v>
                </c:pt>
                <c:pt idx="591">
                  <c:v>46.64594788429357</c:v>
                </c:pt>
                <c:pt idx="592">
                  <c:v>47.002948442106941</c:v>
                </c:pt>
                <c:pt idx="593">
                  <c:v>47.359948999920313</c:v>
                </c:pt>
                <c:pt idx="594">
                  <c:v>47.739262092597023</c:v>
                </c:pt>
                <c:pt idx="595">
                  <c:v>48.118575185273727</c:v>
                </c:pt>
                <c:pt idx="596">
                  <c:v>48.488325763009009</c:v>
                </c:pt>
                <c:pt idx="597">
                  <c:v>48.874013865646667</c:v>
                </c:pt>
                <c:pt idx="598">
                  <c:v>49.262889473264806</c:v>
                </c:pt>
                <c:pt idx="599">
                  <c:v>49.658140090843901</c:v>
                </c:pt>
                <c:pt idx="600">
                  <c:v>50.043828193481559</c:v>
                </c:pt>
                <c:pt idx="601">
                  <c:v>50.435891306080173</c:v>
                </c:pt>
                <c:pt idx="602">
                  <c:v>50.840704438600689</c:v>
                </c:pt>
                <c:pt idx="603">
                  <c:v>51.242330066140724</c:v>
                </c:pt>
                <c:pt idx="604">
                  <c:v>51.64395569368078</c:v>
                </c:pt>
                <c:pt idx="605">
                  <c:v>52.067893856084154</c:v>
                </c:pt>
                <c:pt idx="606">
                  <c:v>52.488644513507055</c:v>
                </c:pt>
                <c:pt idx="607">
                  <c:v>52.890270141047097</c:v>
                </c:pt>
                <c:pt idx="608">
                  <c:v>53.30783329348953</c:v>
                </c:pt>
                <c:pt idx="609">
                  <c:v>53.725396445931949</c:v>
                </c:pt>
                <c:pt idx="610">
                  <c:v>54.142959598374375</c:v>
                </c:pt>
                <c:pt idx="611">
                  <c:v>54.57008526575823</c:v>
                </c:pt>
                <c:pt idx="612">
                  <c:v>55.009960953063988</c:v>
                </c:pt>
                <c:pt idx="613">
                  <c:v>55.449836640369753</c:v>
                </c:pt>
                <c:pt idx="614">
                  <c:v>55.883337317714563</c:v>
                </c:pt>
                <c:pt idx="615">
                  <c:v>56.316837995059373</c:v>
                </c:pt>
                <c:pt idx="616">
                  <c:v>56.763088692326086</c:v>
                </c:pt>
                <c:pt idx="617">
                  <c:v>57.196589369670896</c:v>
                </c:pt>
                <c:pt idx="618">
                  <c:v>57.646027571918083</c:v>
                </c:pt>
                <c:pt idx="619">
                  <c:v>58.089090764204322</c:v>
                </c:pt>
                <c:pt idx="620">
                  <c:v>58.541716471431982</c:v>
                </c:pt>
                <c:pt idx="621">
                  <c:v>58.994342178659657</c:v>
                </c:pt>
                <c:pt idx="622">
                  <c:v>59.450155390867799</c:v>
                </c:pt>
                <c:pt idx="623">
                  <c:v>59.921906127978332</c:v>
                </c:pt>
                <c:pt idx="624">
                  <c:v>60.406406885010753</c:v>
                </c:pt>
                <c:pt idx="625">
                  <c:v>60.881345127101767</c:v>
                </c:pt>
                <c:pt idx="626">
                  <c:v>61.359470874173248</c:v>
                </c:pt>
                <c:pt idx="627">
                  <c:v>61.853534146147112</c:v>
                </c:pt>
                <c:pt idx="628">
                  <c:v>62.334847398199059</c:v>
                </c:pt>
                <c:pt idx="629">
                  <c:v>62.81297314527054</c:v>
                </c:pt>
                <c:pt idx="630">
                  <c:v>63.300661407283457</c:v>
                </c:pt>
                <c:pt idx="631">
                  <c:v>63.794724679257321</c:v>
                </c:pt>
                <c:pt idx="632">
                  <c:v>64.288787951231186</c:v>
                </c:pt>
                <c:pt idx="633">
                  <c:v>64.792413738146465</c:v>
                </c:pt>
                <c:pt idx="634">
                  <c:v>65.267351980237464</c:v>
                </c:pt>
                <c:pt idx="635">
                  <c:v>65.707227667543236</c:v>
                </c:pt>
                <c:pt idx="636">
                  <c:v>66.108853295083279</c:v>
                </c:pt>
                <c:pt idx="637">
                  <c:v>66.440353813052837</c:v>
                </c:pt>
                <c:pt idx="638">
                  <c:v>66.717666746354283</c:v>
                </c:pt>
                <c:pt idx="639">
                  <c:v>66.912104550163363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9F-4E06-AC8C-1BBA26828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359687"/>
        <c:axId val="236363271"/>
      </c:lineChart>
      <c:catAx>
        <c:axId val="23635968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6363271"/>
        <c:crosses val="autoZero"/>
        <c:auto val="1"/>
        <c:lblAlgn val="ctr"/>
        <c:lblOffset val="100"/>
        <c:noMultiLvlLbl val="0"/>
      </c:catAx>
      <c:valAx>
        <c:axId val="236363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6359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'A11-4'!$F$1</c:f>
              <c:strCache>
                <c:ptCount val="1"/>
                <c:pt idx="0">
                  <c:v>Tensão (MPa)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'A11-4'!$C$2:$C$715</c:f>
              <c:numCache>
                <c:formatCode>0.00</c:formatCode>
                <c:ptCount val="714"/>
                <c:pt idx="0">
                  <c:v>1.1166999999999999E-4</c:v>
                </c:pt>
                <c:pt idx="1">
                  <c:v>6.5605999999999998E-3</c:v>
                </c:pt>
                <c:pt idx="2">
                  <c:v>6.6163999999999997E-3</c:v>
                </c:pt>
                <c:pt idx="3">
                  <c:v>6.6722000000000005E-3</c:v>
                </c:pt>
                <c:pt idx="4">
                  <c:v>6.7279999999999996E-3</c:v>
                </c:pt>
                <c:pt idx="5">
                  <c:v>6.7840000000000001E-3</c:v>
                </c:pt>
                <c:pt idx="6">
                  <c:v>6.8379999999999995E-3</c:v>
                </c:pt>
                <c:pt idx="7">
                  <c:v>6.8955999999999991E-3</c:v>
                </c:pt>
                <c:pt idx="8">
                  <c:v>6.9496000000000002E-3</c:v>
                </c:pt>
                <c:pt idx="9">
                  <c:v>7.0071999999999999E-3</c:v>
                </c:pt>
                <c:pt idx="10">
                  <c:v>7.0612000000000001E-3</c:v>
                </c:pt>
                <c:pt idx="11">
                  <c:v>7.1189999999999995E-3</c:v>
                </c:pt>
                <c:pt idx="12">
                  <c:v>7.1730000000000006E-3</c:v>
                </c:pt>
                <c:pt idx="13">
                  <c:v>7.2287999999999996E-3</c:v>
                </c:pt>
                <c:pt idx="14">
                  <c:v>7.2845999999999996E-3</c:v>
                </c:pt>
                <c:pt idx="15">
                  <c:v>7.3663999999999995E-3</c:v>
                </c:pt>
                <c:pt idx="16">
                  <c:v>7.4224E-3</c:v>
                </c:pt>
                <c:pt idx="17">
                  <c:v>7.5060000000000005E-3</c:v>
                </c:pt>
                <c:pt idx="18">
                  <c:v>7.5880000000000001E-3</c:v>
                </c:pt>
                <c:pt idx="19">
                  <c:v>7.6455999999999998E-3</c:v>
                </c:pt>
                <c:pt idx="20">
                  <c:v>7.7276000000000003E-3</c:v>
                </c:pt>
                <c:pt idx="21">
                  <c:v>7.8112000000000008E-3</c:v>
                </c:pt>
                <c:pt idx="22">
                  <c:v>7.8931999999999995E-3</c:v>
                </c:pt>
                <c:pt idx="23">
                  <c:v>7.9769999999999997E-3</c:v>
                </c:pt>
                <c:pt idx="24">
                  <c:v>8.0625999999999996E-3</c:v>
                </c:pt>
                <c:pt idx="25">
                  <c:v>8.1444000000000013E-3</c:v>
                </c:pt>
                <c:pt idx="26">
                  <c:v>8.2281999999999998E-3</c:v>
                </c:pt>
                <c:pt idx="27">
                  <c:v>8.3099999999999997E-3</c:v>
                </c:pt>
                <c:pt idx="28">
                  <c:v>8.3937999999999999E-3</c:v>
                </c:pt>
                <c:pt idx="29">
                  <c:v>8.4776000000000001E-3</c:v>
                </c:pt>
                <c:pt idx="30">
                  <c:v>8.5614000000000003E-3</c:v>
                </c:pt>
                <c:pt idx="31">
                  <c:v>8.6449999999999999E-3</c:v>
                </c:pt>
                <c:pt idx="32">
                  <c:v>8.7288000000000001E-3</c:v>
                </c:pt>
                <c:pt idx="33">
                  <c:v>8.8088000000000003E-3</c:v>
                </c:pt>
                <c:pt idx="34">
                  <c:v>8.8944000000000002E-3</c:v>
                </c:pt>
                <c:pt idx="35">
                  <c:v>8.9781999999999987E-3</c:v>
                </c:pt>
                <c:pt idx="36">
                  <c:v>9.0620000000000006E-3</c:v>
                </c:pt>
                <c:pt idx="37">
                  <c:v>9.1438000000000005E-3</c:v>
                </c:pt>
                <c:pt idx="38">
                  <c:v>9.2276000000000007E-3</c:v>
                </c:pt>
                <c:pt idx="39">
                  <c:v>9.3113999999999992E-3</c:v>
                </c:pt>
                <c:pt idx="40">
                  <c:v>9.3951999999999994E-3</c:v>
                </c:pt>
                <c:pt idx="41">
                  <c:v>9.478799999999999E-3</c:v>
                </c:pt>
                <c:pt idx="42">
                  <c:v>9.5608000000000012E-3</c:v>
                </c:pt>
                <c:pt idx="43">
                  <c:v>9.6445999999999997E-3</c:v>
                </c:pt>
                <c:pt idx="44">
                  <c:v>9.7263999999999996E-3</c:v>
                </c:pt>
                <c:pt idx="45">
                  <c:v>9.8119999999999995E-3</c:v>
                </c:pt>
                <c:pt idx="46">
                  <c:v>9.894E-3</c:v>
                </c:pt>
                <c:pt idx="47">
                  <c:v>9.9775999999999997E-3</c:v>
                </c:pt>
                <c:pt idx="48">
                  <c:v>1.00596E-2</c:v>
                </c:pt>
                <c:pt idx="49">
                  <c:v>1.01434E-2</c:v>
                </c:pt>
                <c:pt idx="50">
                  <c:v>1.0227E-2</c:v>
                </c:pt>
                <c:pt idx="51">
                  <c:v>1.03108E-2</c:v>
                </c:pt>
                <c:pt idx="52">
                  <c:v>1.03946E-2</c:v>
                </c:pt>
                <c:pt idx="53">
                  <c:v>1.0476399999999999E-2</c:v>
                </c:pt>
                <c:pt idx="54">
                  <c:v>1.0560199999999999E-2</c:v>
                </c:pt>
                <c:pt idx="55">
                  <c:v>1.0644000000000001E-2</c:v>
                </c:pt>
                <c:pt idx="56">
                  <c:v>1.0727800000000001E-2</c:v>
                </c:pt>
                <c:pt idx="57">
                  <c:v>1.0811400000000001E-2</c:v>
                </c:pt>
                <c:pt idx="58">
                  <c:v>1.0895200000000001E-2</c:v>
                </c:pt>
                <c:pt idx="59">
                  <c:v>1.1006999999999999E-2</c:v>
                </c:pt>
                <c:pt idx="60">
                  <c:v>1.11168E-2</c:v>
                </c:pt>
                <c:pt idx="61">
                  <c:v>1.1228400000000001E-2</c:v>
                </c:pt>
                <c:pt idx="62">
                  <c:v>1.1339999999999999E-2</c:v>
                </c:pt>
                <c:pt idx="63">
                  <c:v>1.1449800000000001E-2</c:v>
                </c:pt>
                <c:pt idx="64">
                  <c:v>1.15616E-2</c:v>
                </c:pt>
                <c:pt idx="65">
                  <c:v>1.16732E-2</c:v>
                </c:pt>
                <c:pt idx="66">
                  <c:v>1.1782999999999998E-2</c:v>
                </c:pt>
                <c:pt idx="67">
                  <c:v>1.18946E-2</c:v>
                </c:pt>
                <c:pt idx="68">
                  <c:v>1.2006399999999999E-2</c:v>
                </c:pt>
                <c:pt idx="69">
                  <c:v>1.2116199999999999E-2</c:v>
                </c:pt>
                <c:pt idx="70">
                  <c:v>1.2225999999999999E-2</c:v>
                </c:pt>
                <c:pt idx="71">
                  <c:v>1.2337599999999999E-2</c:v>
                </c:pt>
                <c:pt idx="72">
                  <c:v>1.2449200000000001E-2</c:v>
                </c:pt>
                <c:pt idx="73">
                  <c:v>1.2560999999999999E-2</c:v>
                </c:pt>
                <c:pt idx="74">
                  <c:v>1.2672600000000001E-2</c:v>
                </c:pt>
                <c:pt idx="75">
                  <c:v>1.27844E-2</c:v>
                </c:pt>
                <c:pt idx="76">
                  <c:v>1.2896000000000001E-2</c:v>
                </c:pt>
                <c:pt idx="77">
                  <c:v>1.3005800000000001E-2</c:v>
                </c:pt>
                <c:pt idx="78">
                  <c:v>1.31174E-2</c:v>
                </c:pt>
                <c:pt idx="79">
                  <c:v>1.3229200000000002E-2</c:v>
                </c:pt>
                <c:pt idx="80">
                  <c:v>1.3339E-2</c:v>
                </c:pt>
                <c:pt idx="81">
                  <c:v>1.34488E-2</c:v>
                </c:pt>
                <c:pt idx="82">
                  <c:v>1.3560399999999998E-2</c:v>
                </c:pt>
                <c:pt idx="83">
                  <c:v>1.3672E-2</c:v>
                </c:pt>
                <c:pt idx="84">
                  <c:v>1.37818E-2</c:v>
                </c:pt>
                <c:pt idx="85">
                  <c:v>1.3893599999999999E-2</c:v>
                </c:pt>
                <c:pt idx="86">
                  <c:v>1.4005200000000001E-2</c:v>
                </c:pt>
                <c:pt idx="87">
                  <c:v>1.4116800000000001E-2</c:v>
                </c:pt>
                <c:pt idx="88">
                  <c:v>1.4228600000000001E-2</c:v>
                </c:pt>
                <c:pt idx="89">
                  <c:v>1.4340200000000001E-2</c:v>
                </c:pt>
                <c:pt idx="90">
                  <c:v>1.4478E-2</c:v>
                </c:pt>
                <c:pt idx="91">
                  <c:v>1.4589600000000001E-2</c:v>
                </c:pt>
                <c:pt idx="92">
                  <c:v>1.47274E-2</c:v>
                </c:pt>
                <c:pt idx="93">
                  <c:v>1.4866999999999998E-2</c:v>
                </c:pt>
                <c:pt idx="94">
                  <c:v>1.50046E-2</c:v>
                </c:pt>
                <c:pt idx="95">
                  <c:v>1.5144200000000002E-2</c:v>
                </c:pt>
                <c:pt idx="96">
                  <c:v>1.52838E-2</c:v>
                </c:pt>
                <c:pt idx="97">
                  <c:v>1.5421600000000001E-2</c:v>
                </c:pt>
                <c:pt idx="98">
                  <c:v>1.5561199999999999E-2</c:v>
                </c:pt>
                <c:pt idx="99">
                  <c:v>1.5700800000000001E-2</c:v>
                </c:pt>
                <c:pt idx="100">
                  <c:v>1.5838399999999999E-2</c:v>
                </c:pt>
                <c:pt idx="101">
                  <c:v>1.5978000000000003E-2</c:v>
                </c:pt>
                <c:pt idx="102">
                  <c:v>1.6117599999999999E-2</c:v>
                </c:pt>
                <c:pt idx="103">
                  <c:v>1.62536E-2</c:v>
                </c:pt>
                <c:pt idx="104">
                  <c:v>1.6395E-2</c:v>
                </c:pt>
                <c:pt idx="105">
                  <c:v>1.65346E-2</c:v>
                </c:pt>
                <c:pt idx="106">
                  <c:v>1.6672199999999998E-2</c:v>
                </c:pt>
                <c:pt idx="107">
                  <c:v>1.6811799999999998E-2</c:v>
                </c:pt>
                <c:pt idx="108">
                  <c:v>1.6949599999999999E-2</c:v>
                </c:pt>
                <c:pt idx="109">
                  <c:v>1.7089199999999999E-2</c:v>
                </c:pt>
                <c:pt idx="110">
                  <c:v>1.7228799999999999E-2</c:v>
                </c:pt>
                <c:pt idx="111">
                  <c:v>1.7366400000000001E-2</c:v>
                </c:pt>
                <c:pt idx="112">
                  <c:v>1.7504200000000001E-2</c:v>
                </c:pt>
                <c:pt idx="113">
                  <c:v>1.7643800000000001E-2</c:v>
                </c:pt>
                <c:pt idx="114">
                  <c:v>1.7783400000000001E-2</c:v>
                </c:pt>
                <c:pt idx="115">
                  <c:v>1.7921199999999998E-2</c:v>
                </c:pt>
                <c:pt idx="116">
                  <c:v>1.8062599999999998E-2</c:v>
                </c:pt>
                <c:pt idx="117">
                  <c:v>1.82282E-2</c:v>
                </c:pt>
                <c:pt idx="118">
                  <c:v>1.83958E-2</c:v>
                </c:pt>
                <c:pt idx="119">
                  <c:v>1.8561399999999999E-2</c:v>
                </c:pt>
                <c:pt idx="120">
                  <c:v>1.8727000000000001E-2</c:v>
                </c:pt>
                <c:pt idx="121">
                  <c:v>1.8894399999999999E-2</c:v>
                </c:pt>
                <c:pt idx="122">
                  <c:v>1.9060199999999999E-2</c:v>
                </c:pt>
                <c:pt idx="123">
                  <c:v>1.9227600000000001E-2</c:v>
                </c:pt>
                <c:pt idx="124">
                  <c:v>1.9395199999999998E-2</c:v>
                </c:pt>
                <c:pt idx="125">
                  <c:v>1.95608E-2</c:v>
                </c:pt>
                <c:pt idx="126">
                  <c:v>1.9728200000000001E-2</c:v>
                </c:pt>
                <c:pt idx="127">
                  <c:v>1.9894000000000002E-2</c:v>
                </c:pt>
                <c:pt idx="128">
                  <c:v>2.0062000000000003E-2</c:v>
                </c:pt>
                <c:pt idx="129">
                  <c:v>2.0228000000000003E-2</c:v>
                </c:pt>
                <c:pt idx="130">
                  <c:v>2.0394000000000002E-2</c:v>
                </c:pt>
                <c:pt idx="131">
                  <c:v>2.0562E-2</c:v>
                </c:pt>
                <c:pt idx="132">
                  <c:v>2.0728E-2</c:v>
                </c:pt>
                <c:pt idx="133">
                  <c:v>2.0893999999999999E-2</c:v>
                </c:pt>
                <c:pt idx="134">
                  <c:v>2.1059999999999999E-2</c:v>
                </c:pt>
                <c:pt idx="135">
                  <c:v>2.1225999999999998E-2</c:v>
                </c:pt>
                <c:pt idx="136">
                  <c:v>2.1394000000000003E-2</c:v>
                </c:pt>
                <c:pt idx="137">
                  <c:v>2.1562000000000001E-2</c:v>
                </c:pt>
                <c:pt idx="138">
                  <c:v>2.1756000000000001E-2</c:v>
                </c:pt>
                <c:pt idx="139">
                  <c:v>2.1949999999999997E-2</c:v>
                </c:pt>
                <c:pt idx="140">
                  <c:v>2.2144E-2</c:v>
                </c:pt>
                <c:pt idx="141">
                  <c:v>2.2339999999999999E-2</c:v>
                </c:pt>
                <c:pt idx="142">
                  <c:v>2.2534000000000002E-2</c:v>
                </c:pt>
                <c:pt idx="143">
                  <c:v>2.2728000000000002E-2</c:v>
                </c:pt>
                <c:pt idx="144">
                  <c:v>2.2921999999999998E-2</c:v>
                </c:pt>
                <c:pt idx="145">
                  <c:v>2.3118E-2</c:v>
                </c:pt>
                <c:pt idx="146">
                  <c:v>2.3311999999999999E-2</c:v>
                </c:pt>
                <c:pt idx="147">
                  <c:v>2.3504000000000001E-2</c:v>
                </c:pt>
                <c:pt idx="148">
                  <c:v>2.3698E-2</c:v>
                </c:pt>
                <c:pt idx="149">
                  <c:v>2.3894000000000002E-2</c:v>
                </c:pt>
                <c:pt idx="150">
                  <c:v>2.4087999999999998E-2</c:v>
                </c:pt>
                <c:pt idx="151">
                  <c:v>2.4284E-2</c:v>
                </c:pt>
                <c:pt idx="152">
                  <c:v>2.4478E-2</c:v>
                </c:pt>
                <c:pt idx="153">
                  <c:v>2.4671999999999999E-2</c:v>
                </c:pt>
                <c:pt idx="154">
                  <c:v>2.4866000000000003E-2</c:v>
                </c:pt>
                <c:pt idx="155">
                  <c:v>2.5006E-2</c:v>
                </c:pt>
                <c:pt idx="156">
                  <c:v>2.52E-2</c:v>
                </c:pt>
                <c:pt idx="157">
                  <c:v>2.5424000000000002E-2</c:v>
                </c:pt>
                <c:pt idx="158">
                  <c:v>2.5644E-2</c:v>
                </c:pt>
                <c:pt idx="159">
                  <c:v>2.5865999999999997E-2</c:v>
                </c:pt>
                <c:pt idx="160">
                  <c:v>2.6088E-2</c:v>
                </c:pt>
                <c:pt idx="161">
                  <c:v>2.6312000000000002E-2</c:v>
                </c:pt>
                <c:pt idx="162">
                  <c:v>2.6532E-2</c:v>
                </c:pt>
                <c:pt idx="163">
                  <c:v>2.6756000000000002E-2</c:v>
                </c:pt>
                <c:pt idx="164">
                  <c:v>2.6977999999999999E-2</c:v>
                </c:pt>
                <c:pt idx="165">
                  <c:v>2.7200000000000002E-2</c:v>
                </c:pt>
                <c:pt idx="166">
                  <c:v>2.742E-2</c:v>
                </c:pt>
                <c:pt idx="167">
                  <c:v>2.7646E-2</c:v>
                </c:pt>
                <c:pt idx="168">
                  <c:v>2.7868E-2</c:v>
                </c:pt>
                <c:pt idx="169">
                  <c:v>2.8088000000000002E-2</c:v>
                </c:pt>
                <c:pt idx="170">
                  <c:v>2.8312E-2</c:v>
                </c:pt>
                <c:pt idx="171">
                  <c:v>2.8534E-2</c:v>
                </c:pt>
                <c:pt idx="172">
                  <c:v>2.8753999999999998E-2</c:v>
                </c:pt>
                <c:pt idx="173">
                  <c:v>2.9005999999999997E-2</c:v>
                </c:pt>
                <c:pt idx="174">
                  <c:v>2.9256000000000001E-2</c:v>
                </c:pt>
                <c:pt idx="175">
                  <c:v>2.9506000000000001E-2</c:v>
                </c:pt>
                <c:pt idx="176">
                  <c:v>2.9756000000000001E-2</c:v>
                </c:pt>
                <c:pt idx="177">
                  <c:v>3.0005999999999998E-2</c:v>
                </c:pt>
                <c:pt idx="178">
                  <c:v>3.0255999999999998E-2</c:v>
                </c:pt>
                <c:pt idx="179">
                  <c:v>3.0506000000000002E-2</c:v>
                </c:pt>
                <c:pt idx="180">
                  <c:v>3.0756000000000002E-2</c:v>
                </c:pt>
                <c:pt idx="181">
                  <c:v>3.1005999999999999E-2</c:v>
                </c:pt>
                <c:pt idx="182">
                  <c:v>3.1253999999999997E-2</c:v>
                </c:pt>
                <c:pt idx="183">
                  <c:v>3.1505999999999999E-2</c:v>
                </c:pt>
                <c:pt idx="184">
                  <c:v>3.1756E-2</c:v>
                </c:pt>
                <c:pt idx="185">
                  <c:v>3.2006E-2</c:v>
                </c:pt>
                <c:pt idx="186">
                  <c:v>3.2256E-2</c:v>
                </c:pt>
                <c:pt idx="187">
                  <c:v>3.2534E-2</c:v>
                </c:pt>
                <c:pt idx="188">
                  <c:v>3.2809999999999999E-2</c:v>
                </c:pt>
                <c:pt idx="189">
                  <c:v>3.3090000000000001E-2</c:v>
                </c:pt>
                <c:pt idx="190">
                  <c:v>3.3366E-2</c:v>
                </c:pt>
                <c:pt idx="191">
                  <c:v>3.3644E-2</c:v>
                </c:pt>
                <c:pt idx="192">
                  <c:v>3.3922000000000001E-2</c:v>
                </c:pt>
                <c:pt idx="193">
                  <c:v>3.4200000000000001E-2</c:v>
                </c:pt>
                <c:pt idx="194">
                  <c:v>3.4478000000000002E-2</c:v>
                </c:pt>
                <c:pt idx="195">
                  <c:v>3.4644000000000001E-2</c:v>
                </c:pt>
                <c:pt idx="196">
                  <c:v>3.4894000000000001E-2</c:v>
                </c:pt>
                <c:pt idx="197">
                  <c:v>3.517E-2</c:v>
                </c:pt>
                <c:pt idx="198">
                  <c:v>3.5450000000000002E-2</c:v>
                </c:pt>
                <c:pt idx="199">
                  <c:v>3.5728000000000003E-2</c:v>
                </c:pt>
                <c:pt idx="200">
                  <c:v>3.6006000000000003E-2</c:v>
                </c:pt>
                <c:pt idx="201">
                  <c:v>3.6312000000000004E-2</c:v>
                </c:pt>
                <c:pt idx="202">
                  <c:v>3.6616000000000003E-2</c:v>
                </c:pt>
                <c:pt idx="203">
                  <c:v>3.6922000000000003E-2</c:v>
                </c:pt>
                <c:pt idx="204">
                  <c:v>3.7226000000000002E-2</c:v>
                </c:pt>
                <c:pt idx="205">
                  <c:v>3.7533999999999998E-2</c:v>
                </c:pt>
                <c:pt idx="206">
                  <c:v>3.7839999999999999E-2</c:v>
                </c:pt>
                <c:pt idx="207">
                  <c:v>3.8143999999999997E-2</c:v>
                </c:pt>
                <c:pt idx="208">
                  <c:v>3.8450000000000005E-2</c:v>
                </c:pt>
                <c:pt idx="209">
                  <c:v>3.8755999999999999E-2</c:v>
                </c:pt>
                <c:pt idx="210">
                  <c:v>3.8977999999999999E-2</c:v>
                </c:pt>
                <c:pt idx="211">
                  <c:v>3.9283999999999999E-2</c:v>
                </c:pt>
                <c:pt idx="212">
                  <c:v>3.9587999999999998E-2</c:v>
                </c:pt>
                <c:pt idx="213">
                  <c:v>3.9809999999999998E-2</c:v>
                </c:pt>
                <c:pt idx="214">
                  <c:v>4.0115999999999999E-2</c:v>
                </c:pt>
                <c:pt idx="215">
                  <c:v>4.0422E-2</c:v>
                </c:pt>
                <c:pt idx="216">
                  <c:v>4.0646000000000002E-2</c:v>
                </c:pt>
                <c:pt idx="217">
                  <c:v>4.0866E-2</c:v>
                </c:pt>
                <c:pt idx="218">
                  <c:v>4.1031999999999999E-2</c:v>
                </c:pt>
                <c:pt idx="219">
                  <c:v>4.1200000000000001E-2</c:v>
                </c:pt>
                <c:pt idx="220">
                  <c:v>4.1365999999999993E-2</c:v>
                </c:pt>
                <c:pt idx="221">
                  <c:v>4.1534000000000001E-2</c:v>
                </c:pt>
                <c:pt idx="222">
                  <c:v>4.1672000000000001E-2</c:v>
                </c:pt>
                <c:pt idx="223">
                  <c:v>4.1838E-2</c:v>
                </c:pt>
                <c:pt idx="224">
                  <c:v>4.2004E-2</c:v>
                </c:pt>
                <c:pt idx="225">
                  <c:v>4.2144000000000001E-2</c:v>
                </c:pt>
                <c:pt idx="226">
                  <c:v>4.231E-2</c:v>
                </c:pt>
                <c:pt idx="227">
                  <c:v>4.2450000000000002E-2</c:v>
                </c:pt>
                <c:pt idx="228">
                  <c:v>4.2588000000000001E-2</c:v>
                </c:pt>
                <c:pt idx="229">
                  <c:v>4.2754E-2</c:v>
                </c:pt>
                <c:pt idx="230">
                  <c:v>4.2893999999999995E-2</c:v>
                </c:pt>
                <c:pt idx="231">
                  <c:v>4.3033999999999996E-2</c:v>
                </c:pt>
                <c:pt idx="232">
                  <c:v>4.3174000000000004E-2</c:v>
                </c:pt>
                <c:pt idx="233">
                  <c:v>4.3311999999999996E-2</c:v>
                </c:pt>
                <c:pt idx="234">
                  <c:v>4.3449999999999996E-2</c:v>
                </c:pt>
                <c:pt idx="235">
                  <c:v>4.3589999999999997E-2</c:v>
                </c:pt>
                <c:pt idx="236">
                  <c:v>4.3727999999999996E-2</c:v>
                </c:pt>
                <c:pt idx="237">
                  <c:v>4.3895999999999998E-2</c:v>
                </c:pt>
                <c:pt idx="238">
                  <c:v>4.4062000000000004E-2</c:v>
                </c:pt>
                <c:pt idx="239">
                  <c:v>4.4198000000000001E-2</c:v>
                </c:pt>
                <c:pt idx="240">
                  <c:v>4.4366000000000003E-2</c:v>
                </c:pt>
                <c:pt idx="241">
                  <c:v>4.4534000000000004E-2</c:v>
                </c:pt>
                <c:pt idx="242">
                  <c:v>4.4699999999999997E-2</c:v>
                </c:pt>
                <c:pt idx="243">
                  <c:v>4.4839999999999998E-2</c:v>
                </c:pt>
                <c:pt idx="244">
                  <c:v>4.4950000000000004E-2</c:v>
                </c:pt>
                <c:pt idx="245">
                  <c:v>4.5087999999999996E-2</c:v>
                </c:pt>
                <c:pt idx="246">
                  <c:v>4.5199999999999997E-2</c:v>
                </c:pt>
                <c:pt idx="247">
                  <c:v>4.5339999999999998E-2</c:v>
                </c:pt>
                <c:pt idx="248">
                  <c:v>4.5449999999999997E-2</c:v>
                </c:pt>
                <c:pt idx="249">
                  <c:v>4.5589999999999999E-2</c:v>
                </c:pt>
                <c:pt idx="250">
                  <c:v>4.5700000000000005E-2</c:v>
                </c:pt>
                <c:pt idx="251">
                  <c:v>4.5810000000000003E-2</c:v>
                </c:pt>
                <c:pt idx="252">
                  <c:v>4.5949999999999998E-2</c:v>
                </c:pt>
                <c:pt idx="253">
                  <c:v>4.6059999999999997E-2</c:v>
                </c:pt>
                <c:pt idx="254">
                  <c:v>4.6199999999999998E-2</c:v>
                </c:pt>
                <c:pt idx="255">
                  <c:v>4.6311999999999999E-2</c:v>
                </c:pt>
                <c:pt idx="256">
                  <c:v>4.6421999999999998E-2</c:v>
                </c:pt>
                <c:pt idx="257">
                  <c:v>4.6559999999999997E-2</c:v>
                </c:pt>
                <c:pt idx="258">
                  <c:v>4.6669999999999996E-2</c:v>
                </c:pt>
                <c:pt idx="259">
                  <c:v>4.6783999999999999E-2</c:v>
                </c:pt>
                <c:pt idx="260">
                  <c:v>4.6896000000000007E-2</c:v>
                </c:pt>
                <c:pt idx="261">
                  <c:v>4.7033999999999999E-2</c:v>
                </c:pt>
                <c:pt idx="262">
                  <c:v>4.7146E-2</c:v>
                </c:pt>
                <c:pt idx="263">
                  <c:v>4.7253999999999997E-2</c:v>
                </c:pt>
                <c:pt idx="264">
                  <c:v>4.7337999999999998E-2</c:v>
                </c:pt>
                <c:pt idx="265">
                  <c:v>4.7449999999999999E-2</c:v>
                </c:pt>
                <c:pt idx="266">
                  <c:v>4.7560000000000005E-2</c:v>
                </c:pt>
                <c:pt idx="267">
                  <c:v>4.7671999999999999E-2</c:v>
                </c:pt>
                <c:pt idx="268">
                  <c:v>4.7784000000000007E-2</c:v>
                </c:pt>
                <c:pt idx="269">
                  <c:v>4.7893999999999999E-2</c:v>
                </c:pt>
                <c:pt idx="270">
                  <c:v>4.8006E-2</c:v>
                </c:pt>
                <c:pt idx="271">
                  <c:v>4.8087999999999999E-2</c:v>
                </c:pt>
                <c:pt idx="272">
                  <c:v>4.8197999999999998E-2</c:v>
                </c:pt>
                <c:pt idx="273">
                  <c:v>4.8284000000000001E-2</c:v>
                </c:pt>
                <c:pt idx="274">
                  <c:v>4.8394000000000006E-2</c:v>
                </c:pt>
                <c:pt idx="275">
                  <c:v>4.8478E-2</c:v>
                </c:pt>
                <c:pt idx="276">
                  <c:v>4.8590000000000001E-2</c:v>
                </c:pt>
                <c:pt idx="277">
                  <c:v>4.8672000000000007E-2</c:v>
                </c:pt>
                <c:pt idx="278">
                  <c:v>4.8781999999999999E-2</c:v>
                </c:pt>
                <c:pt idx="279">
                  <c:v>4.8894E-2</c:v>
                </c:pt>
                <c:pt idx="280">
                  <c:v>4.8978000000000001E-2</c:v>
                </c:pt>
                <c:pt idx="281">
                  <c:v>4.9062000000000001E-2</c:v>
                </c:pt>
                <c:pt idx="282">
                  <c:v>4.9172E-2</c:v>
                </c:pt>
                <c:pt idx="283">
                  <c:v>4.9284000000000001E-2</c:v>
                </c:pt>
                <c:pt idx="284">
                  <c:v>4.9367999999999995E-2</c:v>
                </c:pt>
                <c:pt idx="285">
                  <c:v>4.9450000000000001E-2</c:v>
                </c:pt>
                <c:pt idx="286">
                  <c:v>4.9560000000000007E-2</c:v>
                </c:pt>
                <c:pt idx="287">
                  <c:v>4.9672000000000001E-2</c:v>
                </c:pt>
                <c:pt idx="288">
                  <c:v>4.9753999999999993E-2</c:v>
                </c:pt>
                <c:pt idx="289">
                  <c:v>4.9837999999999993E-2</c:v>
                </c:pt>
                <c:pt idx="290">
                  <c:v>4.9950000000000001E-2</c:v>
                </c:pt>
                <c:pt idx="291">
                  <c:v>5.006E-2</c:v>
                </c:pt>
                <c:pt idx="292">
                  <c:v>5.0172000000000001E-2</c:v>
                </c:pt>
                <c:pt idx="293">
                  <c:v>5.0282E-2</c:v>
                </c:pt>
                <c:pt idx="294">
                  <c:v>5.0364000000000006E-2</c:v>
                </c:pt>
                <c:pt idx="295">
                  <c:v>5.0450000000000002E-2</c:v>
                </c:pt>
                <c:pt idx="296">
                  <c:v>5.0533999999999996E-2</c:v>
                </c:pt>
                <c:pt idx="297">
                  <c:v>5.0617999999999996E-2</c:v>
                </c:pt>
                <c:pt idx="298">
                  <c:v>5.0728000000000002E-2</c:v>
                </c:pt>
                <c:pt idx="299">
                  <c:v>5.0811999999999996E-2</c:v>
                </c:pt>
                <c:pt idx="300">
                  <c:v>5.0894000000000002E-2</c:v>
                </c:pt>
                <c:pt idx="301">
                  <c:v>5.0978000000000002E-2</c:v>
                </c:pt>
                <c:pt idx="302">
                  <c:v>5.1062000000000003E-2</c:v>
                </c:pt>
                <c:pt idx="303">
                  <c:v>5.1143999999999995E-2</c:v>
                </c:pt>
                <c:pt idx="304">
                  <c:v>5.1256000000000003E-2</c:v>
                </c:pt>
                <c:pt idx="305">
                  <c:v>5.1338000000000002E-2</c:v>
                </c:pt>
                <c:pt idx="306">
                  <c:v>5.1421999999999995E-2</c:v>
                </c:pt>
                <c:pt idx="307">
                  <c:v>5.1505999999999996E-2</c:v>
                </c:pt>
                <c:pt idx="308">
                  <c:v>5.1589999999999997E-2</c:v>
                </c:pt>
                <c:pt idx="309">
                  <c:v>5.1673999999999998E-2</c:v>
                </c:pt>
                <c:pt idx="310">
                  <c:v>5.1756000000000003E-2</c:v>
                </c:pt>
                <c:pt idx="311">
                  <c:v>5.1837999999999995E-2</c:v>
                </c:pt>
                <c:pt idx="312">
                  <c:v>5.1920000000000001E-2</c:v>
                </c:pt>
                <c:pt idx="313">
                  <c:v>5.2005999999999997E-2</c:v>
                </c:pt>
                <c:pt idx="314">
                  <c:v>5.2088000000000002E-2</c:v>
                </c:pt>
                <c:pt idx="315">
                  <c:v>5.2172000000000003E-2</c:v>
                </c:pt>
                <c:pt idx="316">
                  <c:v>5.2255999999999997E-2</c:v>
                </c:pt>
                <c:pt idx="317">
                  <c:v>5.2337999999999996E-2</c:v>
                </c:pt>
                <c:pt idx="318">
                  <c:v>5.2423999999999998E-2</c:v>
                </c:pt>
                <c:pt idx="319">
                  <c:v>5.2506000000000004E-2</c:v>
                </c:pt>
                <c:pt idx="320">
                  <c:v>5.2587999999999996E-2</c:v>
                </c:pt>
                <c:pt idx="321">
                  <c:v>5.2671999999999997E-2</c:v>
                </c:pt>
                <c:pt idx="322">
                  <c:v>5.2754000000000002E-2</c:v>
                </c:pt>
                <c:pt idx="323">
                  <c:v>5.2838000000000003E-2</c:v>
                </c:pt>
                <c:pt idx="324">
                  <c:v>5.2922000000000004E-2</c:v>
                </c:pt>
                <c:pt idx="325">
                  <c:v>5.3006000000000005E-2</c:v>
                </c:pt>
                <c:pt idx="326">
                  <c:v>5.3089999999999998E-2</c:v>
                </c:pt>
                <c:pt idx="327">
                  <c:v>5.3171999999999997E-2</c:v>
                </c:pt>
                <c:pt idx="328">
                  <c:v>5.3255999999999998E-2</c:v>
                </c:pt>
                <c:pt idx="329">
                  <c:v>5.3338000000000003E-2</c:v>
                </c:pt>
                <c:pt idx="330">
                  <c:v>5.3421999999999997E-2</c:v>
                </c:pt>
                <c:pt idx="331">
                  <c:v>5.3503999999999996E-2</c:v>
                </c:pt>
                <c:pt idx="332">
                  <c:v>5.3587999999999997E-2</c:v>
                </c:pt>
                <c:pt idx="333">
                  <c:v>5.3672000000000004E-2</c:v>
                </c:pt>
                <c:pt idx="334">
                  <c:v>5.3756000000000005E-2</c:v>
                </c:pt>
                <c:pt idx="335">
                  <c:v>5.3840000000000006E-2</c:v>
                </c:pt>
                <c:pt idx="336">
                  <c:v>5.3921999999999998E-2</c:v>
                </c:pt>
                <c:pt idx="337">
                  <c:v>5.4005999999999998E-2</c:v>
                </c:pt>
                <c:pt idx="338">
                  <c:v>5.4088000000000004E-2</c:v>
                </c:pt>
                <c:pt idx="339">
                  <c:v>5.4172000000000005E-2</c:v>
                </c:pt>
                <c:pt idx="340">
                  <c:v>5.4255999999999999E-2</c:v>
                </c:pt>
                <c:pt idx="341">
                  <c:v>5.4337999999999997E-2</c:v>
                </c:pt>
                <c:pt idx="342">
                  <c:v>5.4420000000000003E-2</c:v>
                </c:pt>
                <c:pt idx="343">
                  <c:v>5.4477999999999999E-2</c:v>
                </c:pt>
                <c:pt idx="344">
                  <c:v>5.4561999999999999E-2</c:v>
                </c:pt>
                <c:pt idx="345">
                  <c:v>5.4646E-2</c:v>
                </c:pt>
                <c:pt idx="346">
                  <c:v>5.4728000000000006E-2</c:v>
                </c:pt>
                <c:pt idx="347">
                  <c:v>5.4812E-2</c:v>
                </c:pt>
                <c:pt idx="348">
                  <c:v>5.4865999999999998E-2</c:v>
                </c:pt>
                <c:pt idx="349">
                  <c:v>5.4949999999999999E-2</c:v>
                </c:pt>
                <c:pt idx="350">
                  <c:v>5.5031999999999998E-2</c:v>
                </c:pt>
                <c:pt idx="351">
                  <c:v>5.5115999999999998E-2</c:v>
                </c:pt>
                <c:pt idx="352">
                  <c:v>5.5199999999999999E-2</c:v>
                </c:pt>
                <c:pt idx="353">
                  <c:v>5.5284000000000007E-2</c:v>
                </c:pt>
                <c:pt idx="354">
                  <c:v>5.5365999999999999E-2</c:v>
                </c:pt>
                <c:pt idx="355">
                  <c:v>5.5424000000000001E-2</c:v>
                </c:pt>
                <c:pt idx="356">
                  <c:v>5.5507999999999995E-2</c:v>
                </c:pt>
                <c:pt idx="357">
                  <c:v>5.5590000000000001E-2</c:v>
                </c:pt>
                <c:pt idx="358">
                  <c:v>5.5671999999999999E-2</c:v>
                </c:pt>
                <c:pt idx="359">
                  <c:v>5.5753999999999998E-2</c:v>
                </c:pt>
                <c:pt idx="360">
                  <c:v>5.5837999999999999E-2</c:v>
                </c:pt>
                <c:pt idx="361">
                  <c:v>5.5921999999999999E-2</c:v>
                </c:pt>
                <c:pt idx="362">
                  <c:v>5.6006E-2</c:v>
                </c:pt>
                <c:pt idx="363">
                  <c:v>5.6090000000000001E-2</c:v>
                </c:pt>
                <c:pt idx="364">
                  <c:v>5.62E-2</c:v>
                </c:pt>
                <c:pt idx="365">
                  <c:v>5.6312000000000001E-2</c:v>
                </c:pt>
                <c:pt idx="366">
                  <c:v>5.6422E-2</c:v>
                </c:pt>
                <c:pt idx="367">
                  <c:v>5.6534000000000001E-2</c:v>
                </c:pt>
                <c:pt idx="368">
                  <c:v>5.6644E-2</c:v>
                </c:pt>
                <c:pt idx="369">
                  <c:v>5.6756000000000001E-2</c:v>
                </c:pt>
                <c:pt idx="370">
                  <c:v>5.6866E-2</c:v>
                </c:pt>
                <c:pt idx="371">
                  <c:v>5.6978000000000001E-2</c:v>
                </c:pt>
                <c:pt idx="372">
                  <c:v>5.7089999999999995E-2</c:v>
                </c:pt>
                <c:pt idx="373">
                  <c:v>5.7172000000000001E-2</c:v>
                </c:pt>
                <c:pt idx="374">
                  <c:v>5.7282E-2</c:v>
                </c:pt>
                <c:pt idx="375">
                  <c:v>5.7394000000000001E-2</c:v>
                </c:pt>
                <c:pt idx="376">
                  <c:v>5.7504E-2</c:v>
                </c:pt>
                <c:pt idx="377">
                  <c:v>5.7615999999999994E-2</c:v>
                </c:pt>
                <c:pt idx="378">
                  <c:v>5.7728000000000002E-2</c:v>
                </c:pt>
                <c:pt idx="379">
                  <c:v>5.7838000000000001E-2</c:v>
                </c:pt>
                <c:pt idx="380">
                  <c:v>5.7950000000000002E-2</c:v>
                </c:pt>
                <c:pt idx="381">
                  <c:v>5.806E-2</c:v>
                </c:pt>
                <c:pt idx="382">
                  <c:v>5.8141999999999999E-2</c:v>
                </c:pt>
                <c:pt idx="383">
                  <c:v>5.8255999999999995E-2</c:v>
                </c:pt>
                <c:pt idx="384">
                  <c:v>5.8338000000000001E-2</c:v>
                </c:pt>
                <c:pt idx="385">
                  <c:v>5.8449999999999995E-2</c:v>
                </c:pt>
                <c:pt idx="386">
                  <c:v>5.8533999999999996E-2</c:v>
                </c:pt>
                <c:pt idx="387">
                  <c:v>5.8644000000000002E-2</c:v>
                </c:pt>
                <c:pt idx="388">
                  <c:v>5.8727999999999995E-2</c:v>
                </c:pt>
                <c:pt idx="389">
                  <c:v>5.8838000000000001E-2</c:v>
                </c:pt>
                <c:pt idx="390">
                  <c:v>5.8922000000000002E-2</c:v>
                </c:pt>
                <c:pt idx="391">
                  <c:v>5.9005999999999996E-2</c:v>
                </c:pt>
                <c:pt idx="392">
                  <c:v>5.9118000000000004E-2</c:v>
                </c:pt>
                <c:pt idx="393">
                  <c:v>5.9202000000000005E-2</c:v>
                </c:pt>
                <c:pt idx="394">
                  <c:v>5.9311999999999997E-2</c:v>
                </c:pt>
                <c:pt idx="395">
                  <c:v>5.9396000000000004E-2</c:v>
                </c:pt>
                <c:pt idx="396">
                  <c:v>5.9505999999999996E-2</c:v>
                </c:pt>
                <c:pt idx="397">
                  <c:v>5.9588000000000002E-2</c:v>
                </c:pt>
                <c:pt idx="398">
                  <c:v>5.9698000000000001E-2</c:v>
                </c:pt>
                <c:pt idx="399">
                  <c:v>5.9782000000000002E-2</c:v>
                </c:pt>
                <c:pt idx="400">
                  <c:v>5.9866000000000003E-2</c:v>
                </c:pt>
                <c:pt idx="401">
                  <c:v>5.9950000000000003E-2</c:v>
                </c:pt>
                <c:pt idx="402">
                  <c:v>6.0034000000000004E-2</c:v>
                </c:pt>
                <c:pt idx="403">
                  <c:v>6.0145999999999998E-2</c:v>
                </c:pt>
                <c:pt idx="404">
                  <c:v>6.0255999999999997E-2</c:v>
                </c:pt>
                <c:pt idx="405">
                  <c:v>6.0366000000000003E-2</c:v>
                </c:pt>
                <c:pt idx="406">
                  <c:v>6.0477999999999997E-2</c:v>
                </c:pt>
                <c:pt idx="407">
                  <c:v>6.0587999999999996E-2</c:v>
                </c:pt>
                <c:pt idx="408">
                  <c:v>6.0700000000000004E-2</c:v>
                </c:pt>
                <c:pt idx="409">
                  <c:v>6.0811999999999998E-2</c:v>
                </c:pt>
                <c:pt idx="410">
                  <c:v>6.0922000000000004E-2</c:v>
                </c:pt>
                <c:pt idx="411">
                  <c:v>6.1033999999999998E-2</c:v>
                </c:pt>
                <c:pt idx="412">
                  <c:v>6.1143999999999997E-2</c:v>
                </c:pt>
                <c:pt idx="413">
                  <c:v>6.1256000000000005E-2</c:v>
                </c:pt>
                <c:pt idx="414">
                  <c:v>6.1365999999999997E-2</c:v>
                </c:pt>
                <c:pt idx="415">
                  <c:v>6.1478000000000005E-2</c:v>
                </c:pt>
                <c:pt idx="416">
                  <c:v>6.1589999999999999E-2</c:v>
                </c:pt>
                <c:pt idx="417">
                  <c:v>6.1702000000000007E-2</c:v>
                </c:pt>
                <c:pt idx="418">
                  <c:v>6.1810000000000004E-2</c:v>
                </c:pt>
                <c:pt idx="419">
                  <c:v>6.1921999999999998E-2</c:v>
                </c:pt>
                <c:pt idx="420">
                  <c:v>6.2034000000000006E-2</c:v>
                </c:pt>
                <c:pt idx="421">
                  <c:v>6.2144000000000005E-2</c:v>
                </c:pt>
                <c:pt idx="422">
                  <c:v>6.2255999999999999E-2</c:v>
                </c:pt>
                <c:pt idx="423">
                  <c:v>6.2366000000000005E-2</c:v>
                </c:pt>
                <c:pt idx="424">
                  <c:v>6.2476000000000004E-2</c:v>
                </c:pt>
                <c:pt idx="425">
                  <c:v>6.2588000000000005E-2</c:v>
                </c:pt>
                <c:pt idx="426">
                  <c:v>6.2699999999999992E-2</c:v>
                </c:pt>
                <c:pt idx="427">
                  <c:v>6.2809999999999991E-2</c:v>
                </c:pt>
                <c:pt idx="428">
                  <c:v>6.2923999999999994E-2</c:v>
                </c:pt>
                <c:pt idx="429">
                  <c:v>6.3033999999999993E-2</c:v>
                </c:pt>
                <c:pt idx="430">
                  <c:v>6.3146000000000008E-2</c:v>
                </c:pt>
                <c:pt idx="431">
                  <c:v>6.3255999999999993E-2</c:v>
                </c:pt>
                <c:pt idx="432">
                  <c:v>6.3365999999999992E-2</c:v>
                </c:pt>
                <c:pt idx="433">
                  <c:v>6.3503999999999991E-2</c:v>
                </c:pt>
                <c:pt idx="434">
                  <c:v>6.3643999999999992E-2</c:v>
                </c:pt>
                <c:pt idx="435">
                  <c:v>6.3756000000000007E-2</c:v>
                </c:pt>
                <c:pt idx="436">
                  <c:v>6.3867999999999994E-2</c:v>
                </c:pt>
                <c:pt idx="437">
                  <c:v>6.3979999999999995E-2</c:v>
                </c:pt>
                <c:pt idx="438">
                  <c:v>6.4089999999999994E-2</c:v>
                </c:pt>
                <c:pt idx="439">
                  <c:v>6.4199999999999993E-2</c:v>
                </c:pt>
                <c:pt idx="440">
                  <c:v>6.4310000000000006E-2</c:v>
                </c:pt>
                <c:pt idx="441">
                  <c:v>6.4421999999999993E-2</c:v>
                </c:pt>
                <c:pt idx="442">
                  <c:v>6.4534000000000008E-2</c:v>
                </c:pt>
                <c:pt idx="443">
                  <c:v>6.4644000000000007E-2</c:v>
                </c:pt>
                <c:pt idx="444">
                  <c:v>6.4755999999999994E-2</c:v>
                </c:pt>
                <c:pt idx="445">
                  <c:v>6.4867999999999995E-2</c:v>
                </c:pt>
                <c:pt idx="446">
                  <c:v>6.4977999999999994E-2</c:v>
                </c:pt>
                <c:pt idx="447">
                  <c:v>6.5087999999999993E-2</c:v>
                </c:pt>
                <c:pt idx="448">
                  <c:v>6.5199999999999994E-2</c:v>
                </c:pt>
                <c:pt idx="449">
                  <c:v>6.5311999999999995E-2</c:v>
                </c:pt>
                <c:pt idx="450">
                  <c:v>6.5422000000000008E-2</c:v>
                </c:pt>
                <c:pt idx="451">
                  <c:v>6.5533999999999995E-2</c:v>
                </c:pt>
                <c:pt idx="452">
                  <c:v>6.5643999999999994E-2</c:v>
                </c:pt>
                <c:pt idx="453">
                  <c:v>6.5755999999999995E-2</c:v>
                </c:pt>
                <c:pt idx="454">
                  <c:v>6.5865999999999994E-2</c:v>
                </c:pt>
                <c:pt idx="455">
                  <c:v>6.5978000000000009E-2</c:v>
                </c:pt>
                <c:pt idx="456">
                  <c:v>6.6087999999999994E-2</c:v>
                </c:pt>
                <c:pt idx="457">
                  <c:v>6.6197999999999993E-2</c:v>
                </c:pt>
                <c:pt idx="458">
                  <c:v>6.634000000000001E-2</c:v>
                </c:pt>
                <c:pt idx="459">
                  <c:v>6.6475999999999993E-2</c:v>
                </c:pt>
                <c:pt idx="460">
                  <c:v>6.6615999999999995E-2</c:v>
                </c:pt>
                <c:pt idx="461">
                  <c:v>6.6755999999999996E-2</c:v>
                </c:pt>
                <c:pt idx="462">
                  <c:v>6.6896000000000011E-2</c:v>
                </c:pt>
                <c:pt idx="463">
                  <c:v>6.7033999999999996E-2</c:v>
                </c:pt>
                <c:pt idx="464">
                  <c:v>6.7171999999999996E-2</c:v>
                </c:pt>
                <c:pt idx="465">
                  <c:v>6.7309999999999995E-2</c:v>
                </c:pt>
                <c:pt idx="466">
                  <c:v>6.7447999999999994E-2</c:v>
                </c:pt>
                <c:pt idx="467">
                  <c:v>6.7587999999999995E-2</c:v>
                </c:pt>
                <c:pt idx="468">
                  <c:v>6.7727999999999997E-2</c:v>
                </c:pt>
                <c:pt idx="469">
                  <c:v>6.7865999999999996E-2</c:v>
                </c:pt>
                <c:pt idx="470">
                  <c:v>6.8003999999999995E-2</c:v>
                </c:pt>
                <c:pt idx="471">
                  <c:v>6.8143999999999996E-2</c:v>
                </c:pt>
                <c:pt idx="472">
                  <c:v>6.8281999999999995E-2</c:v>
                </c:pt>
                <c:pt idx="473">
                  <c:v>6.8421999999999997E-2</c:v>
                </c:pt>
                <c:pt idx="474">
                  <c:v>6.8561999999999998E-2</c:v>
                </c:pt>
                <c:pt idx="475">
                  <c:v>6.8701999999999999E-2</c:v>
                </c:pt>
                <c:pt idx="476">
                  <c:v>6.8837999999999996E-2</c:v>
                </c:pt>
                <c:pt idx="477">
                  <c:v>6.8975999999999996E-2</c:v>
                </c:pt>
                <c:pt idx="478">
                  <c:v>6.9143999999999997E-2</c:v>
                </c:pt>
                <c:pt idx="479">
                  <c:v>6.928200000000001E-2</c:v>
                </c:pt>
                <c:pt idx="480">
                  <c:v>6.9452E-2</c:v>
                </c:pt>
                <c:pt idx="481">
                  <c:v>6.9587999999999997E-2</c:v>
                </c:pt>
                <c:pt idx="482">
                  <c:v>6.9725999999999996E-2</c:v>
                </c:pt>
                <c:pt idx="483">
                  <c:v>6.9893999999999998E-2</c:v>
                </c:pt>
                <c:pt idx="484">
                  <c:v>7.0033999999999999E-2</c:v>
                </c:pt>
                <c:pt idx="485">
                  <c:v>7.0199999999999999E-2</c:v>
                </c:pt>
                <c:pt idx="486">
                  <c:v>7.0337999999999998E-2</c:v>
                </c:pt>
                <c:pt idx="487">
                  <c:v>7.0477999999999999E-2</c:v>
                </c:pt>
                <c:pt idx="488">
                  <c:v>7.0643999999999998E-2</c:v>
                </c:pt>
                <c:pt idx="489">
                  <c:v>7.0784E-2</c:v>
                </c:pt>
                <c:pt idx="490">
                  <c:v>7.0924000000000001E-2</c:v>
                </c:pt>
                <c:pt idx="491">
                  <c:v>7.1059999999999998E-2</c:v>
                </c:pt>
                <c:pt idx="492">
                  <c:v>7.1199999999999999E-2</c:v>
                </c:pt>
                <c:pt idx="493">
                  <c:v>7.1340000000000001E-2</c:v>
                </c:pt>
                <c:pt idx="494">
                  <c:v>7.1475999999999998E-2</c:v>
                </c:pt>
                <c:pt idx="495">
                  <c:v>7.1646000000000001E-2</c:v>
                </c:pt>
                <c:pt idx="496">
                  <c:v>7.1809999999999999E-2</c:v>
                </c:pt>
                <c:pt idx="497">
                  <c:v>7.1975999999999998E-2</c:v>
                </c:pt>
                <c:pt idx="498">
                  <c:v>7.2144E-2</c:v>
                </c:pt>
                <c:pt idx="499">
                  <c:v>7.2312000000000001E-2</c:v>
                </c:pt>
                <c:pt idx="500">
                  <c:v>7.2480000000000003E-2</c:v>
                </c:pt>
                <c:pt idx="501">
                  <c:v>7.2644E-2</c:v>
                </c:pt>
                <c:pt idx="502">
                  <c:v>7.2784000000000001E-2</c:v>
                </c:pt>
                <c:pt idx="503">
                  <c:v>7.2922000000000001E-2</c:v>
                </c:pt>
                <c:pt idx="504">
                  <c:v>7.3062000000000002E-2</c:v>
                </c:pt>
                <c:pt idx="505">
                  <c:v>7.3202000000000003E-2</c:v>
                </c:pt>
                <c:pt idx="506">
                  <c:v>7.3338E-2</c:v>
                </c:pt>
                <c:pt idx="507">
                  <c:v>7.3478000000000002E-2</c:v>
                </c:pt>
                <c:pt idx="508">
                  <c:v>7.3616000000000001E-2</c:v>
                </c:pt>
                <c:pt idx="509">
                  <c:v>7.3756000000000002E-2</c:v>
                </c:pt>
                <c:pt idx="510">
                  <c:v>7.3896000000000003E-2</c:v>
                </c:pt>
                <c:pt idx="511">
                  <c:v>7.4062000000000003E-2</c:v>
                </c:pt>
                <c:pt idx="512">
                  <c:v>7.4228000000000002E-2</c:v>
                </c:pt>
                <c:pt idx="513">
                  <c:v>7.4394000000000002E-2</c:v>
                </c:pt>
                <c:pt idx="514">
                  <c:v>7.4560000000000001E-2</c:v>
                </c:pt>
                <c:pt idx="515">
                  <c:v>7.4728000000000003E-2</c:v>
                </c:pt>
                <c:pt idx="516">
                  <c:v>7.4894000000000002E-2</c:v>
                </c:pt>
                <c:pt idx="517">
                  <c:v>7.5062000000000004E-2</c:v>
                </c:pt>
                <c:pt idx="518">
                  <c:v>7.5228000000000003E-2</c:v>
                </c:pt>
                <c:pt idx="519">
                  <c:v>7.5394000000000003E-2</c:v>
                </c:pt>
                <c:pt idx="520">
                  <c:v>7.556199999999999E-2</c:v>
                </c:pt>
                <c:pt idx="521">
                  <c:v>7.5726000000000002E-2</c:v>
                </c:pt>
                <c:pt idx="522">
                  <c:v>7.5894000000000003E-2</c:v>
                </c:pt>
                <c:pt idx="523">
                  <c:v>7.6062000000000005E-2</c:v>
                </c:pt>
                <c:pt idx="524">
                  <c:v>7.6228000000000004E-2</c:v>
                </c:pt>
                <c:pt idx="525">
                  <c:v>7.6395999999999992E-2</c:v>
                </c:pt>
                <c:pt idx="526">
                  <c:v>7.6560000000000003E-2</c:v>
                </c:pt>
                <c:pt idx="527">
                  <c:v>7.6726000000000003E-2</c:v>
                </c:pt>
                <c:pt idx="528">
                  <c:v>7.6894000000000004E-2</c:v>
                </c:pt>
                <c:pt idx="529">
                  <c:v>7.7060000000000003E-2</c:v>
                </c:pt>
                <c:pt idx="530">
                  <c:v>7.7226000000000003E-2</c:v>
                </c:pt>
                <c:pt idx="531">
                  <c:v>7.7394000000000004E-2</c:v>
                </c:pt>
                <c:pt idx="532">
                  <c:v>7.7560000000000004E-2</c:v>
                </c:pt>
                <c:pt idx="533">
                  <c:v>7.7728000000000005E-2</c:v>
                </c:pt>
                <c:pt idx="534">
                  <c:v>7.7896000000000007E-2</c:v>
                </c:pt>
                <c:pt idx="535">
                  <c:v>7.8061999999999993E-2</c:v>
                </c:pt>
                <c:pt idx="536">
                  <c:v>7.8228000000000006E-2</c:v>
                </c:pt>
                <c:pt idx="537">
                  <c:v>7.8422000000000006E-2</c:v>
                </c:pt>
                <c:pt idx="538">
                  <c:v>7.8616000000000005E-2</c:v>
                </c:pt>
                <c:pt idx="539">
                  <c:v>7.8810000000000005E-2</c:v>
                </c:pt>
                <c:pt idx="540">
                  <c:v>7.9005999999999993E-2</c:v>
                </c:pt>
                <c:pt idx="541">
                  <c:v>7.9199999999999993E-2</c:v>
                </c:pt>
                <c:pt idx="542">
                  <c:v>7.9396000000000008E-2</c:v>
                </c:pt>
                <c:pt idx="543">
                  <c:v>7.9588000000000006E-2</c:v>
                </c:pt>
                <c:pt idx="544">
                  <c:v>7.9783999999999994E-2</c:v>
                </c:pt>
                <c:pt idx="545">
                  <c:v>7.9977999999999994E-2</c:v>
                </c:pt>
                <c:pt idx="546">
                  <c:v>8.0172000000000007E-2</c:v>
                </c:pt>
                <c:pt idx="547">
                  <c:v>8.0364000000000005E-2</c:v>
                </c:pt>
                <c:pt idx="548">
                  <c:v>8.0559999999999993E-2</c:v>
                </c:pt>
                <c:pt idx="549">
                  <c:v>8.0755999999999994E-2</c:v>
                </c:pt>
                <c:pt idx="550">
                  <c:v>8.0950000000000008E-2</c:v>
                </c:pt>
                <c:pt idx="551">
                  <c:v>8.1143999999999994E-2</c:v>
                </c:pt>
                <c:pt idx="552">
                  <c:v>8.134000000000001E-2</c:v>
                </c:pt>
                <c:pt idx="553">
                  <c:v>8.1533999999999995E-2</c:v>
                </c:pt>
                <c:pt idx="554">
                  <c:v>8.1729999999999997E-2</c:v>
                </c:pt>
                <c:pt idx="555">
                  <c:v>8.1920000000000007E-2</c:v>
                </c:pt>
                <c:pt idx="556">
                  <c:v>8.2116000000000008E-2</c:v>
                </c:pt>
                <c:pt idx="557">
                  <c:v>8.2309999999999994E-2</c:v>
                </c:pt>
                <c:pt idx="558">
                  <c:v>8.250600000000001E-2</c:v>
                </c:pt>
                <c:pt idx="559">
                  <c:v>8.2699999999999996E-2</c:v>
                </c:pt>
                <c:pt idx="560">
                  <c:v>8.2894000000000009E-2</c:v>
                </c:pt>
                <c:pt idx="561">
                  <c:v>8.3089999999999997E-2</c:v>
                </c:pt>
                <c:pt idx="562">
                  <c:v>8.3283999999999997E-2</c:v>
                </c:pt>
                <c:pt idx="563">
                  <c:v>8.3477999999999997E-2</c:v>
                </c:pt>
                <c:pt idx="564">
                  <c:v>8.367200000000001E-2</c:v>
                </c:pt>
                <c:pt idx="565">
                  <c:v>8.3865999999999996E-2</c:v>
                </c:pt>
                <c:pt idx="566">
                  <c:v>8.4061999999999998E-2</c:v>
                </c:pt>
                <c:pt idx="567">
                  <c:v>8.428200000000001E-2</c:v>
                </c:pt>
                <c:pt idx="568">
                  <c:v>8.4503999999999996E-2</c:v>
                </c:pt>
                <c:pt idx="569">
                  <c:v>8.4700000000000011E-2</c:v>
                </c:pt>
                <c:pt idx="570">
                  <c:v>8.4893999999999997E-2</c:v>
                </c:pt>
                <c:pt idx="571">
                  <c:v>8.5088000000000011E-2</c:v>
                </c:pt>
                <c:pt idx="572">
                  <c:v>8.5283999999999999E-2</c:v>
                </c:pt>
                <c:pt idx="573">
                  <c:v>8.548E-2</c:v>
                </c:pt>
                <c:pt idx="574">
                  <c:v>8.5671999999999998E-2</c:v>
                </c:pt>
                <c:pt idx="575">
                  <c:v>8.5866000000000012E-2</c:v>
                </c:pt>
                <c:pt idx="576">
                  <c:v>8.609E-2</c:v>
                </c:pt>
                <c:pt idx="577">
                  <c:v>8.6312E-2</c:v>
                </c:pt>
                <c:pt idx="578">
                  <c:v>8.6531999999999998E-2</c:v>
                </c:pt>
                <c:pt idx="579">
                  <c:v>8.6756E-2</c:v>
                </c:pt>
                <c:pt idx="580">
                  <c:v>8.6975999999999998E-2</c:v>
                </c:pt>
                <c:pt idx="581">
                  <c:v>8.72E-2</c:v>
                </c:pt>
                <c:pt idx="582">
                  <c:v>8.7422E-2</c:v>
                </c:pt>
                <c:pt idx="583">
                  <c:v>8.7646000000000002E-2</c:v>
                </c:pt>
                <c:pt idx="584">
                  <c:v>8.7868000000000002E-2</c:v>
                </c:pt>
                <c:pt idx="585">
                  <c:v>8.8088E-2</c:v>
                </c:pt>
                <c:pt idx="586">
                  <c:v>8.831E-2</c:v>
                </c:pt>
                <c:pt idx="587">
                  <c:v>8.8532E-2</c:v>
                </c:pt>
                <c:pt idx="588">
                  <c:v>8.8754000000000013E-2</c:v>
                </c:pt>
                <c:pt idx="589">
                  <c:v>8.8978000000000002E-2</c:v>
                </c:pt>
                <c:pt idx="590">
                  <c:v>8.920199999999999E-2</c:v>
                </c:pt>
                <c:pt idx="591">
                  <c:v>8.942399999999999E-2</c:v>
                </c:pt>
                <c:pt idx="592">
                  <c:v>8.967E-2</c:v>
                </c:pt>
                <c:pt idx="593">
                  <c:v>8.9894000000000002E-2</c:v>
                </c:pt>
                <c:pt idx="594">
                  <c:v>9.011799999999999E-2</c:v>
                </c:pt>
                <c:pt idx="595">
                  <c:v>9.0337999999999988E-2</c:v>
                </c:pt>
                <c:pt idx="596">
                  <c:v>9.0562000000000004E-2</c:v>
                </c:pt>
                <c:pt idx="597">
                  <c:v>9.0810000000000002E-2</c:v>
                </c:pt>
                <c:pt idx="598">
                  <c:v>9.1060000000000002E-2</c:v>
                </c:pt>
                <c:pt idx="599">
                  <c:v>9.1310000000000002E-2</c:v>
                </c:pt>
                <c:pt idx="600">
                  <c:v>9.1562000000000004E-2</c:v>
                </c:pt>
                <c:pt idx="601">
                  <c:v>9.1812000000000005E-2</c:v>
                </c:pt>
                <c:pt idx="602">
                  <c:v>9.2059999999999989E-2</c:v>
                </c:pt>
                <c:pt idx="603">
                  <c:v>9.2311999999999991E-2</c:v>
                </c:pt>
                <c:pt idx="604">
                  <c:v>9.2560000000000003E-2</c:v>
                </c:pt>
                <c:pt idx="605">
                  <c:v>9.2812000000000006E-2</c:v>
                </c:pt>
                <c:pt idx="606">
                  <c:v>9.3062000000000006E-2</c:v>
                </c:pt>
                <c:pt idx="607">
                  <c:v>9.3312000000000006E-2</c:v>
                </c:pt>
                <c:pt idx="608">
                  <c:v>9.3561999999999992E-2</c:v>
                </c:pt>
                <c:pt idx="609">
                  <c:v>9.3810000000000004E-2</c:v>
                </c:pt>
                <c:pt idx="610">
                  <c:v>9.4062000000000007E-2</c:v>
                </c:pt>
                <c:pt idx="611">
                  <c:v>9.4309999999999991E-2</c:v>
                </c:pt>
                <c:pt idx="612">
                  <c:v>9.4562000000000007E-2</c:v>
                </c:pt>
                <c:pt idx="613">
                  <c:v>9.4811999999999994E-2</c:v>
                </c:pt>
                <c:pt idx="614">
                  <c:v>9.5060000000000006E-2</c:v>
                </c:pt>
                <c:pt idx="615">
                  <c:v>9.5312000000000008E-2</c:v>
                </c:pt>
                <c:pt idx="616">
                  <c:v>9.5562000000000008E-2</c:v>
                </c:pt>
                <c:pt idx="617">
                  <c:v>9.5809999999999992E-2</c:v>
                </c:pt>
                <c:pt idx="618">
                  <c:v>9.6061999999999995E-2</c:v>
                </c:pt>
                <c:pt idx="619">
                  <c:v>9.6340000000000009E-2</c:v>
                </c:pt>
                <c:pt idx="620">
                  <c:v>9.6615999999999994E-2</c:v>
                </c:pt>
                <c:pt idx="621">
                  <c:v>9.6893999999999994E-2</c:v>
                </c:pt>
                <c:pt idx="622">
                  <c:v>9.7173999999999996E-2</c:v>
                </c:pt>
                <c:pt idx="623">
                  <c:v>9.7449999999999995E-2</c:v>
                </c:pt>
                <c:pt idx="624">
                  <c:v>9.7727999999999995E-2</c:v>
                </c:pt>
                <c:pt idx="625">
                  <c:v>9.8005999999999996E-2</c:v>
                </c:pt>
                <c:pt idx="626">
                  <c:v>9.8282000000000008E-2</c:v>
                </c:pt>
                <c:pt idx="627">
                  <c:v>9.8559999999999995E-2</c:v>
                </c:pt>
                <c:pt idx="628">
                  <c:v>9.8838000000000009E-2</c:v>
                </c:pt>
                <c:pt idx="629">
                  <c:v>9.9115999999999996E-2</c:v>
                </c:pt>
                <c:pt idx="630">
                  <c:v>9.9423999999999998E-2</c:v>
                </c:pt>
                <c:pt idx="631">
                  <c:v>9.9727999999999997E-2</c:v>
                </c:pt>
                <c:pt idx="632">
                  <c:v>0.100034</c:v>
                </c:pt>
                <c:pt idx="633">
                  <c:v>0.100338</c:v>
                </c:pt>
                <c:pt idx="634">
                  <c:v>0.100644</c:v>
                </c:pt>
                <c:pt idx="635">
                  <c:v>0.10095000000000001</c:v>
                </c:pt>
                <c:pt idx="636">
                  <c:v>0.10125400000000001</c:v>
                </c:pt>
                <c:pt idx="637">
                  <c:v>0.10156000000000001</c:v>
                </c:pt>
                <c:pt idx="638">
                  <c:v>0.101866</c:v>
                </c:pt>
                <c:pt idx="639">
                  <c:v>0.102172</c:v>
                </c:pt>
                <c:pt idx="640">
                  <c:v>0.102478</c:v>
                </c:pt>
                <c:pt idx="641">
                  <c:v>0.102782</c:v>
                </c:pt>
                <c:pt idx="642">
                  <c:v>0.103088</c:v>
                </c:pt>
                <c:pt idx="643">
                  <c:v>0.103394</c:v>
                </c:pt>
                <c:pt idx="644">
                  <c:v>0.10369999999999999</c:v>
                </c:pt>
                <c:pt idx="645">
                  <c:v>0.104034</c:v>
                </c:pt>
                <c:pt idx="646">
                  <c:v>0.104366</c:v>
                </c:pt>
                <c:pt idx="647">
                  <c:v>0.104672</c:v>
                </c:pt>
                <c:pt idx="648">
                  <c:v>0.105006</c:v>
                </c:pt>
                <c:pt idx="649">
                  <c:v>0.10534</c:v>
                </c:pt>
                <c:pt idx="650">
                  <c:v>0.105672</c:v>
                </c:pt>
                <c:pt idx="651">
                  <c:v>0.106004</c:v>
                </c:pt>
                <c:pt idx="652">
                  <c:v>0.10634</c:v>
                </c:pt>
                <c:pt idx="653">
                  <c:v>0.10667199999999999</c:v>
                </c:pt>
                <c:pt idx="654">
                  <c:v>0.10700599999999999</c:v>
                </c:pt>
                <c:pt idx="655">
                  <c:v>0.107338</c:v>
                </c:pt>
                <c:pt idx="656">
                  <c:v>0.10770200000000001</c:v>
                </c:pt>
                <c:pt idx="657">
                  <c:v>0.10805999999999999</c:v>
                </c:pt>
                <c:pt idx="658">
                  <c:v>0.108422</c:v>
                </c:pt>
                <c:pt idx="659">
                  <c:v>0.10878199999999999</c:v>
                </c:pt>
                <c:pt idx="660">
                  <c:v>0.109144</c:v>
                </c:pt>
                <c:pt idx="661">
                  <c:v>0.10950599999999999</c:v>
                </c:pt>
                <c:pt idx="662">
                  <c:v>0.10986599999999999</c:v>
                </c:pt>
                <c:pt idx="663">
                  <c:v>0.11022800000000001</c:v>
                </c:pt>
                <c:pt idx="664">
                  <c:v>0.11058999999999999</c:v>
                </c:pt>
                <c:pt idx="665">
                  <c:v>0.11097799999999999</c:v>
                </c:pt>
                <c:pt idx="666">
                  <c:v>0.11136799999999999</c:v>
                </c:pt>
                <c:pt idx="667">
                  <c:v>0.11175599999999999</c:v>
                </c:pt>
                <c:pt idx="668">
                  <c:v>0.11214399999999999</c:v>
                </c:pt>
                <c:pt idx="669">
                  <c:v>0.112534</c:v>
                </c:pt>
                <c:pt idx="670">
                  <c:v>0.11292199999999999</c:v>
                </c:pt>
                <c:pt idx="671">
                  <c:v>0.113284</c:v>
                </c:pt>
                <c:pt idx="672">
                  <c:v>0.11367200000000001</c:v>
                </c:pt>
                <c:pt idx="673">
                  <c:v>0.114062</c:v>
                </c:pt>
                <c:pt idx="674">
                  <c:v>0.11445</c:v>
                </c:pt>
                <c:pt idx="675">
                  <c:v>0.11484</c:v>
                </c:pt>
                <c:pt idx="676">
                  <c:v>0.115228</c:v>
                </c:pt>
                <c:pt idx="677">
                  <c:v>0.115618</c:v>
                </c:pt>
                <c:pt idx="678">
                  <c:v>0.116006</c:v>
                </c:pt>
                <c:pt idx="679">
                  <c:v>0.11642200000000001</c:v>
                </c:pt>
                <c:pt idx="680">
                  <c:v>0.11684</c:v>
                </c:pt>
                <c:pt idx="681">
                  <c:v>0.11725400000000001</c:v>
                </c:pt>
                <c:pt idx="682">
                  <c:v>0.11767200000000001</c:v>
                </c:pt>
                <c:pt idx="683">
                  <c:v>0.118088</c:v>
                </c:pt>
                <c:pt idx="684">
                  <c:v>0.118506</c:v>
                </c:pt>
                <c:pt idx="685">
                  <c:v>0.11895</c:v>
                </c:pt>
                <c:pt idx="686">
                  <c:v>0.119396</c:v>
                </c:pt>
                <c:pt idx="687">
                  <c:v>0.119838</c:v>
                </c:pt>
                <c:pt idx="688">
                  <c:v>0.120284</c:v>
                </c:pt>
                <c:pt idx="689">
                  <c:v>0.120728</c:v>
                </c:pt>
                <c:pt idx="690">
                  <c:v>0.12119999999999999</c:v>
                </c:pt>
                <c:pt idx="691">
                  <c:v>0.121674</c:v>
                </c:pt>
                <c:pt idx="692">
                  <c:v>0.12214399999999999</c:v>
                </c:pt>
                <c:pt idx="693">
                  <c:v>0.122616</c:v>
                </c:pt>
                <c:pt idx="694">
                  <c:v>0.12308999999999999</c:v>
                </c:pt>
                <c:pt idx="695">
                  <c:v>0.12356</c:v>
                </c:pt>
                <c:pt idx="696">
                  <c:v>0.12403399999999999</c:v>
                </c:pt>
                <c:pt idx="697">
                  <c:v>0.124504</c:v>
                </c:pt>
                <c:pt idx="698">
                  <c:v>0.12497799999999999</c:v>
                </c:pt>
                <c:pt idx="699">
                  <c:v>0.12545000000000001</c:v>
                </c:pt>
                <c:pt idx="700">
                  <c:v>0.12595000000000001</c:v>
                </c:pt>
                <c:pt idx="701">
                  <c:v>0.12645000000000001</c:v>
                </c:pt>
                <c:pt idx="702">
                  <c:v>0.12695000000000001</c:v>
                </c:pt>
                <c:pt idx="703">
                  <c:v>0.12747800000000001</c:v>
                </c:pt>
                <c:pt idx="704">
                  <c:v>0.12800599999999998</c:v>
                </c:pt>
                <c:pt idx="705">
                  <c:v>0.12853199999999998</c:v>
                </c:pt>
                <c:pt idx="706">
                  <c:v>0.12909000000000001</c:v>
                </c:pt>
                <c:pt idx="707">
                  <c:v>0.12964399999999998</c:v>
                </c:pt>
                <c:pt idx="708">
                  <c:v>0.13019999999999998</c:v>
                </c:pt>
                <c:pt idx="709">
                  <c:v>0.13078400000000001</c:v>
                </c:pt>
                <c:pt idx="710">
                  <c:v>0.13136599999999998</c:v>
                </c:pt>
                <c:pt idx="711">
                  <c:v>0.13194800000000001</c:v>
                </c:pt>
                <c:pt idx="712">
                  <c:v>0.13258800000000001</c:v>
                </c:pt>
                <c:pt idx="713">
                  <c:v>0.13328400000000001</c:v>
                </c:pt>
              </c:numCache>
            </c:numRef>
          </c:cat>
          <c:val>
            <c:numRef>
              <c:f>'A11-4'!$F$2:$F$715</c:f>
              <c:numCache>
                <c:formatCode>0.00</c:formatCode>
                <c:ptCount val="714"/>
                <c:pt idx="0">
                  <c:v>3.8699197349980896E-3</c:v>
                </c:pt>
                <c:pt idx="1">
                  <c:v>0.12770735125493696</c:v>
                </c:pt>
                <c:pt idx="2">
                  <c:v>0.12770735125493696</c:v>
                </c:pt>
                <c:pt idx="3">
                  <c:v>0.12770735125493696</c:v>
                </c:pt>
                <c:pt idx="4">
                  <c:v>0.12770735125493696</c:v>
                </c:pt>
                <c:pt idx="5">
                  <c:v>0.12770735125493696</c:v>
                </c:pt>
                <c:pt idx="6">
                  <c:v>0.12770735125493696</c:v>
                </c:pt>
                <c:pt idx="7">
                  <c:v>0.12770735125493696</c:v>
                </c:pt>
                <c:pt idx="8">
                  <c:v>0.12770735125493696</c:v>
                </c:pt>
                <c:pt idx="9">
                  <c:v>0.12770735125493696</c:v>
                </c:pt>
                <c:pt idx="10">
                  <c:v>0.12770735125493696</c:v>
                </c:pt>
                <c:pt idx="11">
                  <c:v>0.12770735125493696</c:v>
                </c:pt>
                <c:pt idx="12">
                  <c:v>0.12770735125493696</c:v>
                </c:pt>
                <c:pt idx="13">
                  <c:v>0.12770735125493696</c:v>
                </c:pt>
                <c:pt idx="14">
                  <c:v>0.12770735125493696</c:v>
                </c:pt>
                <c:pt idx="15">
                  <c:v>0.12770735125493696</c:v>
                </c:pt>
                <c:pt idx="16">
                  <c:v>0.12770735125493696</c:v>
                </c:pt>
                <c:pt idx="17">
                  <c:v>0.12770735125493696</c:v>
                </c:pt>
                <c:pt idx="18">
                  <c:v>0.12770735125493696</c:v>
                </c:pt>
                <c:pt idx="19">
                  <c:v>0.12770735125493696</c:v>
                </c:pt>
                <c:pt idx="20">
                  <c:v>0.12770735125493696</c:v>
                </c:pt>
                <c:pt idx="21">
                  <c:v>0.12770735125493696</c:v>
                </c:pt>
                <c:pt idx="22">
                  <c:v>0.13157727098993505</c:v>
                </c:pt>
                <c:pt idx="23">
                  <c:v>0.13157727098993505</c:v>
                </c:pt>
                <c:pt idx="24">
                  <c:v>0.13157727098993505</c:v>
                </c:pt>
                <c:pt idx="25">
                  <c:v>0.13157727098993505</c:v>
                </c:pt>
                <c:pt idx="26">
                  <c:v>0.13157727098993505</c:v>
                </c:pt>
                <c:pt idx="27">
                  <c:v>0.13157727098993505</c:v>
                </c:pt>
                <c:pt idx="28">
                  <c:v>0.13157727098993505</c:v>
                </c:pt>
                <c:pt idx="29">
                  <c:v>0.13157727098993505</c:v>
                </c:pt>
                <c:pt idx="30">
                  <c:v>0.13157727098993505</c:v>
                </c:pt>
                <c:pt idx="31">
                  <c:v>0.13157727098993505</c:v>
                </c:pt>
                <c:pt idx="32">
                  <c:v>0.13157727098993505</c:v>
                </c:pt>
                <c:pt idx="33">
                  <c:v>0.13157727098993505</c:v>
                </c:pt>
                <c:pt idx="34">
                  <c:v>0.13157727098993505</c:v>
                </c:pt>
                <c:pt idx="35">
                  <c:v>0.13544719072493314</c:v>
                </c:pt>
                <c:pt idx="36">
                  <c:v>0.13544719072493314</c:v>
                </c:pt>
                <c:pt idx="37">
                  <c:v>0.13544719072493314</c:v>
                </c:pt>
                <c:pt idx="38">
                  <c:v>0.13544719072493314</c:v>
                </c:pt>
                <c:pt idx="39">
                  <c:v>0.13544719072493314</c:v>
                </c:pt>
                <c:pt idx="40">
                  <c:v>0.13544719072493314</c:v>
                </c:pt>
                <c:pt idx="41">
                  <c:v>0.13544719072493314</c:v>
                </c:pt>
                <c:pt idx="42">
                  <c:v>0.13544719072493314</c:v>
                </c:pt>
                <c:pt idx="43">
                  <c:v>0.13544719072493314</c:v>
                </c:pt>
                <c:pt idx="44">
                  <c:v>0.13157727098993505</c:v>
                </c:pt>
                <c:pt idx="45">
                  <c:v>0.13157727098993505</c:v>
                </c:pt>
                <c:pt idx="46">
                  <c:v>0.13157727098993505</c:v>
                </c:pt>
                <c:pt idx="47">
                  <c:v>0.13157727098993505</c:v>
                </c:pt>
                <c:pt idx="48">
                  <c:v>0.13157727098993505</c:v>
                </c:pt>
                <c:pt idx="49">
                  <c:v>0.13157727098993505</c:v>
                </c:pt>
                <c:pt idx="50">
                  <c:v>0.13157727098993505</c:v>
                </c:pt>
                <c:pt idx="51">
                  <c:v>0.13157727098993505</c:v>
                </c:pt>
                <c:pt idx="52">
                  <c:v>0.13157727098993505</c:v>
                </c:pt>
                <c:pt idx="53">
                  <c:v>0.13157727098993505</c:v>
                </c:pt>
                <c:pt idx="54">
                  <c:v>0.13157727098993505</c:v>
                </c:pt>
                <c:pt idx="55">
                  <c:v>0.13157727098993505</c:v>
                </c:pt>
                <c:pt idx="56">
                  <c:v>0.13544719072493314</c:v>
                </c:pt>
                <c:pt idx="57">
                  <c:v>0.13157727098993505</c:v>
                </c:pt>
                <c:pt idx="58">
                  <c:v>0.13157727098993505</c:v>
                </c:pt>
                <c:pt idx="59">
                  <c:v>0.13157727098993505</c:v>
                </c:pt>
                <c:pt idx="60">
                  <c:v>0.13544719072493314</c:v>
                </c:pt>
                <c:pt idx="61">
                  <c:v>0.13157727098993505</c:v>
                </c:pt>
                <c:pt idx="62">
                  <c:v>0.13544719072493314</c:v>
                </c:pt>
                <c:pt idx="63">
                  <c:v>0.13157727098993505</c:v>
                </c:pt>
                <c:pt idx="64">
                  <c:v>0.13157727098993505</c:v>
                </c:pt>
                <c:pt idx="65">
                  <c:v>0.13157727098993505</c:v>
                </c:pt>
                <c:pt idx="66">
                  <c:v>0.13544719072493314</c:v>
                </c:pt>
                <c:pt idx="67">
                  <c:v>0.13544719072493314</c:v>
                </c:pt>
                <c:pt idx="68">
                  <c:v>0.13544719072493314</c:v>
                </c:pt>
                <c:pt idx="69">
                  <c:v>0.13157727098993505</c:v>
                </c:pt>
                <c:pt idx="70">
                  <c:v>0.13157727098993505</c:v>
                </c:pt>
                <c:pt idx="71">
                  <c:v>0.13157727098993505</c:v>
                </c:pt>
                <c:pt idx="72">
                  <c:v>0.13157727098993505</c:v>
                </c:pt>
                <c:pt idx="73">
                  <c:v>0.13157727098993505</c:v>
                </c:pt>
                <c:pt idx="74">
                  <c:v>0.13157727098993505</c:v>
                </c:pt>
                <c:pt idx="75">
                  <c:v>0.13157727098993505</c:v>
                </c:pt>
                <c:pt idx="76">
                  <c:v>0.13157727098993505</c:v>
                </c:pt>
                <c:pt idx="77">
                  <c:v>0.13544719072493314</c:v>
                </c:pt>
                <c:pt idx="78">
                  <c:v>0.13544719072493314</c:v>
                </c:pt>
                <c:pt idx="79">
                  <c:v>0.13544719072493314</c:v>
                </c:pt>
                <c:pt idx="80">
                  <c:v>0.13544719072493314</c:v>
                </c:pt>
                <c:pt idx="81">
                  <c:v>0.13544719072493314</c:v>
                </c:pt>
                <c:pt idx="82">
                  <c:v>0.13544719072493314</c:v>
                </c:pt>
                <c:pt idx="83">
                  <c:v>0.13544719072493314</c:v>
                </c:pt>
                <c:pt idx="84">
                  <c:v>0.13544719072493314</c:v>
                </c:pt>
                <c:pt idx="85">
                  <c:v>0.13544719072493314</c:v>
                </c:pt>
                <c:pt idx="86">
                  <c:v>0.13544719072493314</c:v>
                </c:pt>
                <c:pt idx="87">
                  <c:v>0.13544719072493314</c:v>
                </c:pt>
                <c:pt idx="88">
                  <c:v>0.13544719072493314</c:v>
                </c:pt>
                <c:pt idx="89">
                  <c:v>0.13544719072493314</c:v>
                </c:pt>
                <c:pt idx="90">
                  <c:v>0.13544719072493314</c:v>
                </c:pt>
                <c:pt idx="91">
                  <c:v>0.13157727098993505</c:v>
                </c:pt>
                <c:pt idx="92">
                  <c:v>0.13157727098993505</c:v>
                </c:pt>
                <c:pt idx="93">
                  <c:v>0.13544719072493314</c:v>
                </c:pt>
                <c:pt idx="94">
                  <c:v>0.13544719072493314</c:v>
                </c:pt>
                <c:pt idx="95">
                  <c:v>0.13544719072493314</c:v>
                </c:pt>
                <c:pt idx="96">
                  <c:v>0.13157727098993505</c:v>
                </c:pt>
                <c:pt idx="97">
                  <c:v>0.13157727098993505</c:v>
                </c:pt>
                <c:pt idx="98">
                  <c:v>0.13157727098993505</c:v>
                </c:pt>
                <c:pt idx="99">
                  <c:v>0.13157727098993505</c:v>
                </c:pt>
                <c:pt idx="100">
                  <c:v>0.13157727098993505</c:v>
                </c:pt>
                <c:pt idx="101">
                  <c:v>0.13157727098993505</c:v>
                </c:pt>
                <c:pt idx="102">
                  <c:v>0.13544719072493314</c:v>
                </c:pt>
                <c:pt idx="103">
                  <c:v>0.13544719072493314</c:v>
                </c:pt>
                <c:pt idx="104">
                  <c:v>0.13544719072493314</c:v>
                </c:pt>
                <c:pt idx="105">
                  <c:v>0.13544719072493314</c:v>
                </c:pt>
                <c:pt idx="106">
                  <c:v>0.13931711045993123</c:v>
                </c:pt>
                <c:pt idx="107">
                  <c:v>0.13931711045993123</c:v>
                </c:pt>
                <c:pt idx="108">
                  <c:v>0.13931711045993123</c:v>
                </c:pt>
                <c:pt idx="109">
                  <c:v>0.13931711045993123</c:v>
                </c:pt>
                <c:pt idx="110">
                  <c:v>0.13931711045993123</c:v>
                </c:pt>
                <c:pt idx="111">
                  <c:v>0.14318703019492932</c:v>
                </c:pt>
                <c:pt idx="112">
                  <c:v>0.14318703019492932</c:v>
                </c:pt>
                <c:pt idx="113">
                  <c:v>0.14705694992992738</c:v>
                </c:pt>
                <c:pt idx="114">
                  <c:v>0.14705694992992738</c:v>
                </c:pt>
                <c:pt idx="115">
                  <c:v>0.14705694992992738</c:v>
                </c:pt>
                <c:pt idx="116">
                  <c:v>0.14705694992992738</c:v>
                </c:pt>
                <c:pt idx="117">
                  <c:v>0.14705694992992738</c:v>
                </c:pt>
                <c:pt idx="118">
                  <c:v>0.14705694992992738</c:v>
                </c:pt>
                <c:pt idx="119">
                  <c:v>0.15092686966492547</c:v>
                </c:pt>
                <c:pt idx="120">
                  <c:v>0.15479678939992358</c:v>
                </c:pt>
                <c:pt idx="121">
                  <c:v>0.16253662886991974</c:v>
                </c:pt>
                <c:pt idx="122">
                  <c:v>0.15866670913492167</c:v>
                </c:pt>
                <c:pt idx="123">
                  <c:v>0.15866670913492167</c:v>
                </c:pt>
                <c:pt idx="124">
                  <c:v>0.15866670913492167</c:v>
                </c:pt>
                <c:pt idx="125">
                  <c:v>0.15866670913492167</c:v>
                </c:pt>
                <c:pt idx="126">
                  <c:v>0.15866670913492167</c:v>
                </c:pt>
                <c:pt idx="127">
                  <c:v>0.15866670913492167</c:v>
                </c:pt>
                <c:pt idx="128">
                  <c:v>0.15866670913492167</c:v>
                </c:pt>
                <c:pt idx="129">
                  <c:v>0.16253662886991974</c:v>
                </c:pt>
                <c:pt idx="130">
                  <c:v>0.17801403272482391</c:v>
                </c:pt>
                <c:pt idx="131">
                  <c:v>0.18962379192981821</c:v>
                </c:pt>
                <c:pt idx="132">
                  <c:v>0.20123355113481248</c:v>
                </c:pt>
                <c:pt idx="133">
                  <c:v>0.20897339060480863</c:v>
                </c:pt>
                <c:pt idx="134">
                  <c:v>0.21284331033980672</c:v>
                </c:pt>
                <c:pt idx="135">
                  <c:v>0.21284331033980672</c:v>
                </c:pt>
                <c:pt idx="136">
                  <c:v>0.21284331033980672</c:v>
                </c:pt>
                <c:pt idx="137">
                  <c:v>0.21284331033980672</c:v>
                </c:pt>
                <c:pt idx="138">
                  <c:v>0.21284331033980672</c:v>
                </c:pt>
                <c:pt idx="139">
                  <c:v>0.21284331033980672</c:v>
                </c:pt>
                <c:pt idx="140">
                  <c:v>0.21284331033980672</c:v>
                </c:pt>
                <c:pt idx="141">
                  <c:v>0.21284331033980672</c:v>
                </c:pt>
                <c:pt idx="142">
                  <c:v>0.21284331033980672</c:v>
                </c:pt>
                <c:pt idx="143">
                  <c:v>0.21284331033980672</c:v>
                </c:pt>
                <c:pt idx="144">
                  <c:v>0.21284331033980672</c:v>
                </c:pt>
                <c:pt idx="145">
                  <c:v>0.21284331033980672</c:v>
                </c:pt>
                <c:pt idx="146">
                  <c:v>0.21284331033980672</c:v>
                </c:pt>
                <c:pt idx="147">
                  <c:v>0.21284331033980672</c:v>
                </c:pt>
                <c:pt idx="148">
                  <c:v>0.21284331033980672</c:v>
                </c:pt>
                <c:pt idx="149">
                  <c:v>0.21284331033980672</c:v>
                </c:pt>
                <c:pt idx="150">
                  <c:v>0.21671323007480481</c:v>
                </c:pt>
                <c:pt idx="151">
                  <c:v>0.21671323007480481</c:v>
                </c:pt>
                <c:pt idx="152">
                  <c:v>0.21671323007480481</c:v>
                </c:pt>
                <c:pt idx="153">
                  <c:v>0.21671323007480481</c:v>
                </c:pt>
                <c:pt idx="154">
                  <c:v>0.22832753944997544</c:v>
                </c:pt>
                <c:pt idx="155">
                  <c:v>0.24379811804961507</c:v>
                </c:pt>
                <c:pt idx="156">
                  <c:v>0.25542380285022664</c:v>
                </c:pt>
                <c:pt idx="157">
                  <c:v>0.25929144750013655</c:v>
                </c:pt>
                <c:pt idx="158">
                  <c:v>0.26315909215004646</c:v>
                </c:pt>
                <c:pt idx="159">
                  <c:v>0.26315909215004646</c:v>
                </c:pt>
                <c:pt idx="160">
                  <c:v>0.26315909215004646</c:v>
                </c:pt>
                <c:pt idx="161">
                  <c:v>0.26315909215004646</c:v>
                </c:pt>
                <c:pt idx="162">
                  <c:v>0.26315909215004646</c:v>
                </c:pt>
                <c:pt idx="163">
                  <c:v>0.26315909215004646</c:v>
                </c:pt>
                <c:pt idx="164">
                  <c:v>0.26315909215004646</c:v>
                </c:pt>
                <c:pt idx="165">
                  <c:v>0.26315909215004646</c:v>
                </c:pt>
                <c:pt idx="166">
                  <c:v>0.26315909215004646</c:v>
                </c:pt>
                <c:pt idx="167">
                  <c:v>0.26315909215004646</c:v>
                </c:pt>
                <c:pt idx="168">
                  <c:v>0.26315909215004646</c:v>
                </c:pt>
                <c:pt idx="169">
                  <c:v>0.26315909215004646</c:v>
                </c:pt>
                <c:pt idx="170">
                  <c:v>0.26315909215004646</c:v>
                </c:pt>
                <c:pt idx="171">
                  <c:v>0.26702673679995637</c:v>
                </c:pt>
                <c:pt idx="172">
                  <c:v>0.26315909215004646</c:v>
                </c:pt>
                <c:pt idx="173">
                  <c:v>0.26702673679995637</c:v>
                </c:pt>
                <c:pt idx="174">
                  <c:v>0.26315909215004646</c:v>
                </c:pt>
                <c:pt idx="175">
                  <c:v>0.26702673679995637</c:v>
                </c:pt>
                <c:pt idx="176">
                  <c:v>0.26702673679995637</c:v>
                </c:pt>
                <c:pt idx="177">
                  <c:v>0.26702673679995637</c:v>
                </c:pt>
                <c:pt idx="178">
                  <c:v>0.26702673679995637</c:v>
                </c:pt>
                <c:pt idx="179">
                  <c:v>0.26702673679995637</c:v>
                </c:pt>
                <c:pt idx="180">
                  <c:v>0.27089438144986627</c:v>
                </c:pt>
                <c:pt idx="181">
                  <c:v>0.27089438144986627</c:v>
                </c:pt>
                <c:pt idx="182">
                  <c:v>0.27089438144986627</c:v>
                </c:pt>
                <c:pt idx="183">
                  <c:v>0.27476202609977612</c:v>
                </c:pt>
                <c:pt idx="184">
                  <c:v>0.27476202609977612</c:v>
                </c:pt>
                <c:pt idx="185">
                  <c:v>0.27476202609977612</c:v>
                </c:pt>
                <c:pt idx="186">
                  <c:v>0.27862967074968609</c:v>
                </c:pt>
                <c:pt idx="187">
                  <c:v>0.27862967074968609</c:v>
                </c:pt>
                <c:pt idx="188">
                  <c:v>0.27862967074968609</c:v>
                </c:pt>
                <c:pt idx="189">
                  <c:v>0.28249731539959599</c:v>
                </c:pt>
                <c:pt idx="190">
                  <c:v>0.28249731539959599</c:v>
                </c:pt>
                <c:pt idx="191">
                  <c:v>0.28636496004950585</c:v>
                </c:pt>
                <c:pt idx="192">
                  <c:v>0.29023260469941581</c:v>
                </c:pt>
                <c:pt idx="193">
                  <c:v>0.30185828950002735</c:v>
                </c:pt>
                <c:pt idx="194">
                  <c:v>0.31346122344975708</c:v>
                </c:pt>
                <c:pt idx="195">
                  <c:v>0.32893180204939665</c:v>
                </c:pt>
                <c:pt idx="196">
                  <c:v>0.3444251314999181</c:v>
                </c:pt>
                <c:pt idx="197">
                  <c:v>0.35602806544964782</c:v>
                </c:pt>
                <c:pt idx="198">
                  <c:v>0.36376335474946769</c:v>
                </c:pt>
                <c:pt idx="199">
                  <c:v>0.36763099939937754</c:v>
                </c:pt>
                <c:pt idx="200">
                  <c:v>0.37538903955007918</c:v>
                </c:pt>
                <c:pt idx="201">
                  <c:v>0.38312432884989905</c:v>
                </c:pt>
                <c:pt idx="202">
                  <c:v>0.39085961814971887</c:v>
                </c:pt>
                <c:pt idx="203">
                  <c:v>0.40246255209944864</c:v>
                </c:pt>
                <c:pt idx="204">
                  <c:v>0.41408823690006014</c:v>
                </c:pt>
                <c:pt idx="205">
                  <c:v>0.4256911708497898</c:v>
                </c:pt>
                <c:pt idx="206">
                  <c:v>0.44116174944942943</c:v>
                </c:pt>
                <c:pt idx="207">
                  <c:v>0.45278743425004103</c:v>
                </c:pt>
                <c:pt idx="208">
                  <c:v>0.4643903681997707</c:v>
                </c:pt>
                <c:pt idx="209">
                  <c:v>0.47212565749959051</c:v>
                </c:pt>
                <c:pt idx="210">
                  <c:v>0.48759623609923014</c:v>
                </c:pt>
                <c:pt idx="211">
                  <c:v>0.49922192089984174</c:v>
                </c:pt>
                <c:pt idx="212">
                  <c:v>0.51082485484957141</c:v>
                </c:pt>
                <c:pt idx="213">
                  <c:v>0.52629543344921104</c:v>
                </c:pt>
                <c:pt idx="214">
                  <c:v>0.54178876289973255</c:v>
                </c:pt>
                <c:pt idx="215">
                  <c:v>0.55725934149937217</c:v>
                </c:pt>
                <c:pt idx="216">
                  <c:v>0.57275267094989368</c:v>
                </c:pt>
                <c:pt idx="217">
                  <c:v>0.5882232495495332</c:v>
                </c:pt>
                <c:pt idx="218">
                  <c:v>0.60369382814917283</c:v>
                </c:pt>
                <c:pt idx="219">
                  <c:v>0.61918715759969434</c:v>
                </c:pt>
                <c:pt idx="220">
                  <c:v>0.63465773619933397</c:v>
                </c:pt>
                <c:pt idx="221">
                  <c:v>0.65015106564985536</c:v>
                </c:pt>
                <c:pt idx="222">
                  <c:v>0.66562164424949499</c:v>
                </c:pt>
                <c:pt idx="223">
                  <c:v>0.68109222284913473</c:v>
                </c:pt>
                <c:pt idx="224">
                  <c:v>0.69658555229965613</c:v>
                </c:pt>
                <c:pt idx="225">
                  <c:v>0.71205613089929565</c:v>
                </c:pt>
                <c:pt idx="226">
                  <c:v>0.72754946034981716</c:v>
                </c:pt>
                <c:pt idx="227">
                  <c:v>0.74302003894945678</c:v>
                </c:pt>
                <c:pt idx="228">
                  <c:v>0.75849061754909641</c:v>
                </c:pt>
                <c:pt idx="229">
                  <c:v>0.77398394699961792</c:v>
                </c:pt>
                <c:pt idx="230">
                  <c:v>0.78945452559925755</c:v>
                </c:pt>
                <c:pt idx="231">
                  <c:v>0.80494785504977895</c:v>
                </c:pt>
                <c:pt idx="232">
                  <c:v>0.82041843364941869</c:v>
                </c:pt>
                <c:pt idx="233">
                  <c:v>0.83588901224905821</c:v>
                </c:pt>
                <c:pt idx="234">
                  <c:v>0.8513823416995796</c:v>
                </c:pt>
                <c:pt idx="235">
                  <c:v>0.86685292029921923</c:v>
                </c:pt>
                <c:pt idx="236">
                  <c:v>0.88234624974974085</c:v>
                </c:pt>
                <c:pt idx="237">
                  <c:v>0.89781682834938037</c:v>
                </c:pt>
                <c:pt idx="238">
                  <c:v>0.91328740694902</c:v>
                </c:pt>
                <c:pt idx="239">
                  <c:v>0.9287807363995414</c:v>
                </c:pt>
                <c:pt idx="240">
                  <c:v>0.94425131499918102</c:v>
                </c:pt>
                <c:pt idx="241">
                  <c:v>0.95974464444970253</c:v>
                </c:pt>
                <c:pt idx="242">
                  <c:v>0.97521522304934227</c:v>
                </c:pt>
                <c:pt idx="243">
                  <c:v>0.9906858016489819</c:v>
                </c:pt>
                <c:pt idx="244">
                  <c:v>1.0061791310995032</c:v>
                </c:pt>
                <c:pt idx="245">
                  <c:v>1.0216497096991428</c:v>
                </c:pt>
                <c:pt idx="246">
                  <c:v>1.0371202882987824</c:v>
                </c:pt>
                <c:pt idx="247">
                  <c:v>1.052613617749304</c:v>
                </c:pt>
                <c:pt idx="248">
                  <c:v>1.0680841963489438</c:v>
                </c:pt>
                <c:pt idx="249">
                  <c:v>1.0835775257994651</c:v>
                </c:pt>
                <c:pt idx="250">
                  <c:v>1.0990481043991045</c:v>
                </c:pt>
                <c:pt idx="251">
                  <c:v>1.1145186829987443</c:v>
                </c:pt>
                <c:pt idx="252">
                  <c:v>1.1300120124492656</c:v>
                </c:pt>
                <c:pt idx="253">
                  <c:v>1.1454825910489055</c:v>
                </c:pt>
                <c:pt idx="254">
                  <c:v>1.1609759204994268</c:v>
                </c:pt>
                <c:pt idx="255">
                  <c:v>1.1764464990990664</c:v>
                </c:pt>
                <c:pt idx="256">
                  <c:v>1.1919170776987063</c:v>
                </c:pt>
                <c:pt idx="257">
                  <c:v>1.2074104071492275</c:v>
                </c:pt>
                <c:pt idx="258">
                  <c:v>1.2228809857488669</c:v>
                </c:pt>
                <c:pt idx="259">
                  <c:v>1.2383743151993887</c:v>
                </c:pt>
                <c:pt idx="260">
                  <c:v>1.2538448937990283</c:v>
                </c:pt>
                <c:pt idx="261">
                  <c:v>1.2693154723986679</c:v>
                </c:pt>
                <c:pt idx="262">
                  <c:v>1.2848088018491892</c:v>
                </c:pt>
                <c:pt idx="263">
                  <c:v>1.3002793804488288</c:v>
                </c:pt>
                <c:pt idx="264">
                  <c:v>1.3157727098993506</c:v>
                </c:pt>
                <c:pt idx="265">
                  <c:v>1.33124328849899</c:v>
                </c:pt>
                <c:pt idx="266">
                  <c:v>1.3467138670986296</c:v>
                </c:pt>
                <c:pt idx="267">
                  <c:v>1.3622071965491511</c:v>
                </c:pt>
                <c:pt idx="268">
                  <c:v>1.3815454197987007</c:v>
                </c:pt>
                <c:pt idx="269">
                  <c:v>1.397038749249222</c:v>
                </c:pt>
                <c:pt idx="270">
                  <c:v>1.4125093278488616</c:v>
                </c:pt>
                <c:pt idx="271">
                  <c:v>1.4279799064485015</c:v>
                </c:pt>
                <c:pt idx="272">
                  <c:v>1.4434732358990228</c:v>
                </c:pt>
                <c:pt idx="273">
                  <c:v>1.4589438144986622</c:v>
                </c:pt>
                <c:pt idx="274">
                  <c:v>1.4744371439491841</c:v>
                </c:pt>
                <c:pt idx="275">
                  <c:v>1.4899077225488235</c:v>
                </c:pt>
                <c:pt idx="276">
                  <c:v>1.5053783011484634</c:v>
                </c:pt>
                <c:pt idx="277">
                  <c:v>1.5208716305989847</c:v>
                </c:pt>
                <c:pt idx="278">
                  <c:v>1.5402098538485343</c:v>
                </c:pt>
                <c:pt idx="279">
                  <c:v>1.5557031832990555</c:v>
                </c:pt>
                <c:pt idx="280">
                  <c:v>1.5711737618986952</c:v>
                </c:pt>
                <c:pt idx="281">
                  <c:v>1.5866670913492167</c:v>
                </c:pt>
                <c:pt idx="282">
                  <c:v>1.6060053145987661</c:v>
                </c:pt>
                <c:pt idx="283">
                  <c:v>1.6214758931984059</c:v>
                </c:pt>
                <c:pt idx="284">
                  <c:v>1.6369692226489272</c:v>
                </c:pt>
                <c:pt idx="285">
                  <c:v>1.652439801248567</c:v>
                </c:pt>
                <c:pt idx="286">
                  <c:v>1.6718007753489983</c:v>
                </c:pt>
                <c:pt idx="287">
                  <c:v>1.6872713539486379</c:v>
                </c:pt>
                <c:pt idx="288">
                  <c:v>1.7027419325482775</c:v>
                </c:pt>
                <c:pt idx="289">
                  <c:v>1.7182352619987988</c:v>
                </c:pt>
                <c:pt idx="290">
                  <c:v>1.7375734852483484</c:v>
                </c:pt>
                <c:pt idx="291">
                  <c:v>1.7569344593487799</c:v>
                </c:pt>
                <c:pt idx="292">
                  <c:v>1.7762726825983295</c:v>
                </c:pt>
                <c:pt idx="293">
                  <c:v>1.791766012048851</c:v>
                </c:pt>
                <c:pt idx="294">
                  <c:v>1.8072365906484906</c:v>
                </c:pt>
                <c:pt idx="295">
                  <c:v>1.8227299200990121</c:v>
                </c:pt>
                <c:pt idx="296">
                  <c:v>1.8382004986986515</c:v>
                </c:pt>
                <c:pt idx="297">
                  <c:v>1.8536710772982912</c:v>
                </c:pt>
                <c:pt idx="298">
                  <c:v>1.8730320513987226</c:v>
                </c:pt>
                <c:pt idx="299">
                  <c:v>1.888502629998362</c:v>
                </c:pt>
                <c:pt idx="300">
                  <c:v>1.9039959594488836</c:v>
                </c:pt>
                <c:pt idx="301">
                  <c:v>1.9194665380485232</c:v>
                </c:pt>
                <c:pt idx="302">
                  <c:v>1.9349371166481633</c:v>
                </c:pt>
                <c:pt idx="303">
                  <c:v>1.9504304460986845</c:v>
                </c:pt>
                <c:pt idx="304">
                  <c:v>1.9697686693482339</c:v>
                </c:pt>
                <c:pt idx="305">
                  <c:v>1.9852619987987552</c:v>
                </c:pt>
                <c:pt idx="306">
                  <c:v>2.0007325773983951</c:v>
                </c:pt>
                <c:pt idx="307">
                  <c:v>2.0162031559980345</c:v>
                </c:pt>
                <c:pt idx="308">
                  <c:v>2.0316964854485562</c:v>
                </c:pt>
                <c:pt idx="309">
                  <c:v>2.0471670640481956</c:v>
                </c:pt>
                <c:pt idx="310">
                  <c:v>2.0665280381486268</c:v>
                </c:pt>
                <c:pt idx="311">
                  <c:v>2.0819986167482667</c:v>
                </c:pt>
                <c:pt idx="312">
                  <c:v>2.097491946198788</c:v>
                </c:pt>
                <c:pt idx="313">
                  <c:v>2.1129625247984278</c:v>
                </c:pt>
                <c:pt idx="314">
                  <c:v>2.1284331033980672</c:v>
                </c:pt>
                <c:pt idx="315">
                  <c:v>2.143926432848589</c:v>
                </c:pt>
                <c:pt idx="316">
                  <c:v>2.1632646560981379</c:v>
                </c:pt>
                <c:pt idx="317">
                  <c:v>2.1787579855486601</c:v>
                </c:pt>
                <c:pt idx="318">
                  <c:v>2.1942285641482995</c:v>
                </c:pt>
                <c:pt idx="319">
                  <c:v>2.2135895382487307</c:v>
                </c:pt>
                <c:pt idx="320">
                  <c:v>2.2290601168483706</c:v>
                </c:pt>
                <c:pt idx="321">
                  <c:v>2.24453069544801</c:v>
                </c:pt>
                <c:pt idx="322">
                  <c:v>2.2600240248985313</c:v>
                </c:pt>
                <c:pt idx="323">
                  <c:v>2.2794077498498448</c:v>
                </c:pt>
                <c:pt idx="324">
                  <c:v>2.2948783284494843</c:v>
                </c:pt>
                <c:pt idx="325">
                  <c:v>2.3103489070491241</c:v>
                </c:pt>
                <c:pt idx="326">
                  <c:v>2.325819485648764</c:v>
                </c:pt>
                <c:pt idx="327">
                  <c:v>2.3412900642484029</c:v>
                </c:pt>
                <c:pt idx="328">
                  <c:v>2.3606282874979532</c:v>
                </c:pt>
                <c:pt idx="329">
                  <c:v>2.3760988660975921</c:v>
                </c:pt>
                <c:pt idx="330">
                  <c:v>2.3954370893471424</c:v>
                </c:pt>
                <c:pt idx="331">
                  <c:v>2.4109076679467814</c:v>
                </c:pt>
                <c:pt idx="332">
                  <c:v>2.4302458911963312</c:v>
                </c:pt>
                <c:pt idx="333">
                  <c:v>2.4457164697959706</c:v>
                </c:pt>
                <c:pt idx="334">
                  <c:v>2.4650546930455204</c:v>
                </c:pt>
                <c:pt idx="335">
                  <c:v>2.4843929162950698</c:v>
                </c:pt>
                <c:pt idx="336">
                  <c:v>2.4998634948947096</c:v>
                </c:pt>
                <c:pt idx="337">
                  <c:v>2.519201718144259</c:v>
                </c:pt>
                <c:pt idx="338">
                  <c:v>2.5385399413938083</c:v>
                </c:pt>
                <c:pt idx="339">
                  <c:v>2.5542380285022666</c:v>
                </c:pt>
                <c:pt idx="340">
                  <c:v>2.5735762517518159</c:v>
                </c:pt>
                <c:pt idx="341">
                  <c:v>2.5929144750013653</c:v>
                </c:pt>
                <c:pt idx="342">
                  <c:v>2.6083850536010051</c:v>
                </c:pt>
                <c:pt idx="343">
                  <c:v>2.623855632200645</c:v>
                </c:pt>
                <c:pt idx="344">
                  <c:v>2.6393262108002844</c:v>
                </c:pt>
                <c:pt idx="345">
                  <c:v>2.6586644340498342</c:v>
                </c:pt>
                <c:pt idx="346">
                  <c:v>2.6780026572993831</c:v>
                </c:pt>
                <c:pt idx="347">
                  <c:v>2.6934732358990234</c:v>
                </c:pt>
                <c:pt idx="348">
                  <c:v>2.7089438144986624</c:v>
                </c:pt>
                <c:pt idx="349">
                  <c:v>2.7282820377482122</c:v>
                </c:pt>
                <c:pt idx="350">
                  <c:v>2.7437526163478516</c:v>
                </c:pt>
                <c:pt idx="351">
                  <c:v>2.7630908395974014</c:v>
                </c:pt>
                <c:pt idx="352">
                  <c:v>2.7824290628469508</c:v>
                </c:pt>
                <c:pt idx="353">
                  <c:v>2.8017672860965006</c:v>
                </c:pt>
                <c:pt idx="354">
                  <c:v>2.81723786469614</c:v>
                </c:pt>
                <c:pt idx="355">
                  <c:v>2.8327084432957794</c:v>
                </c:pt>
                <c:pt idx="356">
                  <c:v>2.8481790218954193</c:v>
                </c:pt>
                <c:pt idx="357">
                  <c:v>2.8675172451449686</c:v>
                </c:pt>
                <c:pt idx="358">
                  <c:v>2.8868554683945185</c:v>
                </c:pt>
                <c:pt idx="359">
                  <c:v>2.9023260469941579</c:v>
                </c:pt>
                <c:pt idx="360">
                  <c:v>2.9216642702437072</c:v>
                </c:pt>
                <c:pt idx="361">
                  <c:v>2.9412300020020754</c:v>
                </c:pt>
                <c:pt idx="362">
                  <c:v>2.9605682252516248</c:v>
                </c:pt>
                <c:pt idx="363">
                  <c:v>2.9760388038512646</c:v>
                </c:pt>
                <c:pt idx="364">
                  <c:v>3.0031123164006335</c:v>
                </c:pt>
                <c:pt idx="365">
                  <c:v>3.0263181843000933</c:v>
                </c:pt>
                <c:pt idx="366">
                  <c:v>3.0533916968494625</c:v>
                </c:pt>
                <c:pt idx="367">
                  <c:v>3.0765975647489219</c:v>
                </c:pt>
                <c:pt idx="368">
                  <c:v>3.1036710772982912</c:v>
                </c:pt>
                <c:pt idx="369">
                  <c:v>3.1307445898476609</c:v>
                </c:pt>
                <c:pt idx="370">
                  <c:v>3.1539504577471198</c:v>
                </c:pt>
                <c:pt idx="371">
                  <c:v>3.1810239702964895</c:v>
                </c:pt>
                <c:pt idx="372">
                  <c:v>3.2042298381959489</c:v>
                </c:pt>
                <c:pt idx="373">
                  <c:v>3.2274357060954086</c:v>
                </c:pt>
                <c:pt idx="374">
                  <c:v>3.250641573994868</c:v>
                </c:pt>
                <c:pt idx="375">
                  <c:v>3.2777150865442373</c:v>
                </c:pt>
                <c:pt idx="376">
                  <c:v>3.3047885990936061</c:v>
                </c:pt>
                <c:pt idx="377">
                  <c:v>3.3320896201517947</c:v>
                </c:pt>
                <c:pt idx="378">
                  <c:v>3.3591631327011635</c:v>
                </c:pt>
                <c:pt idx="379">
                  <c:v>3.3862366452505328</c:v>
                </c:pt>
                <c:pt idx="380">
                  <c:v>3.4133101577999025</c:v>
                </c:pt>
                <c:pt idx="381">
                  <c:v>3.4403836703492714</c:v>
                </c:pt>
                <c:pt idx="382">
                  <c:v>3.4635895382487312</c:v>
                </c:pt>
                <c:pt idx="383">
                  <c:v>3.4906630507981005</c:v>
                </c:pt>
                <c:pt idx="384">
                  <c:v>3.5138689186975598</c:v>
                </c:pt>
                <c:pt idx="385">
                  <c:v>3.5409424312469291</c:v>
                </c:pt>
                <c:pt idx="386">
                  <c:v>3.5641482991463889</c:v>
                </c:pt>
                <c:pt idx="387">
                  <c:v>3.5912218116957577</c:v>
                </c:pt>
                <c:pt idx="388">
                  <c:v>3.6144276795952175</c:v>
                </c:pt>
                <c:pt idx="389">
                  <c:v>3.6415011921445868</c:v>
                </c:pt>
                <c:pt idx="390">
                  <c:v>3.6647070600440466</c:v>
                </c:pt>
                <c:pt idx="391">
                  <c:v>3.6879129279435054</c:v>
                </c:pt>
                <c:pt idx="392">
                  <c:v>3.7149864404928747</c:v>
                </c:pt>
                <c:pt idx="393">
                  <c:v>3.7384198169011524</c:v>
                </c:pt>
                <c:pt idx="394">
                  <c:v>3.7654933294505217</c:v>
                </c:pt>
                <c:pt idx="395">
                  <c:v>3.7886991973499815</c:v>
                </c:pt>
                <c:pt idx="396">
                  <c:v>3.8157727098993504</c:v>
                </c:pt>
                <c:pt idx="397">
                  <c:v>3.8389785777988101</c:v>
                </c:pt>
                <c:pt idx="398">
                  <c:v>3.8660520903481799</c:v>
                </c:pt>
                <c:pt idx="399">
                  <c:v>3.8892579582476388</c:v>
                </c:pt>
                <c:pt idx="400">
                  <c:v>3.9124638261470985</c:v>
                </c:pt>
                <c:pt idx="401">
                  <c:v>3.9356696940465579</c:v>
                </c:pt>
                <c:pt idx="402">
                  <c:v>3.9588755619460172</c:v>
                </c:pt>
                <c:pt idx="403">
                  <c:v>3.9859490744953865</c:v>
                </c:pt>
                <c:pt idx="404">
                  <c:v>4.0207578763445753</c:v>
                </c:pt>
                <c:pt idx="405">
                  <c:v>4.0516990335438559</c:v>
                </c:pt>
                <c:pt idx="406">
                  <c:v>4.0826401907431338</c:v>
                </c:pt>
                <c:pt idx="407">
                  <c:v>4.1138088564512314</c:v>
                </c:pt>
                <c:pt idx="408">
                  <c:v>4.1447500136505111</c:v>
                </c:pt>
                <c:pt idx="409">
                  <c:v>4.1756911708497899</c:v>
                </c:pt>
                <c:pt idx="410">
                  <c:v>4.2066323280490705</c:v>
                </c:pt>
                <c:pt idx="411">
                  <c:v>4.2414411298982593</c:v>
                </c:pt>
                <c:pt idx="412">
                  <c:v>4.2723822870975381</c:v>
                </c:pt>
                <c:pt idx="413">
                  <c:v>4.3033234442968169</c:v>
                </c:pt>
                <c:pt idx="414">
                  <c:v>4.3381322461460066</c:v>
                </c:pt>
                <c:pt idx="415">
                  <c:v>4.3690734033452863</c:v>
                </c:pt>
                <c:pt idx="416">
                  <c:v>4.403882205194475</c:v>
                </c:pt>
                <c:pt idx="417">
                  <c:v>4.4386910070436647</c:v>
                </c:pt>
                <c:pt idx="418">
                  <c:v>4.4696321642429435</c:v>
                </c:pt>
                <c:pt idx="419">
                  <c:v>4.5046684746009502</c:v>
                </c:pt>
                <c:pt idx="420">
                  <c:v>4.5394772764501399</c:v>
                </c:pt>
                <c:pt idx="421">
                  <c:v>4.5742860782993287</c:v>
                </c:pt>
                <c:pt idx="422">
                  <c:v>4.6090948801485183</c:v>
                </c:pt>
                <c:pt idx="423">
                  <c:v>4.6439036819977071</c:v>
                </c:pt>
                <c:pt idx="424">
                  <c:v>4.6787124838468968</c:v>
                </c:pt>
                <c:pt idx="425">
                  <c:v>4.7135212856960855</c:v>
                </c:pt>
                <c:pt idx="426">
                  <c:v>4.7521977321951843</c:v>
                </c:pt>
                <c:pt idx="427">
                  <c:v>4.7870065340443739</c:v>
                </c:pt>
                <c:pt idx="428">
                  <c:v>4.8218153358935627</c:v>
                </c:pt>
                <c:pt idx="429">
                  <c:v>4.8604917823926623</c:v>
                </c:pt>
                <c:pt idx="430">
                  <c:v>4.895528092750669</c:v>
                </c:pt>
                <c:pt idx="431">
                  <c:v>4.9303368945998587</c:v>
                </c:pt>
                <c:pt idx="432">
                  <c:v>4.9690133410989574</c:v>
                </c:pt>
                <c:pt idx="433">
                  <c:v>5.0154250768978761</c:v>
                </c:pt>
                <c:pt idx="434">
                  <c:v>5.0618368126967956</c:v>
                </c:pt>
                <c:pt idx="435">
                  <c:v>5.1005132591958953</c:v>
                </c:pt>
                <c:pt idx="436">
                  <c:v>5.1391897056949931</c:v>
                </c:pt>
                <c:pt idx="437">
                  <c:v>5.1778661521940927</c:v>
                </c:pt>
                <c:pt idx="438">
                  <c:v>5.2165425986931924</c:v>
                </c:pt>
                <c:pt idx="439">
                  <c:v>5.2552190451922911</c:v>
                </c:pt>
                <c:pt idx="440">
                  <c:v>5.2941230002002087</c:v>
                </c:pt>
                <c:pt idx="441">
                  <c:v>5.3327994466993074</c:v>
                </c:pt>
                <c:pt idx="442">
                  <c:v>5.3714758931984061</c:v>
                </c:pt>
                <c:pt idx="443">
                  <c:v>5.4101523396975058</c:v>
                </c:pt>
                <c:pt idx="444">
                  <c:v>5.4526964308465145</c:v>
                </c:pt>
                <c:pt idx="445">
                  <c:v>5.4913728773456132</c:v>
                </c:pt>
                <c:pt idx="446">
                  <c:v>5.5300493238447119</c:v>
                </c:pt>
                <c:pt idx="447">
                  <c:v>5.5687257703438124</c:v>
                </c:pt>
                <c:pt idx="448">
                  <c:v>5.6074022168429103</c:v>
                </c:pt>
                <c:pt idx="449">
                  <c:v>5.6499463079919199</c:v>
                </c:pt>
                <c:pt idx="450">
                  <c:v>5.6888502629998374</c:v>
                </c:pt>
                <c:pt idx="451">
                  <c:v>5.7275267094989362</c:v>
                </c:pt>
                <c:pt idx="452">
                  <c:v>5.7700708006479449</c:v>
                </c:pt>
                <c:pt idx="453">
                  <c:v>5.8087472471470445</c:v>
                </c:pt>
                <c:pt idx="454">
                  <c:v>5.8512913382960532</c:v>
                </c:pt>
                <c:pt idx="455">
                  <c:v>5.8899677847951519</c:v>
                </c:pt>
                <c:pt idx="456">
                  <c:v>5.9325118759441606</c:v>
                </c:pt>
                <c:pt idx="457">
                  <c:v>5.9711883224432603</c:v>
                </c:pt>
                <c:pt idx="458">
                  <c:v>6.0214677028920889</c:v>
                </c:pt>
                <c:pt idx="459">
                  <c:v>6.0719745918497363</c:v>
                </c:pt>
                <c:pt idx="460">
                  <c:v>6.1222539722985649</c:v>
                </c:pt>
                <c:pt idx="461">
                  <c:v>6.1725333527473936</c:v>
                </c:pt>
                <c:pt idx="462">
                  <c:v>6.2228127331962222</c:v>
                </c:pt>
                <c:pt idx="463">
                  <c:v>6.2692244689951417</c:v>
                </c:pt>
                <c:pt idx="464">
                  <c:v>6.3195038494439695</c:v>
                </c:pt>
                <c:pt idx="465">
                  <c:v>6.3697832298927999</c:v>
                </c:pt>
                <c:pt idx="466">
                  <c:v>6.4200626103416285</c:v>
                </c:pt>
                <c:pt idx="467">
                  <c:v>6.4705694992992759</c:v>
                </c:pt>
                <c:pt idx="468">
                  <c:v>6.5208488797481028</c:v>
                </c:pt>
                <c:pt idx="469">
                  <c:v>6.5711282601969314</c:v>
                </c:pt>
                <c:pt idx="470">
                  <c:v>6.6214076406457618</c:v>
                </c:pt>
                <c:pt idx="471">
                  <c:v>6.6716870210945896</c:v>
                </c:pt>
                <c:pt idx="472">
                  <c:v>6.7219664015434182</c:v>
                </c:pt>
                <c:pt idx="473">
                  <c:v>6.7722457819922486</c:v>
                </c:pt>
                <c:pt idx="474">
                  <c:v>6.8225251624410754</c:v>
                </c:pt>
                <c:pt idx="475">
                  <c:v>6.8730320513987238</c:v>
                </c:pt>
                <c:pt idx="476">
                  <c:v>6.9271790764974623</c:v>
                </c:pt>
                <c:pt idx="477">
                  <c:v>6.977458456946291</c:v>
                </c:pt>
                <c:pt idx="478">
                  <c:v>7.0354731266949404</c:v>
                </c:pt>
                <c:pt idx="479">
                  <c:v>7.0896201517936781</c:v>
                </c:pt>
                <c:pt idx="480">
                  <c:v>7.1476348215423275</c:v>
                </c:pt>
                <c:pt idx="481">
                  <c:v>7.2017818466410652</c:v>
                </c:pt>
                <c:pt idx="482">
                  <c:v>7.2561563802486218</c:v>
                </c:pt>
                <c:pt idx="483">
                  <c:v>7.318038694647182</c:v>
                </c:pt>
                <c:pt idx="484">
                  <c:v>7.3721857197459197</c:v>
                </c:pt>
                <c:pt idx="485">
                  <c:v>7.4340680341444783</c:v>
                </c:pt>
                <c:pt idx="486">
                  <c:v>7.488215059243216</c:v>
                </c:pt>
                <c:pt idx="487">
                  <c:v>7.5423620843419554</c:v>
                </c:pt>
                <c:pt idx="488">
                  <c:v>7.6042443987405139</c:v>
                </c:pt>
                <c:pt idx="489">
                  <c:v>7.6586189323480705</c:v>
                </c:pt>
                <c:pt idx="490">
                  <c:v>7.7127659574468099</c:v>
                </c:pt>
                <c:pt idx="491">
                  <c:v>7.7669129825455485</c:v>
                </c:pt>
                <c:pt idx="492">
                  <c:v>7.8210600076442862</c:v>
                </c:pt>
                <c:pt idx="493">
                  <c:v>7.8752070327430257</c:v>
                </c:pt>
                <c:pt idx="494">
                  <c:v>7.9293540578417634</c:v>
                </c:pt>
                <c:pt idx="495">
                  <c:v>7.9951040168902336</c:v>
                </c:pt>
                <c:pt idx="496">
                  <c:v>8.06108148444752</c:v>
                </c:pt>
                <c:pt idx="497">
                  <c:v>8.1268314434959876</c:v>
                </c:pt>
                <c:pt idx="498">
                  <c:v>8.1964490471943652</c:v>
                </c:pt>
                <c:pt idx="499">
                  <c:v>8.2621990062428345</c:v>
                </c:pt>
                <c:pt idx="500">
                  <c:v>8.3318166099412139</c:v>
                </c:pt>
                <c:pt idx="501">
                  <c:v>8.4014342136395914</c:v>
                </c:pt>
                <c:pt idx="502">
                  <c:v>8.4635440365469687</c:v>
                </c:pt>
                <c:pt idx="503">
                  <c:v>8.5254263509455264</c:v>
                </c:pt>
                <c:pt idx="504">
                  <c:v>8.5873086653440858</c:v>
                </c:pt>
                <c:pt idx="505">
                  <c:v>8.6530586243925516</c:v>
                </c:pt>
                <c:pt idx="506">
                  <c:v>8.7149409387911128</c:v>
                </c:pt>
                <c:pt idx="507">
                  <c:v>8.7768232531896704</c:v>
                </c:pt>
                <c:pt idx="508">
                  <c:v>8.8389330760970477</c:v>
                </c:pt>
                <c:pt idx="509">
                  <c:v>8.9008153904956053</c:v>
                </c:pt>
                <c:pt idx="510">
                  <c:v>8.9665653495440747</c:v>
                </c:pt>
                <c:pt idx="511">
                  <c:v>9.0439182425422722</c:v>
                </c:pt>
                <c:pt idx="512">
                  <c:v>9.1174034908905615</c:v>
                </c:pt>
                <c:pt idx="513">
                  <c:v>9.187021094588939</c:v>
                </c:pt>
                <c:pt idx="514">
                  <c:v>9.2646014960959562</c:v>
                </c:pt>
                <c:pt idx="515">
                  <c:v>9.3380867444442437</c:v>
                </c:pt>
                <c:pt idx="516">
                  <c:v>9.4154396374424412</c:v>
                </c:pt>
                <c:pt idx="517">
                  <c:v>9.4889248857907305</c:v>
                </c:pt>
                <c:pt idx="518">
                  <c:v>9.5662777787889279</c:v>
                </c:pt>
                <c:pt idx="519">
                  <c:v>9.6399905356460351</c:v>
                </c:pt>
                <c:pt idx="520">
                  <c:v>9.7173434286442326</c:v>
                </c:pt>
                <c:pt idx="521">
                  <c:v>9.7946963216424301</c:v>
                </c:pt>
                <c:pt idx="522">
                  <c:v>9.8720492146406293</c:v>
                </c:pt>
                <c:pt idx="523">
                  <c:v>9.9494021076388268</c:v>
                </c:pt>
                <c:pt idx="524">
                  <c:v>10.026982509145844</c:v>
                </c:pt>
                <c:pt idx="525">
                  <c:v>10.104335402144041</c:v>
                </c:pt>
                <c:pt idx="526">
                  <c:v>10.181688295142239</c:v>
                </c:pt>
                <c:pt idx="527">
                  <c:v>10.259041188140438</c:v>
                </c:pt>
                <c:pt idx="528">
                  <c:v>10.340261725788547</c:v>
                </c:pt>
                <c:pt idx="529">
                  <c:v>10.417842127295563</c:v>
                </c:pt>
                <c:pt idx="530">
                  <c:v>10.49906266494367</c:v>
                </c:pt>
                <c:pt idx="531">
                  <c:v>10.576415557941869</c:v>
                </c:pt>
                <c:pt idx="532">
                  <c:v>10.653768450940067</c:v>
                </c:pt>
                <c:pt idx="533">
                  <c:v>10.731121343938264</c:v>
                </c:pt>
                <c:pt idx="534">
                  <c:v>10.808701745445282</c:v>
                </c:pt>
                <c:pt idx="535">
                  <c:v>10.889922283093389</c:v>
                </c:pt>
                <c:pt idx="536">
                  <c:v>10.967275176091587</c:v>
                </c:pt>
                <c:pt idx="537">
                  <c:v>11.056231003039516</c:v>
                </c:pt>
                <c:pt idx="538">
                  <c:v>11.145186829987441</c:v>
                </c:pt>
                <c:pt idx="539">
                  <c:v>11.2382378100941</c:v>
                </c:pt>
                <c:pt idx="540">
                  <c:v>11.331061281691937</c:v>
                </c:pt>
                <c:pt idx="541">
                  <c:v>11.423884753289775</c:v>
                </c:pt>
                <c:pt idx="542">
                  <c:v>11.520575869537524</c:v>
                </c:pt>
                <c:pt idx="543">
                  <c:v>11.613626849644179</c:v>
                </c:pt>
                <c:pt idx="544">
                  <c:v>11.710317965891928</c:v>
                </c:pt>
                <c:pt idx="545">
                  <c:v>11.807009082139675</c:v>
                </c:pt>
                <c:pt idx="546">
                  <c:v>11.899832553737509</c:v>
                </c:pt>
                <c:pt idx="547">
                  <c:v>11.996751178494076</c:v>
                </c:pt>
                <c:pt idx="548">
                  <c:v>12.093442294741823</c:v>
                </c:pt>
                <c:pt idx="549">
                  <c:v>12.186265766339664</c:v>
                </c:pt>
                <c:pt idx="550">
                  <c:v>12.28295688258741</c:v>
                </c:pt>
                <c:pt idx="551">
                  <c:v>12.379875507343975</c:v>
                </c:pt>
                <c:pt idx="552">
                  <c:v>12.480434268241634</c:v>
                </c:pt>
                <c:pt idx="553">
                  <c:v>12.577125384489383</c:v>
                </c:pt>
                <c:pt idx="554">
                  <c:v>12.67381650073713</c:v>
                </c:pt>
                <c:pt idx="555">
                  <c:v>12.770735125493696</c:v>
                </c:pt>
                <c:pt idx="556">
                  <c:v>12.867426241741443</c:v>
                </c:pt>
                <c:pt idx="557">
                  <c:v>12.9679850026391</c:v>
                </c:pt>
                <c:pt idx="558">
                  <c:v>13.068543763536757</c:v>
                </c:pt>
                <c:pt idx="559">
                  <c:v>13.169330032943234</c:v>
                </c:pt>
                <c:pt idx="560">
                  <c:v>13.273756438490802</c:v>
                </c:pt>
                <c:pt idx="561">
                  <c:v>13.374315199388459</c:v>
                </c:pt>
                <c:pt idx="562">
                  <c:v>13.478741604936028</c:v>
                </c:pt>
                <c:pt idx="563">
                  <c:v>13.579527874342503</c:v>
                </c:pt>
                <c:pt idx="564">
                  <c:v>13.68395427989007</c:v>
                </c:pt>
                <c:pt idx="565">
                  <c:v>13.788380685437636</c:v>
                </c:pt>
                <c:pt idx="566">
                  <c:v>13.892807090985205</c:v>
                </c:pt>
                <c:pt idx="567">
                  <c:v>14.01293158364123</c:v>
                </c:pt>
                <c:pt idx="568">
                  <c:v>14.132828567788438</c:v>
                </c:pt>
                <c:pt idx="569">
                  <c:v>14.241122617985916</c:v>
                </c:pt>
                <c:pt idx="570">
                  <c:v>14.349644176692211</c:v>
                </c:pt>
                <c:pt idx="571">
                  <c:v>14.457938226889688</c:v>
                </c:pt>
                <c:pt idx="572">
                  <c:v>14.566232277087165</c:v>
                </c:pt>
                <c:pt idx="573">
                  <c:v>14.674526327284642</c:v>
                </c:pt>
                <c:pt idx="574">
                  <c:v>14.783047885990937</c:v>
                </c:pt>
                <c:pt idx="575">
                  <c:v>14.891341936188415</c:v>
                </c:pt>
                <c:pt idx="576">
                  <c:v>15.015106564985532</c:v>
                </c:pt>
                <c:pt idx="577">
                  <c:v>15.142966346941378</c:v>
                </c:pt>
                <c:pt idx="578">
                  <c:v>15.266730975738493</c:v>
                </c:pt>
                <c:pt idx="579">
                  <c:v>15.39436324918552</c:v>
                </c:pt>
                <c:pt idx="580">
                  <c:v>15.518355386491457</c:v>
                </c:pt>
                <c:pt idx="581">
                  <c:v>15.645987659938484</c:v>
                </c:pt>
                <c:pt idx="582">
                  <c:v>15.773619933385511</c:v>
                </c:pt>
                <c:pt idx="583">
                  <c:v>15.901479715341358</c:v>
                </c:pt>
                <c:pt idx="584">
                  <c:v>16.02911198878838</c:v>
                </c:pt>
                <c:pt idx="585">
                  <c:v>16.15674426223541</c:v>
                </c:pt>
                <c:pt idx="586">
                  <c:v>16.284604044191255</c:v>
                </c:pt>
                <c:pt idx="587">
                  <c:v>16.412236317638282</c:v>
                </c:pt>
                <c:pt idx="588">
                  <c:v>16.536000946435401</c:v>
                </c:pt>
                <c:pt idx="589">
                  <c:v>16.663860728391246</c:v>
                </c:pt>
                <c:pt idx="590">
                  <c:v>16.787625357188361</c:v>
                </c:pt>
                <c:pt idx="591">
                  <c:v>16.919125275285296</c:v>
                </c:pt>
                <c:pt idx="592">
                  <c:v>17.066323280490693</c:v>
                </c:pt>
                <c:pt idx="593">
                  <c:v>17.197823198587631</c:v>
                </c:pt>
                <c:pt idx="594">
                  <c:v>17.329323116684566</c:v>
                </c:pt>
                <c:pt idx="595">
                  <c:v>17.46105054329032</c:v>
                </c:pt>
                <c:pt idx="596">
                  <c:v>17.592550461387258</c:v>
                </c:pt>
                <c:pt idx="597">
                  <c:v>17.735653313433922</c:v>
                </c:pt>
                <c:pt idx="598">
                  <c:v>17.882851318639318</c:v>
                </c:pt>
                <c:pt idx="599">
                  <c:v>18.025954170685988</c:v>
                </c:pt>
                <c:pt idx="600">
                  <c:v>18.176792312032472</c:v>
                </c:pt>
                <c:pt idx="601">
                  <c:v>18.323990317237865</c:v>
                </c:pt>
                <c:pt idx="602">
                  <c:v>18.474828458584355</c:v>
                </c:pt>
                <c:pt idx="603">
                  <c:v>18.629761753089568</c:v>
                </c:pt>
                <c:pt idx="604">
                  <c:v>18.780599894436055</c:v>
                </c:pt>
                <c:pt idx="605">
                  <c:v>18.931438035782541</c:v>
                </c:pt>
                <c:pt idx="606">
                  <c:v>19.082503685637846</c:v>
                </c:pt>
                <c:pt idx="607">
                  <c:v>19.233341826984329</c:v>
                </c:pt>
                <c:pt idx="608">
                  <c:v>19.388275121489546</c:v>
                </c:pt>
                <c:pt idx="609">
                  <c:v>19.542980907485944</c:v>
                </c:pt>
                <c:pt idx="610">
                  <c:v>19.693819048832427</c:v>
                </c:pt>
                <c:pt idx="611">
                  <c:v>19.852619987987556</c:v>
                </c:pt>
                <c:pt idx="612">
                  <c:v>20.007325773983947</c:v>
                </c:pt>
                <c:pt idx="613">
                  <c:v>20.165899204630257</c:v>
                </c:pt>
                <c:pt idx="614">
                  <c:v>20.320832499135474</c:v>
                </c:pt>
                <c:pt idx="615">
                  <c:v>20.475538285131869</c:v>
                </c:pt>
                <c:pt idx="616">
                  <c:v>20.634339224286993</c:v>
                </c:pt>
                <c:pt idx="617">
                  <c:v>20.7929126549333</c:v>
                </c:pt>
                <c:pt idx="618">
                  <c:v>20.951486085579603</c:v>
                </c:pt>
                <c:pt idx="619">
                  <c:v>21.125757603334367</c:v>
                </c:pt>
                <c:pt idx="620">
                  <c:v>21.295933967930402</c:v>
                </c:pt>
                <c:pt idx="621">
                  <c:v>21.47020548568517</c:v>
                </c:pt>
                <c:pt idx="622">
                  <c:v>21.648117139581025</c:v>
                </c:pt>
                <c:pt idx="623">
                  <c:v>21.818521012685878</c:v>
                </c:pt>
                <c:pt idx="624">
                  <c:v>21.992565021931824</c:v>
                </c:pt>
                <c:pt idx="625">
                  <c:v>22.166836539686585</c:v>
                </c:pt>
                <c:pt idx="626">
                  <c:v>22.337012904282624</c:v>
                </c:pt>
                <c:pt idx="627">
                  <c:v>22.51105691352857</c:v>
                </c:pt>
                <c:pt idx="628">
                  <c:v>22.685328431283331</c:v>
                </c:pt>
                <c:pt idx="629">
                  <c:v>22.860054966055731</c:v>
                </c:pt>
                <c:pt idx="630">
                  <c:v>23.048887028374864</c:v>
                </c:pt>
                <c:pt idx="631">
                  <c:v>23.242269260870358</c:v>
                </c:pt>
                <c:pt idx="632">
                  <c:v>23.435651493365853</c:v>
                </c:pt>
                <c:pt idx="633">
                  <c:v>23.626758640773168</c:v>
                </c:pt>
                <c:pt idx="634">
                  <c:v>23.820140873268663</c:v>
                </c:pt>
                <c:pt idx="635">
                  <c:v>24.008972935587792</c:v>
                </c:pt>
                <c:pt idx="636">
                  <c:v>24.202355168083287</c:v>
                </c:pt>
                <c:pt idx="637">
                  <c:v>24.391187230402416</c:v>
                </c:pt>
                <c:pt idx="638">
                  <c:v>24.584569462897914</c:v>
                </c:pt>
                <c:pt idx="639">
                  <c:v>24.777951695393408</c:v>
                </c:pt>
                <c:pt idx="640">
                  <c:v>24.971333927888903</c:v>
                </c:pt>
                <c:pt idx="641">
                  <c:v>25.166991245472584</c:v>
                </c:pt>
                <c:pt idx="642">
                  <c:v>25.362648563056261</c:v>
                </c:pt>
                <c:pt idx="643">
                  <c:v>25.560580965728121</c:v>
                </c:pt>
                <c:pt idx="644">
                  <c:v>25.758513368399981</c:v>
                </c:pt>
                <c:pt idx="645">
                  <c:v>25.974646451777303</c:v>
                </c:pt>
                <c:pt idx="646">
                  <c:v>26.188504450066432</c:v>
                </c:pt>
                <c:pt idx="647">
                  <c:v>26.388711937826482</c:v>
                </c:pt>
                <c:pt idx="648">
                  <c:v>26.604845021203797</c:v>
                </c:pt>
                <c:pt idx="649">
                  <c:v>26.823253189669295</c:v>
                </c:pt>
                <c:pt idx="650">
                  <c:v>27.039386273046617</c:v>
                </c:pt>
                <c:pt idx="651">
                  <c:v>27.255519356423932</c:v>
                </c:pt>
                <c:pt idx="652">
                  <c:v>27.471652439801254</c:v>
                </c:pt>
                <c:pt idx="653">
                  <c:v>27.690060608266752</c:v>
                </c:pt>
                <c:pt idx="654">
                  <c:v>27.90619369164407</c:v>
                </c:pt>
                <c:pt idx="655">
                  <c:v>28.122326775021389</c:v>
                </c:pt>
                <c:pt idx="656">
                  <c:v>28.349835283839617</c:v>
                </c:pt>
                <c:pt idx="657">
                  <c:v>28.579618877746036</c:v>
                </c:pt>
                <c:pt idx="658">
                  <c:v>28.811677556740626</c:v>
                </c:pt>
                <c:pt idx="659">
                  <c:v>29.039186065558859</c:v>
                </c:pt>
                <c:pt idx="660">
                  <c:v>29.271244744553446</c:v>
                </c:pt>
                <c:pt idx="661">
                  <c:v>29.501028338459864</c:v>
                </c:pt>
                <c:pt idx="662">
                  <c:v>29.733087017454459</c:v>
                </c:pt>
                <c:pt idx="663">
                  <c:v>29.965145696449049</c:v>
                </c:pt>
                <c:pt idx="664">
                  <c:v>30.197204375443643</c:v>
                </c:pt>
                <c:pt idx="665">
                  <c:v>30.440638479879151</c:v>
                </c:pt>
                <c:pt idx="666">
                  <c:v>30.688622754491025</c:v>
                </c:pt>
                <c:pt idx="667">
                  <c:v>30.932056858926526</c:v>
                </c:pt>
                <c:pt idx="668">
                  <c:v>31.180041133538399</c:v>
                </c:pt>
                <c:pt idx="669">
                  <c:v>31.430300493238452</c:v>
                </c:pt>
                <c:pt idx="670">
                  <c:v>31.682834938026684</c:v>
                </c:pt>
                <c:pt idx="671">
                  <c:v>31.926269042462192</c:v>
                </c:pt>
                <c:pt idx="672">
                  <c:v>32.178803487250427</c:v>
                </c:pt>
                <c:pt idx="673">
                  <c:v>32.433613017126845</c:v>
                </c:pt>
                <c:pt idx="674">
                  <c:v>32.697522887355994</c:v>
                </c:pt>
                <c:pt idx="675">
                  <c:v>32.956882587408771</c:v>
                </c:pt>
                <c:pt idx="676">
                  <c:v>33.216242287461554</c:v>
                </c:pt>
                <c:pt idx="677">
                  <c:v>33.471051817337973</c:v>
                </c:pt>
                <c:pt idx="678">
                  <c:v>33.725861347214391</c:v>
                </c:pt>
                <c:pt idx="679">
                  <c:v>34.00114664288445</c:v>
                </c:pt>
                <c:pt idx="680">
                  <c:v>34.271881768378144</c:v>
                </c:pt>
                <c:pt idx="681">
                  <c:v>34.542616893871838</c:v>
                </c:pt>
                <c:pt idx="682">
                  <c:v>34.813352019365524</c:v>
                </c:pt>
                <c:pt idx="683">
                  <c:v>35.084087144859218</c:v>
                </c:pt>
                <c:pt idx="684">
                  <c:v>35.354822270352912</c:v>
                </c:pt>
                <c:pt idx="685">
                  <c:v>35.641482991463882</c:v>
                </c:pt>
                <c:pt idx="686">
                  <c:v>35.923593542398493</c:v>
                </c:pt>
                <c:pt idx="687">
                  <c:v>36.214804433685828</c:v>
                </c:pt>
                <c:pt idx="688">
                  <c:v>36.496914984620432</c:v>
                </c:pt>
                <c:pt idx="689">
                  <c:v>36.779025535555036</c:v>
                </c:pt>
                <c:pt idx="690">
                  <c:v>37.077061682106923</c:v>
                </c:pt>
                <c:pt idx="691">
                  <c:v>37.379647998835161</c:v>
                </c:pt>
                <c:pt idx="692">
                  <c:v>37.682234315563406</c:v>
                </c:pt>
                <c:pt idx="693">
                  <c:v>37.982545547203472</c:v>
                </c:pt>
                <c:pt idx="694">
                  <c:v>38.276031523578986</c:v>
                </c:pt>
                <c:pt idx="695">
                  <c:v>38.578617840307238</c:v>
                </c:pt>
                <c:pt idx="696">
                  <c:v>38.881204157035476</c:v>
                </c:pt>
                <c:pt idx="697">
                  <c:v>39.183790473763729</c:v>
                </c:pt>
                <c:pt idx="698">
                  <c:v>39.484101705403788</c:v>
                </c:pt>
                <c:pt idx="699">
                  <c:v>39.791238192308398</c:v>
                </c:pt>
                <c:pt idx="700">
                  <c:v>40.112025189742106</c:v>
                </c:pt>
                <c:pt idx="701">
                  <c:v>40.425986931911261</c:v>
                </c:pt>
                <c:pt idx="702">
                  <c:v>40.735398503904051</c:v>
                </c:pt>
                <c:pt idx="703">
                  <c:v>41.058460586425937</c:v>
                </c:pt>
                <c:pt idx="704">
                  <c:v>41.38379775403601</c:v>
                </c:pt>
                <c:pt idx="705">
                  <c:v>41.706859836557896</c:v>
                </c:pt>
                <c:pt idx="706">
                  <c:v>42.034472089256148</c:v>
                </c:pt>
                <c:pt idx="707">
                  <c:v>42.366634512130759</c:v>
                </c:pt>
                <c:pt idx="708">
                  <c:v>42.701072020093562</c:v>
                </c:pt>
                <c:pt idx="709">
                  <c:v>43.044609868409083</c:v>
                </c:pt>
                <c:pt idx="710">
                  <c:v>43.381322461460059</c:v>
                </c:pt>
                <c:pt idx="711">
                  <c:v>43.713484884334683</c:v>
                </c:pt>
                <c:pt idx="712">
                  <c:v>44.066123073002942</c:v>
                </c:pt>
                <c:pt idx="713">
                  <c:v>44.411936006406641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4-437C-A202-829FCBF9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981576"/>
        <c:axId val="351983624"/>
      </c:lineChart>
      <c:catAx>
        <c:axId val="35198157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1983624"/>
        <c:crosses val="autoZero"/>
        <c:auto val="1"/>
        <c:lblAlgn val="ctr"/>
        <c:lblOffset val="100"/>
        <c:noMultiLvlLbl val="0"/>
      </c:catAx>
      <c:valAx>
        <c:axId val="35198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198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'A11-5'!$F$1</c:f>
              <c:strCache>
                <c:ptCount val="1"/>
                <c:pt idx="0">
                  <c:v>Tensão (MPa)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'A11-5'!$C$2:$C$461</c:f>
              <c:numCache>
                <c:formatCode>0.00</c:formatCode>
                <c:ptCount val="460"/>
                <c:pt idx="0">
                  <c:v>1.65644E-4</c:v>
                </c:pt>
                <c:pt idx="1">
                  <c:v>1.917E-4</c:v>
                </c:pt>
                <c:pt idx="2">
                  <c:v>2.1590000000000002E-4</c:v>
                </c:pt>
                <c:pt idx="3">
                  <c:v>2.4195999999999999E-4</c:v>
                </c:pt>
                <c:pt idx="4">
                  <c:v>2.6800000000000001E-4</c:v>
                </c:pt>
                <c:pt idx="5">
                  <c:v>2.9406000000000001E-4</c:v>
                </c:pt>
                <c:pt idx="6">
                  <c:v>3.2197999999999998E-4</c:v>
                </c:pt>
                <c:pt idx="7">
                  <c:v>3.4804000000000004E-4</c:v>
                </c:pt>
                <c:pt idx="8">
                  <c:v>3.7596E-4</c:v>
                </c:pt>
                <c:pt idx="9">
                  <c:v>4.0388000000000002E-4</c:v>
                </c:pt>
                <c:pt idx="10">
                  <c:v>4.3177999999999999E-4</c:v>
                </c:pt>
                <c:pt idx="11">
                  <c:v>4.5597999999999998E-4</c:v>
                </c:pt>
                <c:pt idx="12">
                  <c:v>4.8576000000000001E-4</c:v>
                </c:pt>
                <c:pt idx="13">
                  <c:v>5.1367999999999997E-4</c:v>
                </c:pt>
                <c:pt idx="14">
                  <c:v>5.4160000000000005E-4</c:v>
                </c:pt>
                <c:pt idx="15">
                  <c:v>5.6766E-4</c:v>
                </c:pt>
                <c:pt idx="16">
                  <c:v>5.9557999999999996E-4</c:v>
                </c:pt>
                <c:pt idx="17">
                  <c:v>6.2534000000000005E-4</c:v>
                </c:pt>
                <c:pt idx="18">
                  <c:v>6.514E-4</c:v>
                </c:pt>
                <c:pt idx="19">
                  <c:v>6.7932000000000008E-4</c:v>
                </c:pt>
                <c:pt idx="20">
                  <c:v>7.0910000000000005E-4</c:v>
                </c:pt>
                <c:pt idx="21">
                  <c:v>7.3516E-4</c:v>
                </c:pt>
                <c:pt idx="22">
                  <c:v>7.6121999999999995E-4</c:v>
                </c:pt>
                <c:pt idx="23">
                  <c:v>7.9100000000000004E-4</c:v>
                </c:pt>
                <c:pt idx="24">
                  <c:v>8.1892000000000011E-4</c:v>
                </c:pt>
                <c:pt idx="25">
                  <c:v>8.4681999999999997E-4</c:v>
                </c:pt>
                <c:pt idx="26">
                  <c:v>8.7288000000000003E-4</c:v>
                </c:pt>
                <c:pt idx="27">
                  <c:v>9.0079999999999989E-4</c:v>
                </c:pt>
                <c:pt idx="28">
                  <c:v>9.3057999999999997E-4</c:v>
                </c:pt>
                <c:pt idx="29">
                  <c:v>9.5664000000000003E-4</c:v>
                </c:pt>
                <c:pt idx="30">
                  <c:v>9.8455999999999999E-4</c:v>
                </c:pt>
                <c:pt idx="31">
                  <c:v>1.0124800000000001E-3</c:v>
                </c:pt>
                <c:pt idx="32">
                  <c:v>1.04038E-3</c:v>
                </c:pt>
                <c:pt idx="33">
                  <c:v>1.0664400000000001E-3</c:v>
                </c:pt>
                <c:pt idx="34">
                  <c:v>1.09622E-3</c:v>
                </c:pt>
                <c:pt idx="35">
                  <c:v>1.12414E-3</c:v>
                </c:pt>
                <c:pt idx="36">
                  <c:v>1.1520600000000001E-3</c:v>
                </c:pt>
                <c:pt idx="37">
                  <c:v>1.1781199999999999E-3</c:v>
                </c:pt>
                <c:pt idx="38">
                  <c:v>1.2079E-3</c:v>
                </c:pt>
                <c:pt idx="39">
                  <c:v>1.2358199999999999E-3</c:v>
                </c:pt>
                <c:pt idx="40">
                  <c:v>1.2618599999999998E-3</c:v>
                </c:pt>
                <c:pt idx="41">
                  <c:v>1.2897800000000001E-3</c:v>
                </c:pt>
                <c:pt idx="42">
                  <c:v>1.31956E-3</c:v>
                </c:pt>
                <c:pt idx="43">
                  <c:v>1.3456199999999998E-3</c:v>
                </c:pt>
                <c:pt idx="44">
                  <c:v>1.3735400000000001E-3</c:v>
                </c:pt>
                <c:pt idx="45">
                  <c:v>1.40146E-3</c:v>
                </c:pt>
                <c:pt idx="46">
                  <c:v>1.4293800000000001E-3</c:v>
                </c:pt>
                <c:pt idx="47">
                  <c:v>1.45728E-3</c:v>
                </c:pt>
                <c:pt idx="48">
                  <c:v>1.4833399999999999E-3</c:v>
                </c:pt>
                <c:pt idx="49">
                  <c:v>1.51312E-3</c:v>
                </c:pt>
                <c:pt idx="50">
                  <c:v>1.5410399999999998E-3</c:v>
                </c:pt>
                <c:pt idx="51">
                  <c:v>1.5689600000000001E-3</c:v>
                </c:pt>
                <c:pt idx="52">
                  <c:v>1.5950199999999999E-3</c:v>
                </c:pt>
                <c:pt idx="53">
                  <c:v>1.6248E-3</c:v>
                </c:pt>
                <c:pt idx="54">
                  <c:v>1.6527E-3</c:v>
                </c:pt>
                <c:pt idx="55">
                  <c:v>1.6787600000000001E-3</c:v>
                </c:pt>
                <c:pt idx="56">
                  <c:v>1.7066799999999999E-3</c:v>
                </c:pt>
                <c:pt idx="57">
                  <c:v>1.7346E-3</c:v>
                </c:pt>
                <c:pt idx="58">
                  <c:v>1.7643800000000001E-3</c:v>
                </c:pt>
                <c:pt idx="59">
                  <c:v>1.7904400000000001E-3</c:v>
                </c:pt>
                <c:pt idx="60">
                  <c:v>1.81836E-3</c:v>
                </c:pt>
                <c:pt idx="61">
                  <c:v>1.8462799999999998E-3</c:v>
                </c:pt>
                <c:pt idx="62">
                  <c:v>1.87418E-3</c:v>
                </c:pt>
                <c:pt idx="63">
                  <c:v>1.9020999999999999E-3</c:v>
                </c:pt>
                <c:pt idx="64">
                  <c:v>1.9300200000000002E-3</c:v>
                </c:pt>
                <c:pt idx="65">
                  <c:v>1.95794E-3</c:v>
                </c:pt>
                <c:pt idx="66">
                  <c:v>1.9840000000000001E-3</c:v>
                </c:pt>
                <c:pt idx="67">
                  <c:v>2.0119999999999999E-3</c:v>
                </c:pt>
                <c:pt idx="68">
                  <c:v>2.0416000000000002E-3</c:v>
                </c:pt>
                <c:pt idx="69">
                  <c:v>2.0696E-3</c:v>
                </c:pt>
                <c:pt idx="70">
                  <c:v>2.0956E-3</c:v>
                </c:pt>
                <c:pt idx="71">
                  <c:v>2.1235999999999998E-3</c:v>
                </c:pt>
                <c:pt idx="72">
                  <c:v>2.1516E-3</c:v>
                </c:pt>
                <c:pt idx="73">
                  <c:v>2.1793999999999997E-3</c:v>
                </c:pt>
                <c:pt idx="74">
                  <c:v>2.2074E-3</c:v>
                </c:pt>
                <c:pt idx="75">
                  <c:v>2.2352000000000001E-3</c:v>
                </c:pt>
                <c:pt idx="76">
                  <c:v>2.2631999999999999E-3</c:v>
                </c:pt>
                <c:pt idx="77">
                  <c:v>2.2910000000000001E-3</c:v>
                </c:pt>
                <c:pt idx="78">
                  <c:v>2.3172000000000002E-3</c:v>
                </c:pt>
                <c:pt idx="79">
                  <c:v>2.3470000000000001E-3</c:v>
                </c:pt>
                <c:pt idx="80">
                  <c:v>2.3747999999999998E-3</c:v>
                </c:pt>
                <c:pt idx="81">
                  <c:v>2.4007999999999998E-3</c:v>
                </c:pt>
                <c:pt idx="82">
                  <c:v>2.4288000000000001E-3</c:v>
                </c:pt>
                <c:pt idx="83">
                  <c:v>2.4568000000000003E-3</c:v>
                </c:pt>
                <c:pt idx="84">
                  <c:v>2.4846E-3</c:v>
                </c:pt>
                <c:pt idx="85">
                  <c:v>2.5125999999999998E-3</c:v>
                </c:pt>
                <c:pt idx="86">
                  <c:v>2.5403999999999999E-3</c:v>
                </c:pt>
                <c:pt idx="87">
                  <c:v>2.5684000000000002E-3</c:v>
                </c:pt>
                <c:pt idx="88">
                  <c:v>2.5964E-3</c:v>
                </c:pt>
                <c:pt idx="89">
                  <c:v>2.6223999999999996E-3</c:v>
                </c:pt>
                <c:pt idx="90">
                  <c:v>2.6522E-3</c:v>
                </c:pt>
                <c:pt idx="91">
                  <c:v>2.6800000000000001E-3</c:v>
                </c:pt>
                <c:pt idx="92">
                  <c:v>2.7079999999999999E-3</c:v>
                </c:pt>
                <c:pt idx="93">
                  <c:v>2.7339999999999999E-3</c:v>
                </c:pt>
                <c:pt idx="94">
                  <c:v>2.7620000000000001E-3</c:v>
                </c:pt>
                <c:pt idx="95">
                  <c:v>2.7898000000000003E-3</c:v>
                </c:pt>
                <c:pt idx="96">
                  <c:v>2.8177999999999996E-3</c:v>
                </c:pt>
                <c:pt idx="97">
                  <c:v>2.8457999999999999E-3</c:v>
                </c:pt>
                <c:pt idx="98">
                  <c:v>2.8754000000000002E-3</c:v>
                </c:pt>
                <c:pt idx="99">
                  <c:v>2.9015999999999998E-3</c:v>
                </c:pt>
                <c:pt idx="100">
                  <c:v>2.9276000000000003E-3</c:v>
                </c:pt>
                <c:pt idx="101">
                  <c:v>2.9574000000000002E-3</c:v>
                </c:pt>
                <c:pt idx="102">
                  <c:v>2.9854000000000005E-3</c:v>
                </c:pt>
                <c:pt idx="103">
                  <c:v>3.0131999999999997E-3</c:v>
                </c:pt>
                <c:pt idx="104">
                  <c:v>3.0392000000000001E-3</c:v>
                </c:pt>
                <c:pt idx="105">
                  <c:v>3.0672E-3</c:v>
                </c:pt>
                <c:pt idx="106">
                  <c:v>3.0952000000000002E-3</c:v>
                </c:pt>
                <c:pt idx="107">
                  <c:v>3.1230000000000003E-3</c:v>
                </c:pt>
                <c:pt idx="108">
                  <c:v>3.1509999999999997E-3</c:v>
                </c:pt>
                <c:pt idx="109">
                  <c:v>3.1807999999999997E-3</c:v>
                </c:pt>
                <c:pt idx="110">
                  <c:v>3.2085999999999998E-3</c:v>
                </c:pt>
                <c:pt idx="111">
                  <c:v>3.2346000000000002E-3</c:v>
                </c:pt>
                <c:pt idx="112">
                  <c:v>3.2626E-3</c:v>
                </c:pt>
                <c:pt idx="113">
                  <c:v>3.2906000000000003E-3</c:v>
                </c:pt>
                <c:pt idx="114">
                  <c:v>3.3184000000000004E-3</c:v>
                </c:pt>
                <c:pt idx="115">
                  <c:v>3.3445999999999997E-3</c:v>
                </c:pt>
                <c:pt idx="116">
                  <c:v>3.3741999999999999E-3</c:v>
                </c:pt>
                <c:pt idx="117">
                  <c:v>3.4022000000000002E-3</c:v>
                </c:pt>
                <c:pt idx="118">
                  <c:v>3.4302E-3</c:v>
                </c:pt>
                <c:pt idx="119">
                  <c:v>3.4562E-3</c:v>
                </c:pt>
                <c:pt idx="120">
                  <c:v>3.4860000000000004E-3</c:v>
                </c:pt>
                <c:pt idx="121">
                  <c:v>3.5138000000000001E-3</c:v>
                </c:pt>
                <c:pt idx="122">
                  <c:v>3.5399999999999997E-3</c:v>
                </c:pt>
                <c:pt idx="123">
                  <c:v>3.5677999999999999E-3</c:v>
                </c:pt>
                <c:pt idx="124">
                  <c:v>3.5958000000000001E-3</c:v>
                </c:pt>
                <c:pt idx="125">
                  <c:v>3.6256000000000001E-3</c:v>
                </c:pt>
                <c:pt idx="126">
                  <c:v>3.6515999999999996E-3</c:v>
                </c:pt>
                <c:pt idx="127">
                  <c:v>3.6795999999999999E-3</c:v>
                </c:pt>
                <c:pt idx="128">
                  <c:v>3.7074E-3</c:v>
                </c:pt>
                <c:pt idx="129">
                  <c:v>3.7372E-3</c:v>
                </c:pt>
                <c:pt idx="130">
                  <c:v>3.7632E-3</c:v>
                </c:pt>
                <c:pt idx="131">
                  <c:v>3.7912000000000002E-3</c:v>
                </c:pt>
                <c:pt idx="132">
                  <c:v>3.8192E-3</c:v>
                </c:pt>
                <c:pt idx="133">
                  <c:v>3.8469999999999997E-3</c:v>
                </c:pt>
                <c:pt idx="134">
                  <c:v>3.8729999999999997E-3</c:v>
                </c:pt>
                <c:pt idx="135">
                  <c:v>3.9028000000000001E-3</c:v>
                </c:pt>
                <c:pt idx="136">
                  <c:v>3.9307999999999999E-3</c:v>
                </c:pt>
                <c:pt idx="137">
                  <c:v>3.9567999999999999E-3</c:v>
                </c:pt>
                <c:pt idx="138">
                  <c:v>3.9848000000000001E-3</c:v>
                </c:pt>
                <c:pt idx="139">
                  <c:v>4.0125999999999998E-3</c:v>
                </c:pt>
                <c:pt idx="140">
                  <c:v>4.0406000000000001E-3</c:v>
                </c:pt>
                <c:pt idx="141">
                  <c:v>4.0683999999999998E-3</c:v>
                </c:pt>
                <c:pt idx="142">
                  <c:v>4.0964E-3</c:v>
                </c:pt>
                <c:pt idx="143">
                  <c:v>4.1243999999999994E-3</c:v>
                </c:pt>
                <c:pt idx="144">
                  <c:v>4.1522E-3</c:v>
                </c:pt>
                <c:pt idx="145">
                  <c:v>4.1783999999999996E-3</c:v>
                </c:pt>
                <c:pt idx="146">
                  <c:v>4.2079999999999999E-3</c:v>
                </c:pt>
                <c:pt idx="147">
                  <c:v>4.2360000000000002E-3</c:v>
                </c:pt>
                <c:pt idx="148">
                  <c:v>4.2620000000000002E-3</c:v>
                </c:pt>
                <c:pt idx="149">
                  <c:v>4.2899999999999995E-3</c:v>
                </c:pt>
                <c:pt idx="150">
                  <c:v>4.3178000000000001E-3</c:v>
                </c:pt>
                <c:pt idx="151">
                  <c:v>4.3737999999999997E-3</c:v>
                </c:pt>
                <c:pt idx="152">
                  <c:v>4.4296000000000006E-3</c:v>
                </c:pt>
                <c:pt idx="153">
                  <c:v>4.4835999999999999E-3</c:v>
                </c:pt>
                <c:pt idx="154">
                  <c:v>4.5412000000000004E-3</c:v>
                </c:pt>
                <c:pt idx="155">
                  <c:v>4.5951999999999998E-3</c:v>
                </c:pt>
                <c:pt idx="156">
                  <c:v>4.6509999999999998E-3</c:v>
                </c:pt>
                <c:pt idx="157">
                  <c:v>4.7067999999999997E-3</c:v>
                </c:pt>
                <c:pt idx="158">
                  <c:v>4.7628000000000002E-3</c:v>
                </c:pt>
                <c:pt idx="159">
                  <c:v>4.8186000000000001E-3</c:v>
                </c:pt>
                <c:pt idx="160">
                  <c:v>4.8744000000000001E-3</c:v>
                </c:pt>
                <c:pt idx="161">
                  <c:v>4.9284000000000003E-3</c:v>
                </c:pt>
                <c:pt idx="162">
                  <c:v>4.9841999999999994E-3</c:v>
                </c:pt>
                <c:pt idx="163">
                  <c:v>5.0400000000000002E-3</c:v>
                </c:pt>
                <c:pt idx="164">
                  <c:v>5.0939999999999996E-3</c:v>
                </c:pt>
                <c:pt idx="165">
                  <c:v>5.1515999999999992E-3</c:v>
                </c:pt>
                <c:pt idx="166">
                  <c:v>5.2056000000000003E-3</c:v>
                </c:pt>
                <c:pt idx="167">
                  <c:v>5.2634000000000005E-3</c:v>
                </c:pt>
                <c:pt idx="168">
                  <c:v>5.3173999999999999E-3</c:v>
                </c:pt>
                <c:pt idx="169">
                  <c:v>5.3749999999999996E-3</c:v>
                </c:pt>
                <c:pt idx="170">
                  <c:v>5.4272000000000001E-3</c:v>
                </c:pt>
                <c:pt idx="171">
                  <c:v>5.4847999999999997E-3</c:v>
                </c:pt>
                <c:pt idx="172">
                  <c:v>5.5388E-3</c:v>
                </c:pt>
                <c:pt idx="173">
                  <c:v>5.5966000000000002E-3</c:v>
                </c:pt>
                <c:pt idx="174">
                  <c:v>5.6523999999999993E-3</c:v>
                </c:pt>
                <c:pt idx="175">
                  <c:v>5.7064000000000004E-3</c:v>
                </c:pt>
                <c:pt idx="176">
                  <c:v>5.764E-3</c:v>
                </c:pt>
                <c:pt idx="177">
                  <c:v>5.8180000000000003E-3</c:v>
                </c:pt>
                <c:pt idx="178">
                  <c:v>5.8738000000000002E-3</c:v>
                </c:pt>
                <c:pt idx="179">
                  <c:v>5.9277999999999996E-3</c:v>
                </c:pt>
                <c:pt idx="180">
                  <c:v>5.9853999999999992E-3</c:v>
                </c:pt>
                <c:pt idx="181">
                  <c:v>6.0394000000000003E-3</c:v>
                </c:pt>
                <c:pt idx="182">
                  <c:v>6.0972000000000005E-3</c:v>
                </c:pt>
                <c:pt idx="183">
                  <c:v>6.1511999999999999E-3</c:v>
                </c:pt>
                <c:pt idx="184">
                  <c:v>6.2070000000000007E-3</c:v>
                </c:pt>
                <c:pt idx="185">
                  <c:v>6.2627999999999998E-3</c:v>
                </c:pt>
                <c:pt idx="186">
                  <c:v>6.3185999999999997E-3</c:v>
                </c:pt>
                <c:pt idx="187">
                  <c:v>6.3726000000000008E-3</c:v>
                </c:pt>
                <c:pt idx="188">
                  <c:v>6.4303999999999993E-3</c:v>
                </c:pt>
                <c:pt idx="189">
                  <c:v>6.4841999999999999E-3</c:v>
                </c:pt>
                <c:pt idx="190">
                  <c:v>6.5402000000000004E-3</c:v>
                </c:pt>
                <c:pt idx="191">
                  <c:v>6.5959999999999994E-3</c:v>
                </c:pt>
                <c:pt idx="192">
                  <c:v>6.6500000000000005E-3</c:v>
                </c:pt>
                <c:pt idx="193">
                  <c:v>6.7076000000000002E-3</c:v>
                </c:pt>
                <c:pt idx="194">
                  <c:v>6.7615999999999996E-3</c:v>
                </c:pt>
                <c:pt idx="195">
                  <c:v>6.8174000000000004E-3</c:v>
                </c:pt>
                <c:pt idx="196">
                  <c:v>6.8732000000000003E-3</c:v>
                </c:pt>
                <c:pt idx="197">
                  <c:v>6.9289999999999994E-3</c:v>
                </c:pt>
                <c:pt idx="198">
                  <c:v>6.9849999999999999E-3</c:v>
                </c:pt>
                <c:pt idx="199">
                  <c:v>7.0408000000000007E-3</c:v>
                </c:pt>
                <c:pt idx="200">
                  <c:v>7.0948000000000001E-3</c:v>
                </c:pt>
                <c:pt idx="201">
                  <c:v>7.1523999999999997E-3</c:v>
                </c:pt>
                <c:pt idx="202">
                  <c:v>7.2082000000000005E-3</c:v>
                </c:pt>
                <c:pt idx="203">
                  <c:v>7.2884000000000004E-3</c:v>
                </c:pt>
                <c:pt idx="204">
                  <c:v>7.3477999999999998E-3</c:v>
                </c:pt>
                <c:pt idx="205">
                  <c:v>7.4297999999999994E-3</c:v>
                </c:pt>
                <c:pt idx="206">
                  <c:v>7.4856000000000002E-3</c:v>
                </c:pt>
                <c:pt idx="207">
                  <c:v>7.5673999999999993E-3</c:v>
                </c:pt>
                <c:pt idx="208">
                  <c:v>7.6251999999999995E-3</c:v>
                </c:pt>
                <c:pt idx="209">
                  <c:v>7.6792000000000006E-3</c:v>
                </c:pt>
                <c:pt idx="210">
                  <c:v>7.7627999999999994E-3</c:v>
                </c:pt>
                <c:pt idx="211">
                  <c:v>7.8466000000000004E-3</c:v>
                </c:pt>
                <c:pt idx="212">
                  <c:v>7.9286000000000009E-3</c:v>
                </c:pt>
                <c:pt idx="213">
                  <c:v>8.0122000000000006E-3</c:v>
                </c:pt>
                <c:pt idx="214">
                  <c:v>8.095999999999999E-3</c:v>
                </c:pt>
                <c:pt idx="215">
                  <c:v>8.179800000000001E-3</c:v>
                </c:pt>
                <c:pt idx="216">
                  <c:v>8.2635999999999994E-3</c:v>
                </c:pt>
                <c:pt idx="217">
                  <c:v>8.3453999999999993E-3</c:v>
                </c:pt>
                <c:pt idx="218">
                  <c:v>8.4291999999999995E-3</c:v>
                </c:pt>
                <c:pt idx="219">
                  <c:v>8.5109999999999995E-3</c:v>
                </c:pt>
                <c:pt idx="220">
                  <c:v>8.5965999999999994E-3</c:v>
                </c:pt>
                <c:pt idx="221">
                  <c:v>8.6785999999999999E-3</c:v>
                </c:pt>
                <c:pt idx="222">
                  <c:v>8.7624E-3</c:v>
                </c:pt>
                <c:pt idx="223">
                  <c:v>8.8442E-3</c:v>
                </c:pt>
                <c:pt idx="224">
                  <c:v>8.9280000000000002E-3</c:v>
                </c:pt>
                <c:pt idx="225">
                  <c:v>9.0118000000000004E-3</c:v>
                </c:pt>
                <c:pt idx="226">
                  <c:v>9.0954E-3</c:v>
                </c:pt>
                <c:pt idx="227">
                  <c:v>9.1792000000000002E-3</c:v>
                </c:pt>
                <c:pt idx="228">
                  <c:v>9.2612000000000007E-3</c:v>
                </c:pt>
                <c:pt idx="229">
                  <c:v>9.3448000000000003E-3</c:v>
                </c:pt>
                <c:pt idx="230">
                  <c:v>9.4286000000000005E-3</c:v>
                </c:pt>
                <c:pt idx="231">
                  <c:v>9.512399999999999E-3</c:v>
                </c:pt>
                <c:pt idx="232">
                  <c:v>9.5962000000000009E-3</c:v>
                </c:pt>
                <c:pt idx="233">
                  <c:v>9.6797999999999988E-3</c:v>
                </c:pt>
                <c:pt idx="234">
                  <c:v>9.761800000000001E-3</c:v>
                </c:pt>
                <c:pt idx="235">
                  <c:v>9.8455999999999995E-3</c:v>
                </c:pt>
                <c:pt idx="236">
                  <c:v>9.9292000000000009E-3</c:v>
                </c:pt>
                <c:pt idx="237">
                  <c:v>1.0013000000000001E-2</c:v>
                </c:pt>
                <c:pt idx="238">
                  <c:v>1.0095E-2</c:v>
                </c:pt>
                <c:pt idx="239">
                  <c:v>1.0178599999999999E-2</c:v>
                </c:pt>
                <c:pt idx="240">
                  <c:v>1.02624E-2</c:v>
                </c:pt>
                <c:pt idx="241">
                  <c:v>1.0346200000000002E-2</c:v>
                </c:pt>
                <c:pt idx="242">
                  <c:v>1.043E-2</c:v>
                </c:pt>
                <c:pt idx="243">
                  <c:v>1.05118E-2</c:v>
                </c:pt>
                <c:pt idx="244">
                  <c:v>1.05956E-2</c:v>
                </c:pt>
                <c:pt idx="245">
                  <c:v>1.0677399999999998E-2</c:v>
                </c:pt>
                <c:pt idx="246">
                  <c:v>1.0763E-2</c:v>
                </c:pt>
                <c:pt idx="247">
                  <c:v>1.08748E-2</c:v>
                </c:pt>
                <c:pt idx="248">
                  <c:v>1.0984600000000001E-2</c:v>
                </c:pt>
                <c:pt idx="249">
                  <c:v>1.1096200000000001E-2</c:v>
                </c:pt>
                <c:pt idx="250">
                  <c:v>1.1208000000000001E-2</c:v>
                </c:pt>
                <c:pt idx="251">
                  <c:v>1.1317799999999999E-2</c:v>
                </c:pt>
                <c:pt idx="252">
                  <c:v>1.1429400000000001E-2</c:v>
                </c:pt>
                <c:pt idx="253">
                  <c:v>1.1540999999999999E-2</c:v>
                </c:pt>
                <c:pt idx="254">
                  <c:v>1.1650799999999999E-2</c:v>
                </c:pt>
                <c:pt idx="255">
                  <c:v>1.1762600000000002E-2</c:v>
                </c:pt>
                <c:pt idx="256">
                  <c:v>1.18742E-2</c:v>
                </c:pt>
                <c:pt idx="257">
                  <c:v>1.19858E-2</c:v>
                </c:pt>
                <c:pt idx="258">
                  <c:v>1.20956E-2</c:v>
                </c:pt>
                <c:pt idx="259">
                  <c:v>1.22074E-2</c:v>
                </c:pt>
                <c:pt idx="260">
                  <c:v>1.2319E-2</c:v>
                </c:pt>
                <c:pt idx="261">
                  <c:v>1.24288E-2</c:v>
                </c:pt>
                <c:pt idx="262">
                  <c:v>1.25386E-2</c:v>
                </c:pt>
                <c:pt idx="263">
                  <c:v>1.2650399999999999E-2</c:v>
                </c:pt>
                <c:pt idx="264">
                  <c:v>1.2762000000000001E-2</c:v>
                </c:pt>
                <c:pt idx="265">
                  <c:v>1.2871799999999999E-2</c:v>
                </c:pt>
                <c:pt idx="266">
                  <c:v>1.2983400000000001E-2</c:v>
                </c:pt>
                <c:pt idx="267">
                  <c:v>1.3097000000000001E-2</c:v>
                </c:pt>
                <c:pt idx="268">
                  <c:v>1.3206800000000001E-2</c:v>
                </c:pt>
                <c:pt idx="269">
                  <c:v>1.3318399999999999E-2</c:v>
                </c:pt>
                <c:pt idx="270">
                  <c:v>1.3430200000000002E-2</c:v>
                </c:pt>
                <c:pt idx="271">
                  <c:v>1.35418E-2</c:v>
                </c:pt>
                <c:pt idx="272">
                  <c:v>1.36516E-2</c:v>
                </c:pt>
                <c:pt idx="273">
                  <c:v>1.37632E-2</c:v>
                </c:pt>
                <c:pt idx="274">
                  <c:v>1.3873E-2</c:v>
                </c:pt>
                <c:pt idx="275">
                  <c:v>1.3984799999999999E-2</c:v>
                </c:pt>
                <c:pt idx="276">
                  <c:v>1.4094599999999999E-2</c:v>
                </c:pt>
                <c:pt idx="277">
                  <c:v>1.42062E-2</c:v>
                </c:pt>
                <c:pt idx="278">
                  <c:v>1.4317999999999999E-2</c:v>
                </c:pt>
                <c:pt idx="279">
                  <c:v>1.44574E-2</c:v>
                </c:pt>
                <c:pt idx="280">
                  <c:v>1.4567200000000001E-2</c:v>
                </c:pt>
                <c:pt idx="281">
                  <c:v>1.4680800000000001E-2</c:v>
                </c:pt>
                <c:pt idx="282">
                  <c:v>1.4792400000000001E-2</c:v>
                </c:pt>
                <c:pt idx="283">
                  <c:v>1.49024E-2</c:v>
                </c:pt>
                <c:pt idx="284">
                  <c:v>1.50122E-2</c:v>
                </c:pt>
                <c:pt idx="285">
                  <c:v>1.51518E-2</c:v>
                </c:pt>
                <c:pt idx="286">
                  <c:v>1.52616E-2</c:v>
                </c:pt>
                <c:pt idx="287">
                  <c:v>1.5403E-2</c:v>
                </c:pt>
                <c:pt idx="288">
                  <c:v>1.55406E-2</c:v>
                </c:pt>
                <c:pt idx="289">
                  <c:v>1.5678399999999999E-2</c:v>
                </c:pt>
                <c:pt idx="290">
                  <c:v>1.5818000000000002E-2</c:v>
                </c:pt>
                <c:pt idx="291">
                  <c:v>1.5955799999999999E-2</c:v>
                </c:pt>
                <c:pt idx="292">
                  <c:v>1.6095399999999999E-2</c:v>
                </c:pt>
                <c:pt idx="293">
                  <c:v>1.6234800000000001E-2</c:v>
                </c:pt>
                <c:pt idx="294">
                  <c:v>1.6372600000000001E-2</c:v>
                </c:pt>
                <c:pt idx="295">
                  <c:v>1.6512199999999998E-2</c:v>
                </c:pt>
                <c:pt idx="296">
                  <c:v>1.6651800000000001E-2</c:v>
                </c:pt>
                <c:pt idx="297">
                  <c:v>1.6789600000000002E-2</c:v>
                </c:pt>
                <c:pt idx="298">
                  <c:v>1.6929199999999998E-2</c:v>
                </c:pt>
                <c:pt idx="299">
                  <c:v>1.7040800000000002E-2</c:v>
                </c:pt>
                <c:pt idx="300">
                  <c:v>1.7178599999999999E-2</c:v>
                </c:pt>
                <c:pt idx="301">
                  <c:v>1.7318E-2</c:v>
                </c:pt>
                <c:pt idx="302">
                  <c:v>1.74576E-2</c:v>
                </c:pt>
                <c:pt idx="303">
                  <c:v>1.7595400000000001E-2</c:v>
                </c:pt>
                <c:pt idx="304">
                  <c:v>1.7735000000000001E-2</c:v>
                </c:pt>
                <c:pt idx="305">
                  <c:v>1.7874600000000001E-2</c:v>
                </c:pt>
                <c:pt idx="306">
                  <c:v>1.8012399999999998E-2</c:v>
                </c:pt>
                <c:pt idx="307">
                  <c:v>1.8149999999999999E-2</c:v>
                </c:pt>
                <c:pt idx="308">
                  <c:v>1.82896E-2</c:v>
                </c:pt>
                <c:pt idx="309">
                  <c:v>1.84292E-2</c:v>
                </c:pt>
                <c:pt idx="310">
                  <c:v>1.85688E-2</c:v>
                </c:pt>
                <c:pt idx="311">
                  <c:v>1.87084E-2</c:v>
                </c:pt>
                <c:pt idx="312">
                  <c:v>1.88462E-2</c:v>
                </c:pt>
                <c:pt idx="313">
                  <c:v>1.9011800000000002E-2</c:v>
                </c:pt>
                <c:pt idx="314">
                  <c:v>1.91792E-2</c:v>
                </c:pt>
                <c:pt idx="315">
                  <c:v>1.9346800000000001E-2</c:v>
                </c:pt>
                <c:pt idx="316">
                  <c:v>1.9484399999999999E-2</c:v>
                </c:pt>
                <c:pt idx="317">
                  <c:v>1.9651999999999999E-2</c:v>
                </c:pt>
                <c:pt idx="318">
                  <c:v>1.97898E-2</c:v>
                </c:pt>
                <c:pt idx="319">
                  <c:v>1.9957199999999998E-2</c:v>
                </c:pt>
                <c:pt idx="320">
                  <c:v>2.0122000000000001E-2</c:v>
                </c:pt>
                <c:pt idx="321">
                  <c:v>2.0261999999999999E-2</c:v>
                </c:pt>
                <c:pt idx="322">
                  <c:v>2.0428000000000002E-2</c:v>
                </c:pt>
                <c:pt idx="323">
                  <c:v>2.0596E-2</c:v>
                </c:pt>
                <c:pt idx="324">
                  <c:v>2.0764000000000001E-2</c:v>
                </c:pt>
                <c:pt idx="325">
                  <c:v>2.0926E-2</c:v>
                </c:pt>
                <c:pt idx="326">
                  <c:v>2.1096E-2</c:v>
                </c:pt>
                <c:pt idx="327">
                  <c:v>2.1262E-2</c:v>
                </c:pt>
                <c:pt idx="328">
                  <c:v>2.1429999999999998E-2</c:v>
                </c:pt>
                <c:pt idx="329">
                  <c:v>2.1596000000000001E-2</c:v>
                </c:pt>
                <c:pt idx="330">
                  <c:v>2.1762E-2</c:v>
                </c:pt>
                <c:pt idx="331">
                  <c:v>2.1930000000000002E-2</c:v>
                </c:pt>
                <c:pt idx="332">
                  <c:v>2.2096000000000001E-2</c:v>
                </c:pt>
                <c:pt idx="333">
                  <c:v>2.2291999999999999E-2</c:v>
                </c:pt>
                <c:pt idx="334">
                  <c:v>2.2456E-2</c:v>
                </c:pt>
                <c:pt idx="335">
                  <c:v>2.2623999999999998E-2</c:v>
                </c:pt>
                <c:pt idx="336">
                  <c:v>2.2787999999999999E-2</c:v>
                </c:pt>
                <c:pt idx="337">
                  <c:v>2.2957999999999999E-2</c:v>
                </c:pt>
                <c:pt idx="338">
                  <c:v>2.3123999999999999E-2</c:v>
                </c:pt>
                <c:pt idx="339">
                  <c:v>2.3290000000000002E-2</c:v>
                </c:pt>
                <c:pt idx="340">
                  <c:v>2.3458E-2</c:v>
                </c:pt>
                <c:pt idx="341">
                  <c:v>2.3623999999999999E-2</c:v>
                </c:pt>
                <c:pt idx="342">
                  <c:v>2.3792000000000001E-2</c:v>
                </c:pt>
                <c:pt idx="343">
                  <c:v>2.3984000000000002E-2</c:v>
                </c:pt>
                <c:pt idx="344">
                  <c:v>2.418E-2</c:v>
                </c:pt>
                <c:pt idx="345">
                  <c:v>2.4373999999999996E-2</c:v>
                </c:pt>
                <c:pt idx="346">
                  <c:v>2.4568E-2</c:v>
                </c:pt>
                <c:pt idx="347">
                  <c:v>2.4760000000000001E-2</c:v>
                </c:pt>
                <c:pt idx="348">
                  <c:v>2.4955999999999999E-2</c:v>
                </c:pt>
                <c:pt idx="349">
                  <c:v>2.5152000000000001E-2</c:v>
                </c:pt>
                <c:pt idx="350">
                  <c:v>2.5348000000000002E-2</c:v>
                </c:pt>
                <c:pt idx="351">
                  <c:v>2.5539999999999997E-2</c:v>
                </c:pt>
                <c:pt idx="352">
                  <c:v>2.5734E-2</c:v>
                </c:pt>
                <c:pt idx="353">
                  <c:v>2.5929999999999998E-2</c:v>
                </c:pt>
                <c:pt idx="354">
                  <c:v>2.6126E-2</c:v>
                </c:pt>
                <c:pt idx="355">
                  <c:v>2.6316000000000003E-2</c:v>
                </c:pt>
                <c:pt idx="356">
                  <c:v>2.6509999999999999E-2</c:v>
                </c:pt>
                <c:pt idx="357">
                  <c:v>2.6705999999999997E-2</c:v>
                </c:pt>
                <c:pt idx="358">
                  <c:v>2.6901999999999999E-2</c:v>
                </c:pt>
                <c:pt idx="359">
                  <c:v>2.7095999999999999E-2</c:v>
                </c:pt>
                <c:pt idx="360">
                  <c:v>2.7317999999999999E-2</c:v>
                </c:pt>
                <c:pt idx="361">
                  <c:v>2.7539999999999999E-2</c:v>
                </c:pt>
                <c:pt idx="362">
                  <c:v>2.7761999999999998E-2</c:v>
                </c:pt>
                <c:pt idx="363">
                  <c:v>2.7983999999999998E-2</c:v>
                </c:pt>
                <c:pt idx="364">
                  <c:v>2.8178000000000002E-2</c:v>
                </c:pt>
                <c:pt idx="365">
                  <c:v>2.8401999999999997E-2</c:v>
                </c:pt>
                <c:pt idx="366">
                  <c:v>2.8593999999999998E-2</c:v>
                </c:pt>
                <c:pt idx="367">
                  <c:v>2.8818E-2</c:v>
                </c:pt>
                <c:pt idx="368">
                  <c:v>2.9041999999999998E-2</c:v>
                </c:pt>
                <c:pt idx="369">
                  <c:v>2.9264000000000002E-2</c:v>
                </c:pt>
                <c:pt idx="370">
                  <c:v>2.9484E-2</c:v>
                </c:pt>
                <c:pt idx="371">
                  <c:v>2.9708000000000002E-2</c:v>
                </c:pt>
                <c:pt idx="372">
                  <c:v>2.9928E-2</c:v>
                </c:pt>
                <c:pt idx="373">
                  <c:v>3.015E-2</c:v>
                </c:pt>
                <c:pt idx="374">
                  <c:v>3.0373999999999998E-2</c:v>
                </c:pt>
                <c:pt idx="375">
                  <c:v>3.0596000000000002E-2</c:v>
                </c:pt>
                <c:pt idx="376">
                  <c:v>3.0817999999999998E-2</c:v>
                </c:pt>
                <c:pt idx="377">
                  <c:v>3.1040000000000002E-2</c:v>
                </c:pt>
                <c:pt idx="378">
                  <c:v>3.1261999999999998E-2</c:v>
                </c:pt>
                <c:pt idx="379">
                  <c:v>3.1514E-2</c:v>
                </c:pt>
                <c:pt idx="380">
                  <c:v>3.1761999999999999E-2</c:v>
                </c:pt>
                <c:pt idx="381">
                  <c:v>3.2011999999999999E-2</c:v>
                </c:pt>
                <c:pt idx="382">
                  <c:v>3.2264000000000001E-2</c:v>
                </c:pt>
                <c:pt idx="383">
                  <c:v>3.2511999999999999E-2</c:v>
                </c:pt>
                <c:pt idx="384">
                  <c:v>3.2764000000000001E-2</c:v>
                </c:pt>
                <c:pt idx="385">
                  <c:v>3.3012E-2</c:v>
                </c:pt>
                <c:pt idx="386">
                  <c:v>3.3262E-2</c:v>
                </c:pt>
                <c:pt idx="387">
                  <c:v>3.3514000000000002E-2</c:v>
                </c:pt>
                <c:pt idx="388">
                  <c:v>3.3762E-2</c:v>
                </c:pt>
                <c:pt idx="389">
                  <c:v>3.4012000000000001E-2</c:v>
                </c:pt>
                <c:pt idx="390">
                  <c:v>3.4259999999999999E-2</c:v>
                </c:pt>
                <c:pt idx="391">
                  <c:v>3.4514000000000003E-2</c:v>
                </c:pt>
                <c:pt idx="392">
                  <c:v>3.4762000000000001E-2</c:v>
                </c:pt>
                <c:pt idx="393">
                  <c:v>3.5012000000000001E-2</c:v>
                </c:pt>
                <c:pt idx="394">
                  <c:v>3.5290000000000002E-2</c:v>
                </c:pt>
                <c:pt idx="395">
                  <c:v>3.5568000000000002E-2</c:v>
                </c:pt>
                <c:pt idx="396">
                  <c:v>3.5846000000000003E-2</c:v>
                </c:pt>
                <c:pt idx="397">
                  <c:v>3.6122000000000001E-2</c:v>
                </c:pt>
                <c:pt idx="398">
                  <c:v>3.6402000000000004E-2</c:v>
                </c:pt>
                <c:pt idx="399">
                  <c:v>3.6680000000000004E-2</c:v>
                </c:pt>
                <c:pt idx="400">
                  <c:v>3.6958000000000005E-2</c:v>
                </c:pt>
                <c:pt idx="401">
                  <c:v>3.7235999999999998E-2</c:v>
                </c:pt>
                <c:pt idx="402">
                  <c:v>3.7511999999999997E-2</c:v>
                </c:pt>
                <c:pt idx="403">
                  <c:v>3.7788000000000002E-2</c:v>
                </c:pt>
                <c:pt idx="404">
                  <c:v>3.8067999999999998E-2</c:v>
                </c:pt>
                <c:pt idx="405">
                  <c:v>3.8348E-2</c:v>
                </c:pt>
                <c:pt idx="406">
                  <c:v>3.8622000000000004E-2</c:v>
                </c:pt>
                <c:pt idx="407">
                  <c:v>3.8900000000000004E-2</c:v>
                </c:pt>
                <c:pt idx="408">
                  <c:v>3.918E-2</c:v>
                </c:pt>
                <c:pt idx="409">
                  <c:v>3.9456000000000005E-2</c:v>
                </c:pt>
                <c:pt idx="410">
                  <c:v>3.9733999999999998E-2</c:v>
                </c:pt>
                <c:pt idx="411">
                  <c:v>4.0039999999999992E-2</c:v>
                </c:pt>
                <c:pt idx="412">
                  <c:v>4.0346E-2</c:v>
                </c:pt>
                <c:pt idx="413">
                  <c:v>4.0652000000000001E-2</c:v>
                </c:pt>
                <c:pt idx="414">
                  <c:v>4.0957999999999994E-2</c:v>
                </c:pt>
                <c:pt idx="415">
                  <c:v>4.1262E-2</c:v>
                </c:pt>
                <c:pt idx="416">
                  <c:v>4.1570000000000003E-2</c:v>
                </c:pt>
                <c:pt idx="417">
                  <c:v>4.1874000000000001E-2</c:v>
                </c:pt>
                <c:pt idx="418">
                  <c:v>4.2180000000000002E-2</c:v>
                </c:pt>
                <c:pt idx="419">
                  <c:v>4.2512000000000001E-2</c:v>
                </c:pt>
                <c:pt idx="420">
                  <c:v>4.2817999999999995E-2</c:v>
                </c:pt>
                <c:pt idx="421">
                  <c:v>4.3150000000000001E-2</c:v>
                </c:pt>
                <c:pt idx="422">
                  <c:v>4.3483999999999995E-2</c:v>
                </c:pt>
                <c:pt idx="423">
                  <c:v>4.3819999999999998E-2</c:v>
                </c:pt>
                <c:pt idx="424">
                  <c:v>4.4151999999999997E-2</c:v>
                </c:pt>
                <c:pt idx="425">
                  <c:v>4.4484000000000003E-2</c:v>
                </c:pt>
                <c:pt idx="426">
                  <c:v>4.4816000000000002E-2</c:v>
                </c:pt>
                <c:pt idx="427">
                  <c:v>4.5179999999999998E-2</c:v>
                </c:pt>
                <c:pt idx="428">
                  <c:v>4.5537999999999995E-2</c:v>
                </c:pt>
                <c:pt idx="429">
                  <c:v>4.5873999999999998E-2</c:v>
                </c:pt>
                <c:pt idx="430">
                  <c:v>4.6234000000000004E-2</c:v>
                </c:pt>
                <c:pt idx="431">
                  <c:v>4.6595999999999999E-2</c:v>
                </c:pt>
                <c:pt idx="432">
                  <c:v>4.6958E-2</c:v>
                </c:pt>
                <c:pt idx="433">
                  <c:v>4.7317999999999999E-2</c:v>
                </c:pt>
                <c:pt idx="434">
                  <c:v>4.768E-2</c:v>
                </c:pt>
                <c:pt idx="435">
                  <c:v>4.8039999999999999E-2</c:v>
                </c:pt>
                <c:pt idx="436">
                  <c:v>4.8403999999999996E-2</c:v>
                </c:pt>
                <c:pt idx="437">
                  <c:v>4.8762E-2</c:v>
                </c:pt>
                <c:pt idx="438">
                  <c:v>4.9124000000000001E-2</c:v>
                </c:pt>
                <c:pt idx="439">
                  <c:v>4.9484E-2</c:v>
                </c:pt>
                <c:pt idx="440">
                  <c:v>4.9847999999999996E-2</c:v>
                </c:pt>
                <c:pt idx="441">
                  <c:v>5.0233999999999994E-2</c:v>
                </c:pt>
                <c:pt idx="442">
                  <c:v>5.0624000000000002E-2</c:v>
                </c:pt>
                <c:pt idx="443">
                  <c:v>5.101E-2</c:v>
                </c:pt>
                <c:pt idx="444">
                  <c:v>5.1402000000000003E-2</c:v>
                </c:pt>
                <c:pt idx="445">
                  <c:v>5.1790000000000003E-2</c:v>
                </c:pt>
                <c:pt idx="446">
                  <c:v>5.2182000000000006E-2</c:v>
                </c:pt>
                <c:pt idx="447">
                  <c:v>5.2595999999999997E-2</c:v>
                </c:pt>
                <c:pt idx="448">
                  <c:v>5.3013999999999999E-2</c:v>
                </c:pt>
                <c:pt idx="449">
                  <c:v>5.3429999999999998E-2</c:v>
                </c:pt>
                <c:pt idx="450">
                  <c:v>5.3845999999999998E-2</c:v>
                </c:pt>
                <c:pt idx="451">
                  <c:v>5.4290000000000005E-2</c:v>
                </c:pt>
                <c:pt idx="452">
                  <c:v>5.4732000000000003E-2</c:v>
                </c:pt>
                <c:pt idx="453">
                  <c:v>5.518E-2</c:v>
                </c:pt>
                <c:pt idx="454">
                  <c:v>5.5624E-2</c:v>
                </c:pt>
                <c:pt idx="455">
                  <c:v>5.6068E-2</c:v>
                </c:pt>
                <c:pt idx="456">
                  <c:v>5.6512E-2</c:v>
                </c:pt>
                <c:pt idx="457">
                  <c:v>5.6958000000000002E-2</c:v>
                </c:pt>
                <c:pt idx="458">
                  <c:v>5.7401999999999995E-2</c:v>
                </c:pt>
                <c:pt idx="459">
                  <c:v>5.7874000000000002E-2</c:v>
                </c:pt>
              </c:numCache>
            </c:numRef>
          </c:cat>
          <c:val>
            <c:numRef>
              <c:f>'A11-5'!$F$2:$F$461</c:f>
              <c:numCache>
                <c:formatCode>0.00</c:formatCode>
                <c:ptCount val="460"/>
                <c:pt idx="0">
                  <c:v>0</c:v>
                </c:pt>
                <c:pt idx="1">
                  <c:v>1.1548802346423335E-2</c:v>
                </c:pt>
                <c:pt idx="2">
                  <c:v>2.309760469284667E-2</c:v>
                </c:pt>
                <c:pt idx="3">
                  <c:v>3.8496007821411118E-2</c:v>
                </c:pt>
                <c:pt idx="4">
                  <c:v>5.3894410949975574E-2</c:v>
                </c:pt>
                <c:pt idx="5">
                  <c:v>6.9292814078540002E-2</c:v>
                </c:pt>
                <c:pt idx="6">
                  <c:v>8.8540817989245582E-2</c:v>
                </c:pt>
                <c:pt idx="7">
                  <c:v>0.10393922111781001</c:v>
                </c:pt>
                <c:pt idx="8">
                  <c:v>0.12318722502851558</c:v>
                </c:pt>
                <c:pt idx="9">
                  <c:v>0.14243522893922114</c:v>
                </c:pt>
                <c:pt idx="10">
                  <c:v>0.16553057049227818</c:v>
                </c:pt>
                <c:pt idx="11">
                  <c:v>0.18477857440298373</c:v>
                </c:pt>
                <c:pt idx="12">
                  <c:v>0.20402657831368931</c:v>
                </c:pt>
                <c:pt idx="13">
                  <c:v>0.22712870928611523</c:v>
                </c:pt>
                <c:pt idx="14">
                  <c:v>0.24636539749787267</c:v>
                </c:pt>
                <c:pt idx="15">
                  <c:v>0.26947205474987784</c:v>
                </c:pt>
                <c:pt idx="16">
                  <c:v>0.29257871200188301</c:v>
                </c:pt>
                <c:pt idx="17">
                  <c:v>0.31566273785599192</c:v>
                </c:pt>
                <c:pt idx="18">
                  <c:v>0.33876939510799708</c:v>
                </c:pt>
                <c:pt idx="19">
                  <c:v>0.36185342096210604</c:v>
                </c:pt>
                <c:pt idx="20">
                  <c:v>0.38496007821411121</c:v>
                </c:pt>
                <c:pt idx="21">
                  <c:v>0.4041967664258686</c:v>
                </c:pt>
                <c:pt idx="22">
                  <c:v>0.42730342367787377</c:v>
                </c:pt>
                <c:pt idx="23">
                  <c:v>0.450410080929879</c:v>
                </c:pt>
                <c:pt idx="24">
                  <c:v>0.4734941067839879</c:v>
                </c:pt>
                <c:pt idx="25">
                  <c:v>0.49660076403599307</c:v>
                </c:pt>
                <c:pt idx="26">
                  <c:v>0.51968478989010203</c:v>
                </c:pt>
                <c:pt idx="27">
                  <c:v>0.54279144714210714</c:v>
                </c:pt>
                <c:pt idx="28">
                  <c:v>0.56202813535386464</c:v>
                </c:pt>
                <c:pt idx="29">
                  <c:v>0.58513479260586987</c:v>
                </c:pt>
                <c:pt idx="30">
                  <c:v>0.60824144985787487</c:v>
                </c:pt>
                <c:pt idx="31">
                  <c:v>0.62747813806963237</c:v>
                </c:pt>
                <c:pt idx="32">
                  <c:v>0.65058479532163749</c:v>
                </c:pt>
                <c:pt idx="33">
                  <c:v>0.67366882117574656</c:v>
                </c:pt>
                <c:pt idx="34">
                  <c:v>0.69677547842775156</c:v>
                </c:pt>
                <c:pt idx="35">
                  <c:v>0.71601216663950917</c:v>
                </c:pt>
                <c:pt idx="36">
                  <c:v>0.73911882389151418</c:v>
                </c:pt>
                <c:pt idx="37">
                  <c:v>0.7622254811435194</c:v>
                </c:pt>
                <c:pt idx="38">
                  <c:v>0.7814621693552769</c:v>
                </c:pt>
                <c:pt idx="39">
                  <c:v>0.80456882660728202</c:v>
                </c:pt>
                <c:pt idx="40">
                  <c:v>0.82765285246139086</c:v>
                </c:pt>
                <c:pt idx="41">
                  <c:v>0.84691217207104452</c:v>
                </c:pt>
                <c:pt idx="42">
                  <c:v>0.86999619792515359</c:v>
                </c:pt>
                <c:pt idx="43">
                  <c:v>0.89310285517715871</c:v>
                </c:pt>
                <c:pt idx="44">
                  <c:v>0.91233954338891621</c:v>
                </c:pt>
                <c:pt idx="45">
                  <c:v>0.93544620064092132</c:v>
                </c:pt>
                <c:pt idx="46">
                  <c:v>0.95470552025057498</c:v>
                </c:pt>
                <c:pt idx="47">
                  <c:v>0.97778954610468394</c:v>
                </c:pt>
                <c:pt idx="48">
                  <c:v>0.9970488657143376</c:v>
                </c:pt>
                <c:pt idx="49">
                  <c:v>1.0201328915684464</c:v>
                </c:pt>
                <c:pt idx="50">
                  <c:v>1.0393922111781002</c:v>
                </c:pt>
                <c:pt idx="51">
                  <c:v>1.0624762370322094</c:v>
                </c:pt>
                <c:pt idx="52">
                  <c:v>1.0817355566418627</c:v>
                </c:pt>
                <c:pt idx="53">
                  <c:v>1.1009722448536203</c:v>
                </c:pt>
                <c:pt idx="54">
                  <c:v>1.1240789021056252</c:v>
                </c:pt>
                <c:pt idx="55">
                  <c:v>1.1433155903173828</c:v>
                </c:pt>
                <c:pt idx="56">
                  <c:v>1.1625749099270364</c:v>
                </c:pt>
                <c:pt idx="57">
                  <c:v>1.1856589357811456</c:v>
                </c:pt>
                <c:pt idx="58">
                  <c:v>1.2049182553907991</c:v>
                </c:pt>
                <c:pt idx="59">
                  <c:v>1.2241549436025565</c:v>
                </c:pt>
                <c:pt idx="60">
                  <c:v>1.2472616008545618</c:v>
                </c:pt>
                <c:pt idx="61">
                  <c:v>1.2665209204642154</c:v>
                </c:pt>
                <c:pt idx="62">
                  <c:v>1.285757608675973</c:v>
                </c:pt>
                <c:pt idx="63">
                  <c:v>1.3049942968877302</c:v>
                </c:pt>
                <c:pt idx="64">
                  <c:v>1.3281009541397353</c:v>
                </c:pt>
                <c:pt idx="65">
                  <c:v>1.347360273749389</c:v>
                </c:pt>
                <c:pt idx="66">
                  <c:v>1.3665969619611464</c:v>
                </c:pt>
                <c:pt idx="67">
                  <c:v>1.3858562815708002</c:v>
                </c:pt>
                <c:pt idx="68">
                  <c:v>1.4089403074249092</c:v>
                </c:pt>
                <c:pt idx="69">
                  <c:v>1.4281996270345629</c:v>
                </c:pt>
                <c:pt idx="70">
                  <c:v>1.4474363152463203</c:v>
                </c:pt>
                <c:pt idx="71">
                  <c:v>1.4666956348559743</c:v>
                </c:pt>
                <c:pt idx="72">
                  <c:v>1.4859323230677315</c:v>
                </c:pt>
                <c:pt idx="73">
                  <c:v>1.505191642677385</c:v>
                </c:pt>
                <c:pt idx="74">
                  <c:v>1.5244283308891424</c:v>
                </c:pt>
                <c:pt idx="75">
                  <c:v>1.5475349881411478</c:v>
                </c:pt>
                <c:pt idx="76">
                  <c:v>1.5667716763529054</c:v>
                </c:pt>
                <c:pt idx="77">
                  <c:v>1.5860309959625587</c:v>
                </c:pt>
                <c:pt idx="78">
                  <c:v>1.6052676841743163</c:v>
                </c:pt>
                <c:pt idx="79">
                  <c:v>1.6245270037839699</c:v>
                </c:pt>
                <c:pt idx="80">
                  <c:v>1.6437636919957277</c:v>
                </c:pt>
                <c:pt idx="81">
                  <c:v>1.6630230116053812</c:v>
                </c:pt>
                <c:pt idx="82">
                  <c:v>1.6822596998171384</c:v>
                </c:pt>
                <c:pt idx="83">
                  <c:v>1.7015190194267922</c:v>
                </c:pt>
                <c:pt idx="84">
                  <c:v>1.7207557076385498</c:v>
                </c:pt>
                <c:pt idx="85">
                  <c:v>1.7400150272482036</c:v>
                </c:pt>
                <c:pt idx="86">
                  <c:v>1.7592517154599607</c:v>
                </c:pt>
                <c:pt idx="87">
                  <c:v>1.7823583727119658</c:v>
                </c:pt>
                <c:pt idx="88">
                  <c:v>1.7977477232813721</c:v>
                </c:pt>
                <c:pt idx="89">
                  <c:v>1.8170070428910259</c:v>
                </c:pt>
                <c:pt idx="90">
                  <c:v>1.8400910687451346</c:v>
                </c:pt>
                <c:pt idx="91">
                  <c:v>1.8593503883547882</c:v>
                </c:pt>
                <c:pt idx="92">
                  <c:v>1.8785870765665456</c:v>
                </c:pt>
                <c:pt idx="93">
                  <c:v>1.8978463961761991</c:v>
                </c:pt>
                <c:pt idx="94">
                  <c:v>1.9170830843879569</c:v>
                </c:pt>
                <c:pt idx="95">
                  <c:v>1.9363424039976103</c:v>
                </c:pt>
                <c:pt idx="96">
                  <c:v>1.9555790922093679</c:v>
                </c:pt>
                <c:pt idx="97">
                  <c:v>1.9748384118190214</c:v>
                </c:pt>
                <c:pt idx="98">
                  <c:v>1.994075100030779</c:v>
                </c:pt>
                <c:pt idx="99">
                  <c:v>2.0133344196404326</c:v>
                </c:pt>
                <c:pt idx="100">
                  <c:v>2.0325711078521902</c:v>
                </c:pt>
                <c:pt idx="101">
                  <c:v>2.0518304274618435</c:v>
                </c:pt>
                <c:pt idx="102">
                  <c:v>2.0710671156736016</c:v>
                </c:pt>
                <c:pt idx="103">
                  <c:v>2.0864790976409036</c:v>
                </c:pt>
                <c:pt idx="104">
                  <c:v>2.1057157858526607</c:v>
                </c:pt>
                <c:pt idx="105">
                  <c:v>2.1249751054623145</c:v>
                </c:pt>
                <c:pt idx="106">
                  <c:v>2.1442117936740721</c:v>
                </c:pt>
                <c:pt idx="107">
                  <c:v>2.1634711132837254</c:v>
                </c:pt>
                <c:pt idx="108">
                  <c:v>2.182707801495483</c:v>
                </c:pt>
                <c:pt idx="109">
                  <c:v>2.2019671211051368</c:v>
                </c:pt>
                <c:pt idx="110">
                  <c:v>2.2212038093168944</c:v>
                </c:pt>
                <c:pt idx="111">
                  <c:v>2.2404631289265478</c:v>
                </c:pt>
                <c:pt idx="112">
                  <c:v>2.2596998171383054</c:v>
                </c:pt>
                <c:pt idx="113">
                  <c:v>2.2789817681458548</c:v>
                </c:pt>
                <c:pt idx="114">
                  <c:v>2.2982184563576129</c:v>
                </c:pt>
                <c:pt idx="115">
                  <c:v>2.3174551445693701</c:v>
                </c:pt>
                <c:pt idx="116">
                  <c:v>2.3366918327811277</c:v>
                </c:pt>
                <c:pt idx="117">
                  <c:v>2.3520811833505335</c:v>
                </c:pt>
                <c:pt idx="118">
                  <c:v>2.3713178715622911</c:v>
                </c:pt>
                <c:pt idx="119">
                  <c:v>2.3905545597740483</c:v>
                </c:pt>
                <c:pt idx="120">
                  <c:v>2.4097912479858059</c:v>
                </c:pt>
                <c:pt idx="121">
                  <c:v>2.4290279361975635</c:v>
                </c:pt>
                <c:pt idx="122">
                  <c:v>2.4482646244093207</c:v>
                </c:pt>
                <c:pt idx="123">
                  <c:v>2.4675013126210783</c:v>
                </c:pt>
                <c:pt idx="124">
                  <c:v>2.4828906631904841</c:v>
                </c:pt>
                <c:pt idx="125">
                  <c:v>2.5021273514022417</c:v>
                </c:pt>
                <c:pt idx="126">
                  <c:v>2.5213640396139989</c:v>
                </c:pt>
                <c:pt idx="127">
                  <c:v>2.5408270418047185</c:v>
                </c:pt>
                <c:pt idx="128">
                  <c:v>2.5600637300164761</c:v>
                </c:pt>
                <c:pt idx="129">
                  <c:v>2.575453080585882</c:v>
                </c:pt>
                <c:pt idx="130">
                  <c:v>2.5946897687976396</c:v>
                </c:pt>
                <c:pt idx="131">
                  <c:v>2.6139264570093972</c:v>
                </c:pt>
                <c:pt idx="132">
                  <c:v>2.6331631452211544</c:v>
                </c:pt>
                <c:pt idx="133">
                  <c:v>2.652399833432912</c:v>
                </c:pt>
                <c:pt idx="134">
                  <c:v>2.6677891840023173</c:v>
                </c:pt>
                <c:pt idx="135">
                  <c:v>2.687025872214075</c:v>
                </c:pt>
                <c:pt idx="136">
                  <c:v>2.706262560425833</c:v>
                </c:pt>
                <c:pt idx="137">
                  <c:v>2.7254992486375906</c:v>
                </c:pt>
                <c:pt idx="138">
                  <c:v>2.740888599206996</c:v>
                </c:pt>
                <c:pt idx="139">
                  <c:v>2.7601252874187532</c:v>
                </c:pt>
                <c:pt idx="140">
                  <c:v>2.7793619756305112</c:v>
                </c:pt>
                <c:pt idx="141">
                  <c:v>2.7947513261999171</c:v>
                </c:pt>
                <c:pt idx="142">
                  <c:v>2.8139880144116747</c:v>
                </c:pt>
                <c:pt idx="143">
                  <c:v>2.8332247026234318</c:v>
                </c:pt>
                <c:pt idx="144">
                  <c:v>2.8486140531928381</c:v>
                </c:pt>
                <c:pt idx="145">
                  <c:v>2.8678507414045953</c:v>
                </c:pt>
                <c:pt idx="146">
                  <c:v>2.8870874296163525</c:v>
                </c:pt>
                <c:pt idx="147">
                  <c:v>2.9024767801857592</c:v>
                </c:pt>
                <c:pt idx="148">
                  <c:v>2.9217134683975163</c:v>
                </c:pt>
                <c:pt idx="149">
                  <c:v>2.9411764705882355</c:v>
                </c:pt>
                <c:pt idx="150">
                  <c:v>2.9565658211576413</c:v>
                </c:pt>
                <c:pt idx="151">
                  <c:v>2.9950391975811566</c:v>
                </c:pt>
                <c:pt idx="152">
                  <c:v>3.02966523636232</c:v>
                </c:pt>
                <c:pt idx="153">
                  <c:v>3.0642912751434839</c:v>
                </c:pt>
                <c:pt idx="154">
                  <c:v>3.1027646515669982</c:v>
                </c:pt>
                <c:pt idx="155">
                  <c:v>3.1373906903481616</c:v>
                </c:pt>
                <c:pt idx="156">
                  <c:v>3.1720167291293251</c:v>
                </c:pt>
                <c:pt idx="157">
                  <c:v>3.206642767910489</c:v>
                </c:pt>
                <c:pt idx="158">
                  <c:v>3.241268806691652</c:v>
                </c:pt>
                <c:pt idx="159">
                  <c:v>3.2797421831151667</c:v>
                </c:pt>
                <c:pt idx="160">
                  <c:v>3.3145945358752926</c:v>
                </c:pt>
                <c:pt idx="161">
                  <c:v>3.3492205746564561</c:v>
                </c:pt>
                <c:pt idx="162">
                  <c:v>3.3838466134376195</c:v>
                </c:pt>
                <c:pt idx="163">
                  <c:v>3.4184726522187829</c:v>
                </c:pt>
                <c:pt idx="164">
                  <c:v>3.4530986909999464</c:v>
                </c:pt>
                <c:pt idx="165">
                  <c:v>3.4877247297811098</c:v>
                </c:pt>
                <c:pt idx="166">
                  <c:v>3.5223507685622728</c:v>
                </c:pt>
                <c:pt idx="167">
                  <c:v>3.5569768073434358</c:v>
                </c:pt>
                <c:pt idx="168">
                  <c:v>3.5916028461245997</c:v>
                </c:pt>
                <c:pt idx="169">
                  <c:v>3.6262288849057631</c:v>
                </c:pt>
                <c:pt idx="170">
                  <c:v>3.6570075860445757</c:v>
                </c:pt>
                <c:pt idx="171">
                  <c:v>3.6916336248257386</c:v>
                </c:pt>
                <c:pt idx="172">
                  <c:v>3.7264859775858636</c:v>
                </c:pt>
                <c:pt idx="173">
                  <c:v>3.7572646787246762</c:v>
                </c:pt>
                <c:pt idx="174">
                  <c:v>3.7918907175058396</c:v>
                </c:pt>
                <c:pt idx="175">
                  <c:v>3.8265167562870031</c:v>
                </c:pt>
                <c:pt idx="176">
                  <c:v>3.8572954574258147</c:v>
                </c:pt>
                <c:pt idx="177">
                  <c:v>3.8919214962069781</c:v>
                </c:pt>
                <c:pt idx="178">
                  <c:v>3.9227001973457907</c:v>
                </c:pt>
                <c:pt idx="179">
                  <c:v>3.9573262361269537</c:v>
                </c:pt>
                <c:pt idx="180">
                  <c:v>3.9881049372657653</c:v>
                </c:pt>
                <c:pt idx="181">
                  <c:v>4.0188836384045779</c:v>
                </c:pt>
                <c:pt idx="182">
                  <c:v>4.0535096771857413</c:v>
                </c:pt>
                <c:pt idx="183">
                  <c:v>4.0842883783245529</c:v>
                </c:pt>
                <c:pt idx="184">
                  <c:v>4.115293393442327</c:v>
                </c:pt>
                <c:pt idx="185">
                  <c:v>4.1460720945811387</c:v>
                </c:pt>
                <c:pt idx="186">
                  <c:v>4.1806981333623012</c:v>
                </c:pt>
                <c:pt idx="187">
                  <c:v>4.2114768345011138</c:v>
                </c:pt>
                <c:pt idx="188">
                  <c:v>4.2422555356399263</c:v>
                </c:pt>
                <c:pt idx="189">
                  <c:v>4.2730342367787379</c:v>
                </c:pt>
                <c:pt idx="190">
                  <c:v>4.3038129379175496</c:v>
                </c:pt>
                <c:pt idx="191">
                  <c:v>4.338438976698713</c:v>
                </c:pt>
                <c:pt idx="192">
                  <c:v>4.3653703401951738</c:v>
                </c:pt>
                <c:pt idx="193">
                  <c:v>4.3999963789763363</c:v>
                </c:pt>
                <c:pt idx="194">
                  <c:v>4.4307750801151489</c:v>
                </c:pt>
                <c:pt idx="195">
                  <c:v>4.4577064436116096</c:v>
                </c:pt>
                <c:pt idx="196">
                  <c:v>4.4887114587293837</c:v>
                </c:pt>
                <c:pt idx="197">
                  <c:v>4.5194901598681945</c:v>
                </c:pt>
                <c:pt idx="198">
                  <c:v>4.5502688610070079</c:v>
                </c:pt>
                <c:pt idx="199">
                  <c:v>4.5810475621458187</c:v>
                </c:pt>
                <c:pt idx="200">
                  <c:v>4.6118262632846312</c:v>
                </c:pt>
                <c:pt idx="201">
                  <c:v>4.6387576267810919</c:v>
                </c:pt>
                <c:pt idx="202">
                  <c:v>4.6695363279199045</c:v>
                </c:pt>
                <c:pt idx="203">
                  <c:v>4.7118570419857697</c:v>
                </c:pt>
                <c:pt idx="204">
                  <c:v>4.7426357431245822</c:v>
                </c:pt>
                <c:pt idx="205">
                  <c:v>4.7849564571904484</c:v>
                </c:pt>
                <c:pt idx="206">
                  <c:v>4.8157351583292609</c:v>
                </c:pt>
                <c:pt idx="207">
                  <c:v>4.858055872395127</c:v>
                </c:pt>
                <c:pt idx="208">
                  <c:v>4.8852135498705493</c:v>
                </c:pt>
                <c:pt idx="209">
                  <c:v>4.915992251009361</c:v>
                </c:pt>
                <c:pt idx="210">
                  <c:v>4.9583129650752271</c:v>
                </c:pt>
                <c:pt idx="211">
                  <c:v>5.0006336791410941</c:v>
                </c:pt>
                <c:pt idx="212">
                  <c:v>5.0429543932069603</c:v>
                </c:pt>
                <c:pt idx="213">
                  <c:v>5.0852751072728264</c:v>
                </c:pt>
                <c:pt idx="214">
                  <c:v>5.1275958213386925</c:v>
                </c:pt>
                <c:pt idx="215">
                  <c:v>5.1699165354045595</c:v>
                </c:pt>
                <c:pt idx="216">
                  <c:v>5.2122372494704257</c:v>
                </c:pt>
                <c:pt idx="217">
                  <c:v>5.2545579635362927</c:v>
                </c:pt>
                <c:pt idx="218">
                  <c:v>5.2932576539387686</c:v>
                </c:pt>
                <c:pt idx="219">
                  <c:v>5.3355783680046347</c:v>
                </c:pt>
                <c:pt idx="220">
                  <c:v>5.3778990820705017</c:v>
                </c:pt>
                <c:pt idx="221">
                  <c:v>5.4202197961363678</c:v>
                </c:pt>
                <c:pt idx="222">
                  <c:v>5.4586931725598831</c:v>
                </c:pt>
                <c:pt idx="223">
                  <c:v>5.5010138866257501</c:v>
                </c:pt>
                <c:pt idx="224">
                  <c:v>5.5433346006916162</c:v>
                </c:pt>
                <c:pt idx="225">
                  <c:v>5.5856553147574832</c:v>
                </c:pt>
                <c:pt idx="226">
                  <c:v>5.6279760288233494</c:v>
                </c:pt>
                <c:pt idx="227">
                  <c:v>5.6666757192258261</c:v>
                </c:pt>
                <c:pt idx="228">
                  <c:v>5.7089964332916923</c:v>
                </c:pt>
                <c:pt idx="229">
                  <c:v>5.7513171473575584</c:v>
                </c:pt>
                <c:pt idx="230">
                  <c:v>5.7936378614234254</c:v>
                </c:pt>
                <c:pt idx="231">
                  <c:v>5.8359585754892915</c:v>
                </c:pt>
                <c:pt idx="232">
                  <c:v>5.8782792895551585</c:v>
                </c:pt>
                <c:pt idx="233">
                  <c:v>5.9206000036210247</c:v>
                </c:pt>
                <c:pt idx="234">
                  <c:v>5.9590733800445399</c:v>
                </c:pt>
                <c:pt idx="235">
                  <c:v>6.001394094110406</c:v>
                </c:pt>
                <c:pt idx="236">
                  <c:v>6.0439411221552346</c:v>
                </c:pt>
                <c:pt idx="237">
                  <c:v>6.0862618362211007</c:v>
                </c:pt>
                <c:pt idx="238">
                  <c:v>6.1285825502869677</c:v>
                </c:pt>
                <c:pt idx="239">
                  <c:v>6.1709032643528339</c:v>
                </c:pt>
                <c:pt idx="240">
                  <c:v>6.2132239784187</c:v>
                </c:pt>
                <c:pt idx="241">
                  <c:v>6.255544692484567</c:v>
                </c:pt>
                <c:pt idx="242">
                  <c:v>6.2978654065504314</c:v>
                </c:pt>
                <c:pt idx="243">
                  <c:v>6.3401861206162984</c:v>
                </c:pt>
                <c:pt idx="244">
                  <c:v>6.3825068346821645</c:v>
                </c:pt>
                <c:pt idx="245">
                  <c:v>6.4248275487480315</c:v>
                </c:pt>
                <c:pt idx="246">
                  <c:v>6.4673745767928592</c:v>
                </c:pt>
                <c:pt idx="247">
                  <c:v>6.5250846414281325</c:v>
                </c:pt>
                <c:pt idx="248">
                  <c:v>6.5827947060634049</c:v>
                </c:pt>
                <c:pt idx="249">
                  <c:v>6.6405047706986782</c:v>
                </c:pt>
                <c:pt idx="250">
                  <c:v>6.6982148353339506</c:v>
                </c:pt>
                <c:pt idx="251">
                  <c:v>6.7559248999692221</c:v>
                </c:pt>
                <c:pt idx="252">
                  <c:v>6.8136349646044945</c:v>
                </c:pt>
                <c:pt idx="253">
                  <c:v>6.8715713432187293</c:v>
                </c:pt>
                <c:pt idx="254">
                  <c:v>6.9292814078540008</c:v>
                </c:pt>
                <c:pt idx="255">
                  <c:v>6.9869914724892741</c:v>
                </c:pt>
                <c:pt idx="256">
                  <c:v>7.0447015371245456</c:v>
                </c:pt>
                <c:pt idx="257">
                  <c:v>7.102411601759818</c:v>
                </c:pt>
                <c:pt idx="258">
                  <c:v>7.1562743287527386</c:v>
                </c:pt>
                <c:pt idx="259">
                  <c:v>7.2142107073669735</c:v>
                </c:pt>
                <c:pt idx="260">
                  <c:v>7.2757681096445976</c:v>
                </c:pt>
                <c:pt idx="261">
                  <c:v>7.3296308366375182</c:v>
                </c:pt>
                <c:pt idx="262">
                  <c:v>7.3873409012727915</c:v>
                </c:pt>
                <c:pt idx="263">
                  <c:v>7.4488983035504148</c:v>
                </c:pt>
                <c:pt idx="264">
                  <c:v>7.5066083681856872</c:v>
                </c:pt>
                <c:pt idx="265">
                  <c:v>7.5643184328209596</c:v>
                </c:pt>
                <c:pt idx="266">
                  <c:v>7.6222548114351936</c:v>
                </c:pt>
                <c:pt idx="267">
                  <c:v>7.6838122137128169</c:v>
                </c:pt>
                <c:pt idx="268">
                  <c:v>7.7415222783480901</c:v>
                </c:pt>
                <c:pt idx="269">
                  <c:v>7.7992323429833625</c:v>
                </c:pt>
                <c:pt idx="270">
                  <c:v>7.8607897452609858</c:v>
                </c:pt>
                <c:pt idx="271">
                  <c:v>7.9184998098962582</c:v>
                </c:pt>
                <c:pt idx="272">
                  <c:v>7.9762098745315306</c:v>
                </c:pt>
                <c:pt idx="273">
                  <c:v>8.0341462531457655</c:v>
                </c:pt>
                <c:pt idx="274">
                  <c:v>8.0957036554233905</c:v>
                </c:pt>
                <c:pt idx="275">
                  <c:v>8.1572610577010138</c:v>
                </c:pt>
                <c:pt idx="276">
                  <c:v>8.2149711223362853</c:v>
                </c:pt>
                <c:pt idx="277">
                  <c:v>8.2726811869715586</c:v>
                </c:pt>
                <c:pt idx="278">
                  <c:v>8.3342385892491819</c:v>
                </c:pt>
                <c:pt idx="279">
                  <c:v>8.4075643184328221</c:v>
                </c:pt>
                <c:pt idx="280">
                  <c:v>8.4691217207104472</c:v>
                </c:pt>
                <c:pt idx="281">
                  <c:v>8.5268317853457187</c:v>
                </c:pt>
                <c:pt idx="282">
                  <c:v>8.588389187623342</c:v>
                </c:pt>
                <c:pt idx="283">
                  <c:v>8.6499465899009653</c:v>
                </c:pt>
                <c:pt idx="284">
                  <c:v>8.7115039921785904</c:v>
                </c:pt>
                <c:pt idx="285">
                  <c:v>8.7848297213622306</c:v>
                </c:pt>
                <c:pt idx="286">
                  <c:v>8.8463871236398539</c:v>
                </c:pt>
                <c:pt idx="287">
                  <c:v>8.9194865388445326</c:v>
                </c:pt>
                <c:pt idx="288">
                  <c:v>8.996433291691563</c:v>
                </c:pt>
                <c:pt idx="289">
                  <c:v>9.0695327068962399</c:v>
                </c:pt>
                <c:pt idx="290">
                  <c:v>9.1464794597432704</c:v>
                </c:pt>
                <c:pt idx="291">
                  <c:v>9.2236525265692624</c:v>
                </c:pt>
                <c:pt idx="292">
                  <c:v>9.3005992794162911</c:v>
                </c:pt>
                <c:pt idx="293">
                  <c:v>9.3775460322633215</c:v>
                </c:pt>
                <c:pt idx="294">
                  <c:v>9.454492785110352</c:v>
                </c:pt>
                <c:pt idx="295">
                  <c:v>9.5314395379573806</c:v>
                </c:pt>
                <c:pt idx="296">
                  <c:v>9.6086126047833726</c:v>
                </c:pt>
                <c:pt idx="297">
                  <c:v>9.6855593576304031</c:v>
                </c:pt>
                <c:pt idx="298">
                  <c:v>9.7663534481197853</c:v>
                </c:pt>
                <c:pt idx="299">
                  <c:v>9.8356055256821122</c:v>
                </c:pt>
                <c:pt idx="300">
                  <c:v>9.9163996161714945</c:v>
                </c:pt>
                <c:pt idx="301">
                  <c:v>9.9935726829974829</c:v>
                </c:pt>
                <c:pt idx="302">
                  <c:v>10.074366773486865</c:v>
                </c:pt>
                <c:pt idx="303">
                  <c:v>10.159008201618599</c:v>
                </c:pt>
                <c:pt idx="304">
                  <c:v>10.239802292107981</c:v>
                </c:pt>
                <c:pt idx="305">
                  <c:v>10.32059638259736</c:v>
                </c:pt>
                <c:pt idx="306">
                  <c:v>10.401616787065706</c:v>
                </c:pt>
                <c:pt idx="307">
                  <c:v>10.482410877555088</c:v>
                </c:pt>
                <c:pt idx="308">
                  <c:v>10.563204968044467</c:v>
                </c:pt>
                <c:pt idx="309">
                  <c:v>10.643999058533849</c:v>
                </c:pt>
                <c:pt idx="310">
                  <c:v>10.728866800644543</c:v>
                </c:pt>
                <c:pt idx="311">
                  <c:v>10.809660891133925</c:v>
                </c:pt>
                <c:pt idx="312">
                  <c:v>10.890454981623305</c:v>
                </c:pt>
                <c:pt idx="313">
                  <c:v>10.986638422682093</c:v>
                </c:pt>
                <c:pt idx="314">
                  <c:v>11.086669201383232</c:v>
                </c:pt>
                <c:pt idx="315">
                  <c:v>11.183078956420982</c:v>
                </c:pt>
                <c:pt idx="316">
                  <c:v>11.267720384552716</c:v>
                </c:pt>
                <c:pt idx="317">
                  <c:v>11.363903825611501</c:v>
                </c:pt>
                <c:pt idx="318">
                  <c:v>11.448545253743236</c:v>
                </c:pt>
                <c:pt idx="319">
                  <c:v>11.548802346423335</c:v>
                </c:pt>
                <c:pt idx="320">
                  <c:v>11.644985787482122</c:v>
                </c:pt>
                <c:pt idx="321">
                  <c:v>11.729627215613855</c:v>
                </c:pt>
                <c:pt idx="322">
                  <c:v>11.829657994314994</c:v>
                </c:pt>
                <c:pt idx="323">
                  <c:v>11.929915086995095</c:v>
                </c:pt>
                <c:pt idx="324">
                  <c:v>12.029945865696233</c:v>
                </c:pt>
                <c:pt idx="325">
                  <c:v>12.12612930675502</c:v>
                </c:pt>
                <c:pt idx="326">
                  <c:v>12.226160085456161</c:v>
                </c:pt>
                <c:pt idx="327">
                  <c:v>12.326417178136259</c:v>
                </c:pt>
                <c:pt idx="328">
                  <c:v>12.4264479568374</c:v>
                </c:pt>
                <c:pt idx="329">
                  <c:v>12.526478735538539</c:v>
                </c:pt>
                <c:pt idx="330">
                  <c:v>12.626509514239677</c:v>
                </c:pt>
                <c:pt idx="331">
                  <c:v>12.726766606919778</c:v>
                </c:pt>
                <c:pt idx="332">
                  <c:v>12.826797385620916</c:v>
                </c:pt>
                <c:pt idx="333">
                  <c:v>12.942217514891462</c:v>
                </c:pt>
                <c:pt idx="334">
                  <c:v>13.0422482935926</c:v>
                </c:pt>
                <c:pt idx="335">
                  <c:v>13.142505386272703</c:v>
                </c:pt>
                <c:pt idx="336">
                  <c:v>13.24253616497384</c:v>
                </c:pt>
                <c:pt idx="337">
                  <c:v>13.342566943674978</c:v>
                </c:pt>
                <c:pt idx="338">
                  <c:v>13.442824036355081</c:v>
                </c:pt>
                <c:pt idx="339">
                  <c:v>13.542854815056218</c:v>
                </c:pt>
                <c:pt idx="340">
                  <c:v>13.642885593757358</c:v>
                </c:pt>
                <c:pt idx="341">
                  <c:v>13.742916372458495</c:v>
                </c:pt>
                <c:pt idx="342">
                  <c:v>13.843173465138596</c:v>
                </c:pt>
                <c:pt idx="343">
                  <c:v>13.958593594409139</c:v>
                </c:pt>
                <c:pt idx="344">
                  <c:v>14.077861061322038</c:v>
                </c:pt>
                <c:pt idx="345">
                  <c:v>14.193281190592581</c:v>
                </c:pt>
                <c:pt idx="346">
                  <c:v>14.308927633842089</c:v>
                </c:pt>
                <c:pt idx="347">
                  <c:v>14.424347763112634</c:v>
                </c:pt>
                <c:pt idx="348">
                  <c:v>14.54361523002553</c:v>
                </c:pt>
                <c:pt idx="349">
                  <c:v>14.659261673275036</c:v>
                </c:pt>
                <c:pt idx="350">
                  <c:v>14.778529140187931</c:v>
                </c:pt>
                <c:pt idx="351">
                  <c:v>14.893949269458478</c:v>
                </c:pt>
                <c:pt idx="352">
                  <c:v>15.013443050350336</c:v>
                </c:pt>
                <c:pt idx="353">
                  <c:v>15.128863179620881</c:v>
                </c:pt>
                <c:pt idx="354">
                  <c:v>15.244283308891427</c:v>
                </c:pt>
                <c:pt idx="355">
                  <c:v>15.363550775804322</c:v>
                </c:pt>
                <c:pt idx="356">
                  <c:v>15.479197219053829</c:v>
                </c:pt>
                <c:pt idx="357">
                  <c:v>15.598464685966725</c:v>
                </c:pt>
                <c:pt idx="358">
                  <c:v>15.71388481523727</c:v>
                </c:pt>
                <c:pt idx="359">
                  <c:v>15.833378596129128</c:v>
                </c:pt>
                <c:pt idx="360">
                  <c:v>15.96803541361143</c:v>
                </c:pt>
                <c:pt idx="361">
                  <c:v>16.106539568736085</c:v>
                </c:pt>
                <c:pt idx="362">
                  <c:v>16.245270037839703</c:v>
                </c:pt>
                <c:pt idx="363">
                  <c:v>16.379926855322001</c:v>
                </c:pt>
                <c:pt idx="364">
                  <c:v>16.503041659877251</c:v>
                </c:pt>
                <c:pt idx="365">
                  <c:v>16.637924791338513</c:v>
                </c:pt>
                <c:pt idx="366">
                  <c:v>16.761039595893759</c:v>
                </c:pt>
                <c:pt idx="367">
                  <c:v>16.903391088660765</c:v>
                </c:pt>
                <c:pt idx="368">
                  <c:v>17.042121557764382</c:v>
                </c:pt>
                <c:pt idx="369">
                  <c:v>17.180625712889036</c:v>
                </c:pt>
                <c:pt idx="370">
                  <c:v>17.322977205656045</c:v>
                </c:pt>
                <c:pt idx="371">
                  <c:v>17.461707674759655</c:v>
                </c:pt>
                <c:pt idx="372">
                  <c:v>17.600211829884312</c:v>
                </c:pt>
                <c:pt idx="373">
                  <c:v>17.738942298987929</c:v>
                </c:pt>
                <c:pt idx="374">
                  <c:v>17.877446454112583</c:v>
                </c:pt>
                <c:pt idx="375">
                  <c:v>18.019797946879585</c:v>
                </c:pt>
                <c:pt idx="376">
                  <c:v>18.158528415983199</c:v>
                </c:pt>
                <c:pt idx="377">
                  <c:v>18.297032571107852</c:v>
                </c:pt>
                <c:pt idx="378">
                  <c:v>18.43553672623251</c:v>
                </c:pt>
                <c:pt idx="379">
                  <c:v>18.585809208263179</c:v>
                </c:pt>
                <c:pt idx="380">
                  <c:v>18.735855376314888</c:v>
                </c:pt>
                <c:pt idx="381">
                  <c:v>18.8935962196513</c:v>
                </c:pt>
                <c:pt idx="382">
                  <c:v>19.047716039324317</c:v>
                </c:pt>
                <c:pt idx="383">
                  <c:v>19.20545688266073</c:v>
                </c:pt>
                <c:pt idx="384">
                  <c:v>19.363424039976106</c:v>
                </c:pt>
                <c:pt idx="385">
                  <c:v>19.517317545670164</c:v>
                </c:pt>
                <c:pt idx="386">
                  <c:v>19.671211051364224</c:v>
                </c:pt>
                <c:pt idx="387">
                  <c:v>19.825330871037245</c:v>
                </c:pt>
                <c:pt idx="388">
                  <c:v>19.979224376731302</c:v>
                </c:pt>
                <c:pt idx="389">
                  <c:v>20.133344196404327</c:v>
                </c:pt>
                <c:pt idx="390">
                  <c:v>20.291085039740736</c:v>
                </c:pt>
                <c:pt idx="391">
                  <c:v>20.444978545434797</c:v>
                </c:pt>
                <c:pt idx="392">
                  <c:v>20.599098365107821</c:v>
                </c:pt>
                <c:pt idx="393">
                  <c:v>20.75683920844423</c:v>
                </c:pt>
                <c:pt idx="394">
                  <c:v>20.926348378686654</c:v>
                </c:pt>
                <c:pt idx="395">
                  <c:v>21.099478572592474</c:v>
                </c:pt>
                <c:pt idx="396">
                  <c:v>21.268987742834899</c:v>
                </c:pt>
                <c:pt idx="397">
                  <c:v>21.438270599098367</c:v>
                </c:pt>
                <c:pt idx="398">
                  <c:v>21.611400793004186</c:v>
                </c:pt>
                <c:pt idx="399">
                  <c:v>21.784757300888963</c:v>
                </c:pt>
                <c:pt idx="400">
                  <c:v>21.961734832437131</c:v>
                </c:pt>
                <c:pt idx="401">
                  <c:v>22.138938677964262</c:v>
                </c:pt>
                <c:pt idx="402">
                  <c:v>22.319763547154785</c:v>
                </c:pt>
                <c:pt idx="403">
                  <c:v>22.49696739268191</c:v>
                </c:pt>
                <c:pt idx="404">
                  <c:v>22.669871272608773</c:v>
                </c:pt>
                <c:pt idx="405">
                  <c:v>22.850922455778253</c:v>
                </c:pt>
                <c:pt idx="406">
                  <c:v>23.031973638947733</c:v>
                </c:pt>
                <c:pt idx="407">
                  <c:v>23.213024822117216</c:v>
                </c:pt>
                <c:pt idx="408">
                  <c:v>23.394076005286696</c:v>
                </c:pt>
                <c:pt idx="409">
                  <c:v>23.570600908876944</c:v>
                </c:pt>
                <c:pt idx="410">
                  <c:v>23.751652092046424</c:v>
                </c:pt>
                <c:pt idx="411">
                  <c:v>23.944018974163999</c:v>
                </c:pt>
                <c:pt idx="412">
                  <c:v>24.140912135860813</c:v>
                </c:pt>
                <c:pt idx="413">
                  <c:v>24.337805297557626</c:v>
                </c:pt>
                <c:pt idx="414">
                  <c:v>24.530172179675198</c:v>
                </c:pt>
                <c:pt idx="415">
                  <c:v>24.718012782213535</c:v>
                </c:pt>
                <c:pt idx="416">
                  <c:v>24.910379664331114</c:v>
                </c:pt>
                <c:pt idx="417">
                  <c:v>25.102746546448685</c:v>
                </c:pt>
                <c:pt idx="418">
                  <c:v>25.295113428566257</c:v>
                </c:pt>
                <c:pt idx="419">
                  <c:v>25.503322289211166</c:v>
                </c:pt>
                <c:pt idx="420">
                  <c:v>25.695689171328738</c:v>
                </c:pt>
                <c:pt idx="421">
                  <c:v>25.90389803197364</c:v>
                </c:pt>
                <c:pt idx="422">
                  <c:v>26.112106892618545</c:v>
                </c:pt>
                <c:pt idx="423">
                  <c:v>26.320315753263451</c:v>
                </c:pt>
                <c:pt idx="424">
                  <c:v>26.528524613908356</c:v>
                </c:pt>
                <c:pt idx="425">
                  <c:v>26.738996614342881</c:v>
                </c:pt>
                <c:pt idx="426">
                  <c:v>26.947205474987783</c:v>
                </c:pt>
                <c:pt idx="427">
                  <c:v>27.16673003458078</c:v>
                </c:pt>
                <c:pt idx="428">
                  <c:v>27.386254594173774</c:v>
                </c:pt>
                <c:pt idx="429">
                  <c:v>27.59446345481868</c:v>
                </c:pt>
                <c:pt idx="430">
                  <c:v>27.816251154201296</c:v>
                </c:pt>
                <c:pt idx="431">
                  <c:v>28.040301993373532</c:v>
                </c:pt>
                <c:pt idx="432">
                  <c:v>28.266615972335384</c:v>
                </c:pt>
                <c:pt idx="433">
                  <c:v>28.495193091086854</c:v>
                </c:pt>
                <c:pt idx="434">
                  <c:v>28.721507070048705</c:v>
                </c:pt>
                <c:pt idx="435">
                  <c:v>28.947821049010557</c:v>
                </c:pt>
                <c:pt idx="436">
                  <c:v>29.176398167762031</c:v>
                </c:pt>
                <c:pt idx="437">
                  <c:v>29.402712146723886</c:v>
                </c:pt>
                <c:pt idx="438">
                  <c:v>29.631289265475353</c:v>
                </c:pt>
                <c:pt idx="439">
                  <c:v>29.862129524016442</c:v>
                </c:pt>
                <c:pt idx="440">
                  <c:v>30.092969782557532</c:v>
                </c:pt>
                <c:pt idx="441">
                  <c:v>30.335125740046717</c:v>
                </c:pt>
                <c:pt idx="442">
                  <c:v>30.581807977115133</c:v>
                </c:pt>
                <c:pt idx="443">
                  <c:v>30.823963934604318</c:v>
                </c:pt>
                <c:pt idx="444">
                  <c:v>31.061593612514262</c:v>
                </c:pt>
                <c:pt idx="445">
                  <c:v>31.303749570003447</c:v>
                </c:pt>
                <c:pt idx="446">
                  <c:v>31.543642387703006</c:v>
                </c:pt>
                <c:pt idx="447">
                  <c:v>31.797114044140283</c:v>
                </c:pt>
                <c:pt idx="448">
                  <c:v>32.048322560787938</c:v>
                </c:pt>
                <c:pt idx="449">
                  <c:v>32.297267937645977</c:v>
                </c:pt>
                <c:pt idx="450">
                  <c:v>32.548476454293635</c:v>
                </c:pt>
                <c:pt idx="451">
                  <c:v>32.813263809679</c:v>
                </c:pt>
                <c:pt idx="452">
                  <c:v>33.075788025274747</c:v>
                </c:pt>
                <c:pt idx="453">
                  <c:v>33.338312240870501</c:v>
                </c:pt>
                <c:pt idx="454">
                  <c:v>33.598573316676621</c:v>
                </c:pt>
                <c:pt idx="455">
                  <c:v>33.852044973113905</c:v>
                </c:pt>
                <c:pt idx="456">
                  <c:v>34.107779769340802</c:v>
                </c:pt>
                <c:pt idx="457">
                  <c:v>34.356725146198833</c:v>
                </c:pt>
                <c:pt idx="458">
                  <c:v>34.626038781163437</c:v>
                </c:pt>
                <c:pt idx="459">
                  <c:v>34.893089276338422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9F-410C-9DF7-E9C1AC974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505031"/>
        <c:axId val="2045515271"/>
      </c:lineChart>
      <c:catAx>
        <c:axId val="2045505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515271"/>
        <c:crosses val="autoZero"/>
        <c:auto val="1"/>
        <c:lblAlgn val="ctr"/>
        <c:lblOffset val="100"/>
        <c:noMultiLvlLbl val="0"/>
      </c:catAx>
      <c:valAx>
        <c:axId val="2045515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50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Tensão X Deformação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A11-1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'A11-4'!$C$2:$C$715</c:f>
              <c:numCache>
                <c:formatCode>0.00</c:formatCode>
                <c:ptCount val="714"/>
                <c:pt idx="0">
                  <c:v>1.1166999999999999E-4</c:v>
                </c:pt>
                <c:pt idx="1">
                  <c:v>6.5605999999999998E-3</c:v>
                </c:pt>
                <c:pt idx="2">
                  <c:v>6.6163999999999997E-3</c:v>
                </c:pt>
                <c:pt idx="3">
                  <c:v>6.6722000000000005E-3</c:v>
                </c:pt>
                <c:pt idx="4">
                  <c:v>6.7279999999999996E-3</c:v>
                </c:pt>
                <c:pt idx="5">
                  <c:v>6.7840000000000001E-3</c:v>
                </c:pt>
                <c:pt idx="6">
                  <c:v>6.8379999999999995E-3</c:v>
                </c:pt>
                <c:pt idx="7">
                  <c:v>6.8955999999999991E-3</c:v>
                </c:pt>
                <c:pt idx="8">
                  <c:v>6.9496000000000002E-3</c:v>
                </c:pt>
                <c:pt idx="9">
                  <c:v>7.0071999999999999E-3</c:v>
                </c:pt>
                <c:pt idx="10">
                  <c:v>7.0612000000000001E-3</c:v>
                </c:pt>
                <c:pt idx="11">
                  <c:v>7.1189999999999995E-3</c:v>
                </c:pt>
                <c:pt idx="12">
                  <c:v>7.1730000000000006E-3</c:v>
                </c:pt>
                <c:pt idx="13">
                  <c:v>7.2287999999999996E-3</c:v>
                </c:pt>
                <c:pt idx="14">
                  <c:v>7.2845999999999996E-3</c:v>
                </c:pt>
                <c:pt idx="15">
                  <c:v>7.3663999999999995E-3</c:v>
                </c:pt>
                <c:pt idx="16">
                  <c:v>7.4224E-3</c:v>
                </c:pt>
                <c:pt idx="17">
                  <c:v>7.5060000000000005E-3</c:v>
                </c:pt>
                <c:pt idx="18">
                  <c:v>7.5880000000000001E-3</c:v>
                </c:pt>
                <c:pt idx="19">
                  <c:v>7.6455999999999998E-3</c:v>
                </c:pt>
                <c:pt idx="20">
                  <c:v>7.7276000000000003E-3</c:v>
                </c:pt>
                <c:pt idx="21">
                  <c:v>7.8112000000000008E-3</c:v>
                </c:pt>
                <c:pt idx="22">
                  <c:v>7.8931999999999995E-3</c:v>
                </c:pt>
                <c:pt idx="23">
                  <c:v>7.9769999999999997E-3</c:v>
                </c:pt>
                <c:pt idx="24">
                  <c:v>8.0625999999999996E-3</c:v>
                </c:pt>
                <c:pt idx="25">
                  <c:v>8.1444000000000013E-3</c:v>
                </c:pt>
                <c:pt idx="26">
                  <c:v>8.2281999999999998E-3</c:v>
                </c:pt>
                <c:pt idx="27">
                  <c:v>8.3099999999999997E-3</c:v>
                </c:pt>
                <c:pt idx="28">
                  <c:v>8.3937999999999999E-3</c:v>
                </c:pt>
                <c:pt idx="29">
                  <c:v>8.4776000000000001E-3</c:v>
                </c:pt>
                <c:pt idx="30">
                  <c:v>8.5614000000000003E-3</c:v>
                </c:pt>
                <c:pt idx="31">
                  <c:v>8.6449999999999999E-3</c:v>
                </c:pt>
                <c:pt idx="32">
                  <c:v>8.7288000000000001E-3</c:v>
                </c:pt>
                <c:pt idx="33">
                  <c:v>8.8088000000000003E-3</c:v>
                </c:pt>
                <c:pt idx="34">
                  <c:v>8.8944000000000002E-3</c:v>
                </c:pt>
                <c:pt idx="35">
                  <c:v>8.9781999999999987E-3</c:v>
                </c:pt>
                <c:pt idx="36">
                  <c:v>9.0620000000000006E-3</c:v>
                </c:pt>
                <c:pt idx="37">
                  <c:v>9.1438000000000005E-3</c:v>
                </c:pt>
                <c:pt idx="38">
                  <c:v>9.2276000000000007E-3</c:v>
                </c:pt>
                <c:pt idx="39">
                  <c:v>9.3113999999999992E-3</c:v>
                </c:pt>
                <c:pt idx="40">
                  <c:v>9.3951999999999994E-3</c:v>
                </c:pt>
                <c:pt idx="41">
                  <c:v>9.478799999999999E-3</c:v>
                </c:pt>
                <c:pt idx="42">
                  <c:v>9.5608000000000012E-3</c:v>
                </c:pt>
                <c:pt idx="43">
                  <c:v>9.6445999999999997E-3</c:v>
                </c:pt>
                <c:pt idx="44">
                  <c:v>9.7263999999999996E-3</c:v>
                </c:pt>
                <c:pt idx="45">
                  <c:v>9.8119999999999995E-3</c:v>
                </c:pt>
                <c:pt idx="46">
                  <c:v>9.894E-3</c:v>
                </c:pt>
                <c:pt idx="47">
                  <c:v>9.9775999999999997E-3</c:v>
                </c:pt>
                <c:pt idx="48">
                  <c:v>1.00596E-2</c:v>
                </c:pt>
                <c:pt idx="49">
                  <c:v>1.01434E-2</c:v>
                </c:pt>
                <c:pt idx="50">
                  <c:v>1.0227E-2</c:v>
                </c:pt>
                <c:pt idx="51">
                  <c:v>1.03108E-2</c:v>
                </c:pt>
                <c:pt idx="52">
                  <c:v>1.03946E-2</c:v>
                </c:pt>
                <c:pt idx="53">
                  <c:v>1.0476399999999999E-2</c:v>
                </c:pt>
                <c:pt idx="54">
                  <c:v>1.0560199999999999E-2</c:v>
                </c:pt>
                <c:pt idx="55">
                  <c:v>1.0644000000000001E-2</c:v>
                </c:pt>
                <c:pt idx="56">
                  <c:v>1.0727800000000001E-2</c:v>
                </c:pt>
                <c:pt idx="57">
                  <c:v>1.0811400000000001E-2</c:v>
                </c:pt>
                <c:pt idx="58">
                  <c:v>1.0895200000000001E-2</c:v>
                </c:pt>
                <c:pt idx="59">
                  <c:v>1.1006999999999999E-2</c:v>
                </c:pt>
                <c:pt idx="60">
                  <c:v>1.11168E-2</c:v>
                </c:pt>
                <c:pt idx="61">
                  <c:v>1.1228400000000001E-2</c:v>
                </c:pt>
                <c:pt idx="62">
                  <c:v>1.1339999999999999E-2</c:v>
                </c:pt>
                <c:pt idx="63">
                  <c:v>1.1449800000000001E-2</c:v>
                </c:pt>
                <c:pt idx="64">
                  <c:v>1.15616E-2</c:v>
                </c:pt>
                <c:pt idx="65">
                  <c:v>1.16732E-2</c:v>
                </c:pt>
                <c:pt idx="66">
                  <c:v>1.1782999999999998E-2</c:v>
                </c:pt>
                <c:pt idx="67">
                  <c:v>1.18946E-2</c:v>
                </c:pt>
                <c:pt idx="68">
                  <c:v>1.2006399999999999E-2</c:v>
                </c:pt>
                <c:pt idx="69">
                  <c:v>1.2116199999999999E-2</c:v>
                </c:pt>
                <c:pt idx="70">
                  <c:v>1.2225999999999999E-2</c:v>
                </c:pt>
                <c:pt idx="71">
                  <c:v>1.2337599999999999E-2</c:v>
                </c:pt>
                <c:pt idx="72">
                  <c:v>1.2449200000000001E-2</c:v>
                </c:pt>
                <c:pt idx="73">
                  <c:v>1.2560999999999999E-2</c:v>
                </c:pt>
                <c:pt idx="74">
                  <c:v>1.2672600000000001E-2</c:v>
                </c:pt>
                <c:pt idx="75">
                  <c:v>1.27844E-2</c:v>
                </c:pt>
                <c:pt idx="76">
                  <c:v>1.2896000000000001E-2</c:v>
                </c:pt>
                <c:pt idx="77">
                  <c:v>1.3005800000000001E-2</c:v>
                </c:pt>
                <c:pt idx="78">
                  <c:v>1.31174E-2</c:v>
                </c:pt>
                <c:pt idx="79">
                  <c:v>1.3229200000000002E-2</c:v>
                </c:pt>
                <c:pt idx="80">
                  <c:v>1.3339E-2</c:v>
                </c:pt>
                <c:pt idx="81">
                  <c:v>1.34488E-2</c:v>
                </c:pt>
                <c:pt idx="82">
                  <c:v>1.3560399999999998E-2</c:v>
                </c:pt>
                <c:pt idx="83">
                  <c:v>1.3672E-2</c:v>
                </c:pt>
                <c:pt idx="84">
                  <c:v>1.37818E-2</c:v>
                </c:pt>
                <c:pt idx="85">
                  <c:v>1.3893599999999999E-2</c:v>
                </c:pt>
                <c:pt idx="86">
                  <c:v>1.4005200000000001E-2</c:v>
                </c:pt>
                <c:pt idx="87">
                  <c:v>1.4116800000000001E-2</c:v>
                </c:pt>
                <c:pt idx="88">
                  <c:v>1.4228600000000001E-2</c:v>
                </c:pt>
                <c:pt idx="89">
                  <c:v>1.4340200000000001E-2</c:v>
                </c:pt>
                <c:pt idx="90">
                  <c:v>1.4478E-2</c:v>
                </c:pt>
                <c:pt idx="91">
                  <c:v>1.4589600000000001E-2</c:v>
                </c:pt>
                <c:pt idx="92">
                  <c:v>1.47274E-2</c:v>
                </c:pt>
                <c:pt idx="93">
                  <c:v>1.4866999999999998E-2</c:v>
                </c:pt>
                <c:pt idx="94">
                  <c:v>1.50046E-2</c:v>
                </c:pt>
                <c:pt idx="95">
                  <c:v>1.5144200000000002E-2</c:v>
                </c:pt>
                <c:pt idx="96">
                  <c:v>1.52838E-2</c:v>
                </c:pt>
                <c:pt idx="97">
                  <c:v>1.5421600000000001E-2</c:v>
                </c:pt>
                <c:pt idx="98">
                  <c:v>1.5561199999999999E-2</c:v>
                </c:pt>
                <c:pt idx="99">
                  <c:v>1.5700800000000001E-2</c:v>
                </c:pt>
                <c:pt idx="100">
                  <c:v>1.5838399999999999E-2</c:v>
                </c:pt>
                <c:pt idx="101">
                  <c:v>1.5978000000000003E-2</c:v>
                </c:pt>
                <c:pt idx="102">
                  <c:v>1.6117599999999999E-2</c:v>
                </c:pt>
                <c:pt idx="103">
                  <c:v>1.62536E-2</c:v>
                </c:pt>
                <c:pt idx="104">
                  <c:v>1.6395E-2</c:v>
                </c:pt>
                <c:pt idx="105">
                  <c:v>1.65346E-2</c:v>
                </c:pt>
                <c:pt idx="106">
                  <c:v>1.6672199999999998E-2</c:v>
                </c:pt>
                <c:pt idx="107">
                  <c:v>1.6811799999999998E-2</c:v>
                </c:pt>
                <c:pt idx="108">
                  <c:v>1.6949599999999999E-2</c:v>
                </c:pt>
                <c:pt idx="109">
                  <c:v>1.7089199999999999E-2</c:v>
                </c:pt>
                <c:pt idx="110">
                  <c:v>1.7228799999999999E-2</c:v>
                </c:pt>
                <c:pt idx="111">
                  <c:v>1.7366400000000001E-2</c:v>
                </c:pt>
                <c:pt idx="112">
                  <c:v>1.7504200000000001E-2</c:v>
                </c:pt>
                <c:pt idx="113">
                  <c:v>1.7643800000000001E-2</c:v>
                </c:pt>
                <c:pt idx="114">
                  <c:v>1.7783400000000001E-2</c:v>
                </c:pt>
                <c:pt idx="115">
                  <c:v>1.7921199999999998E-2</c:v>
                </c:pt>
                <c:pt idx="116">
                  <c:v>1.8062599999999998E-2</c:v>
                </c:pt>
                <c:pt idx="117">
                  <c:v>1.82282E-2</c:v>
                </c:pt>
                <c:pt idx="118">
                  <c:v>1.83958E-2</c:v>
                </c:pt>
                <c:pt idx="119">
                  <c:v>1.8561399999999999E-2</c:v>
                </c:pt>
                <c:pt idx="120">
                  <c:v>1.8727000000000001E-2</c:v>
                </c:pt>
                <c:pt idx="121">
                  <c:v>1.8894399999999999E-2</c:v>
                </c:pt>
                <c:pt idx="122">
                  <c:v>1.9060199999999999E-2</c:v>
                </c:pt>
                <c:pt idx="123">
                  <c:v>1.9227600000000001E-2</c:v>
                </c:pt>
                <c:pt idx="124">
                  <c:v>1.9395199999999998E-2</c:v>
                </c:pt>
                <c:pt idx="125">
                  <c:v>1.95608E-2</c:v>
                </c:pt>
                <c:pt idx="126">
                  <c:v>1.9728200000000001E-2</c:v>
                </c:pt>
                <c:pt idx="127">
                  <c:v>1.9894000000000002E-2</c:v>
                </c:pt>
                <c:pt idx="128">
                  <c:v>2.0062000000000003E-2</c:v>
                </c:pt>
                <c:pt idx="129">
                  <c:v>2.0228000000000003E-2</c:v>
                </c:pt>
                <c:pt idx="130">
                  <c:v>2.0394000000000002E-2</c:v>
                </c:pt>
                <c:pt idx="131">
                  <c:v>2.0562E-2</c:v>
                </c:pt>
                <c:pt idx="132">
                  <c:v>2.0728E-2</c:v>
                </c:pt>
                <c:pt idx="133">
                  <c:v>2.0893999999999999E-2</c:v>
                </c:pt>
                <c:pt idx="134">
                  <c:v>2.1059999999999999E-2</c:v>
                </c:pt>
                <c:pt idx="135">
                  <c:v>2.1225999999999998E-2</c:v>
                </c:pt>
                <c:pt idx="136">
                  <c:v>2.1394000000000003E-2</c:v>
                </c:pt>
                <c:pt idx="137">
                  <c:v>2.1562000000000001E-2</c:v>
                </c:pt>
                <c:pt idx="138">
                  <c:v>2.1756000000000001E-2</c:v>
                </c:pt>
                <c:pt idx="139">
                  <c:v>2.1949999999999997E-2</c:v>
                </c:pt>
                <c:pt idx="140">
                  <c:v>2.2144E-2</c:v>
                </c:pt>
                <c:pt idx="141">
                  <c:v>2.2339999999999999E-2</c:v>
                </c:pt>
                <c:pt idx="142">
                  <c:v>2.2534000000000002E-2</c:v>
                </c:pt>
                <c:pt idx="143">
                  <c:v>2.2728000000000002E-2</c:v>
                </c:pt>
                <c:pt idx="144">
                  <c:v>2.2921999999999998E-2</c:v>
                </c:pt>
                <c:pt idx="145">
                  <c:v>2.3118E-2</c:v>
                </c:pt>
                <c:pt idx="146">
                  <c:v>2.3311999999999999E-2</c:v>
                </c:pt>
                <c:pt idx="147">
                  <c:v>2.3504000000000001E-2</c:v>
                </c:pt>
                <c:pt idx="148">
                  <c:v>2.3698E-2</c:v>
                </c:pt>
                <c:pt idx="149">
                  <c:v>2.3894000000000002E-2</c:v>
                </c:pt>
                <c:pt idx="150">
                  <c:v>2.4087999999999998E-2</c:v>
                </c:pt>
                <c:pt idx="151">
                  <c:v>2.4284E-2</c:v>
                </c:pt>
                <c:pt idx="152">
                  <c:v>2.4478E-2</c:v>
                </c:pt>
                <c:pt idx="153">
                  <c:v>2.4671999999999999E-2</c:v>
                </c:pt>
                <c:pt idx="154">
                  <c:v>2.4866000000000003E-2</c:v>
                </c:pt>
                <c:pt idx="155">
                  <c:v>2.5006E-2</c:v>
                </c:pt>
                <c:pt idx="156">
                  <c:v>2.52E-2</c:v>
                </c:pt>
                <c:pt idx="157">
                  <c:v>2.5424000000000002E-2</c:v>
                </c:pt>
                <c:pt idx="158">
                  <c:v>2.5644E-2</c:v>
                </c:pt>
                <c:pt idx="159">
                  <c:v>2.5865999999999997E-2</c:v>
                </c:pt>
                <c:pt idx="160">
                  <c:v>2.6088E-2</c:v>
                </c:pt>
                <c:pt idx="161">
                  <c:v>2.6312000000000002E-2</c:v>
                </c:pt>
                <c:pt idx="162">
                  <c:v>2.6532E-2</c:v>
                </c:pt>
                <c:pt idx="163">
                  <c:v>2.6756000000000002E-2</c:v>
                </c:pt>
                <c:pt idx="164">
                  <c:v>2.6977999999999999E-2</c:v>
                </c:pt>
                <c:pt idx="165">
                  <c:v>2.7200000000000002E-2</c:v>
                </c:pt>
                <c:pt idx="166">
                  <c:v>2.742E-2</c:v>
                </c:pt>
                <c:pt idx="167">
                  <c:v>2.7646E-2</c:v>
                </c:pt>
                <c:pt idx="168">
                  <c:v>2.7868E-2</c:v>
                </c:pt>
                <c:pt idx="169">
                  <c:v>2.8088000000000002E-2</c:v>
                </c:pt>
                <c:pt idx="170">
                  <c:v>2.8312E-2</c:v>
                </c:pt>
                <c:pt idx="171">
                  <c:v>2.8534E-2</c:v>
                </c:pt>
                <c:pt idx="172">
                  <c:v>2.8753999999999998E-2</c:v>
                </c:pt>
                <c:pt idx="173">
                  <c:v>2.9005999999999997E-2</c:v>
                </c:pt>
                <c:pt idx="174">
                  <c:v>2.9256000000000001E-2</c:v>
                </c:pt>
                <c:pt idx="175">
                  <c:v>2.9506000000000001E-2</c:v>
                </c:pt>
                <c:pt idx="176">
                  <c:v>2.9756000000000001E-2</c:v>
                </c:pt>
                <c:pt idx="177">
                  <c:v>3.0005999999999998E-2</c:v>
                </c:pt>
                <c:pt idx="178">
                  <c:v>3.0255999999999998E-2</c:v>
                </c:pt>
                <c:pt idx="179">
                  <c:v>3.0506000000000002E-2</c:v>
                </c:pt>
                <c:pt idx="180">
                  <c:v>3.0756000000000002E-2</c:v>
                </c:pt>
                <c:pt idx="181">
                  <c:v>3.1005999999999999E-2</c:v>
                </c:pt>
                <c:pt idx="182">
                  <c:v>3.1253999999999997E-2</c:v>
                </c:pt>
                <c:pt idx="183">
                  <c:v>3.1505999999999999E-2</c:v>
                </c:pt>
                <c:pt idx="184">
                  <c:v>3.1756E-2</c:v>
                </c:pt>
                <c:pt idx="185">
                  <c:v>3.2006E-2</c:v>
                </c:pt>
                <c:pt idx="186">
                  <c:v>3.2256E-2</c:v>
                </c:pt>
                <c:pt idx="187">
                  <c:v>3.2534E-2</c:v>
                </c:pt>
                <c:pt idx="188">
                  <c:v>3.2809999999999999E-2</c:v>
                </c:pt>
                <c:pt idx="189">
                  <c:v>3.3090000000000001E-2</c:v>
                </c:pt>
                <c:pt idx="190">
                  <c:v>3.3366E-2</c:v>
                </c:pt>
                <c:pt idx="191">
                  <c:v>3.3644E-2</c:v>
                </c:pt>
                <c:pt idx="192">
                  <c:v>3.3922000000000001E-2</c:v>
                </c:pt>
                <c:pt idx="193">
                  <c:v>3.4200000000000001E-2</c:v>
                </c:pt>
                <c:pt idx="194">
                  <c:v>3.4478000000000002E-2</c:v>
                </c:pt>
                <c:pt idx="195">
                  <c:v>3.4644000000000001E-2</c:v>
                </c:pt>
                <c:pt idx="196">
                  <c:v>3.4894000000000001E-2</c:v>
                </c:pt>
                <c:pt idx="197">
                  <c:v>3.517E-2</c:v>
                </c:pt>
                <c:pt idx="198">
                  <c:v>3.5450000000000002E-2</c:v>
                </c:pt>
                <c:pt idx="199">
                  <c:v>3.5728000000000003E-2</c:v>
                </c:pt>
                <c:pt idx="200">
                  <c:v>3.6006000000000003E-2</c:v>
                </c:pt>
                <c:pt idx="201">
                  <c:v>3.6312000000000004E-2</c:v>
                </c:pt>
                <c:pt idx="202">
                  <c:v>3.6616000000000003E-2</c:v>
                </c:pt>
                <c:pt idx="203">
                  <c:v>3.6922000000000003E-2</c:v>
                </c:pt>
                <c:pt idx="204">
                  <c:v>3.7226000000000002E-2</c:v>
                </c:pt>
                <c:pt idx="205">
                  <c:v>3.7533999999999998E-2</c:v>
                </c:pt>
                <c:pt idx="206">
                  <c:v>3.7839999999999999E-2</c:v>
                </c:pt>
                <c:pt idx="207">
                  <c:v>3.8143999999999997E-2</c:v>
                </c:pt>
                <c:pt idx="208">
                  <c:v>3.8450000000000005E-2</c:v>
                </c:pt>
                <c:pt idx="209">
                  <c:v>3.8755999999999999E-2</c:v>
                </c:pt>
                <c:pt idx="210">
                  <c:v>3.8977999999999999E-2</c:v>
                </c:pt>
                <c:pt idx="211">
                  <c:v>3.9283999999999999E-2</c:v>
                </c:pt>
                <c:pt idx="212">
                  <c:v>3.9587999999999998E-2</c:v>
                </c:pt>
                <c:pt idx="213">
                  <c:v>3.9809999999999998E-2</c:v>
                </c:pt>
                <c:pt idx="214">
                  <c:v>4.0115999999999999E-2</c:v>
                </c:pt>
                <c:pt idx="215">
                  <c:v>4.0422E-2</c:v>
                </c:pt>
                <c:pt idx="216">
                  <c:v>4.0646000000000002E-2</c:v>
                </c:pt>
                <c:pt idx="217">
                  <c:v>4.0866E-2</c:v>
                </c:pt>
                <c:pt idx="218">
                  <c:v>4.1031999999999999E-2</c:v>
                </c:pt>
                <c:pt idx="219">
                  <c:v>4.1200000000000001E-2</c:v>
                </c:pt>
                <c:pt idx="220">
                  <c:v>4.1365999999999993E-2</c:v>
                </c:pt>
                <c:pt idx="221">
                  <c:v>4.1534000000000001E-2</c:v>
                </c:pt>
                <c:pt idx="222">
                  <c:v>4.1672000000000001E-2</c:v>
                </c:pt>
                <c:pt idx="223">
                  <c:v>4.1838E-2</c:v>
                </c:pt>
                <c:pt idx="224">
                  <c:v>4.2004E-2</c:v>
                </c:pt>
                <c:pt idx="225">
                  <c:v>4.2144000000000001E-2</c:v>
                </c:pt>
                <c:pt idx="226">
                  <c:v>4.231E-2</c:v>
                </c:pt>
                <c:pt idx="227">
                  <c:v>4.2450000000000002E-2</c:v>
                </c:pt>
                <c:pt idx="228">
                  <c:v>4.2588000000000001E-2</c:v>
                </c:pt>
                <c:pt idx="229">
                  <c:v>4.2754E-2</c:v>
                </c:pt>
                <c:pt idx="230">
                  <c:v>4.2893999999999995E-2</c:v>
                </c:pt>
                <c:pt idx="231">
                  <c:v>4.3033999999999996E-2</c:v>
                </c:pt>
                <c:pt idx="232">
                  <c:v>4.3174000000000004E-2</c:v>
                </c:pt>
                <c:pt idx="233">
                  <c:v>4.3311999999999996E-2</c:v>
                </c:pt>
                <c:pt idx="234">
                  <c:v>4.3449999999999996E-2</c:v>
                </c:pt>
                <c:pt idx="235">
                  <c:v>4.3589999999999997E-2</c:v>
                </c:pt>
                <c:pt idx="236">
                  <c:v>4.3727999999999996E-2</c:v>
                </c:pt>
                <c:pt idx="237">
                  <c:v>4.3895999999999998E-2</c:v>
                </c:pt>
                <c:pt idx="238">
                  <c:v>4.4062000000000004E-2</c:v>
                </c:pt>
                <c:pt idx="239">
                  <c:v>4.4198000000000001E-2</c:v>
                </c:pt>
                <c:pt idx="240">
                  <c:v>4.4366000000000003E-2</c:v>
                </c:pt>
                <c:pt idx="241">
                  <c:v>4.4534000000000004E-2</c:v>
                </c:pt>
                <c:pt idx="242">
                  <c:v>4.4699999999999997E-2</c:v>
                </c:pt>
                <c:pt idx="243">
                  <c:v>4.4839999999999998E-2</c:v>
                </c:pt>
                <c:pt idx="244">
                  <c:v>4.4950000000000004E-2</c:v>
                </c:pt>
                <c:pt idx="245">
                  <c:v>4.5087999999999996E-2</c:v>
                </c:pt>
                <c:pt idx="246">
                  <c:v>4.5199999999999997E-2</c:v>
                </c:pt>
                <c:pt idx="247">
                  <c:v>4.5339999999999998E-2</c:v>
                </c:pt>
                <c:pt idx="248">
                  <c:v>4.5449999999999997E-2</c:v>
                </c:pt>
                <c:pt idx="249">
                  <c:v>4.5589999999999999E-2</c:v>
                </c:pt>
                <c:pt idx="250">
                  <c:v>4.5700000000000005E-2</c:v>
                </c:pt>
                <c:pt idx="251">
                  <c:v>4.5810000000000003E-2</c:v>
                </c:pt>
                <c:pt idx="252">
                  <c:v>4.5949999999999998E-2</c:v>
                </c:pt>
                <c:pt idx="253">
                  <c:v>4.6059999999999997E-2</c:v>
                </c:pt>
                <c:pt idx="254">
                  <c:v>4.6199999999999998E-2</c:v>
                </c:pt>
                <c:pt idx="255">
                  <c:v>4.6311999999999999E-2</c:v>
                </c:pt>
                <c:pt idx="256">
                  <c:v>4.6421999999999998E-2</c:v>
                </c:pt>
                <c:pt idx="257">
                  <c:v>4.6559999999999997E-2</c:v>
                </c:pt>
                <c:pt idx="258">
                  <c:v>4.6669999999999996E-2</c:v>
                </c:pt>
                <c:pt idx="259">
                  <c:v>4.6783999999999999E-2</c:v>
                </c:pt>
                <c:pt idx="260">
                  <c:v>4.6896000000000007E-2</c:v>
                </c:pt>
                <c:pt idx="261">
                  <c:v>4.7033999999999999E-2</c:v>
                </c:pt>
                <c:pt idx="262">
                  <c:v>4.7146E-2</c:v>
                </c:pt>
                <c:pt idx="263">
                  <c:v>4.7253999999999997E-2</c:v>
                </c:pt>
                <c:pt idx="264">
                  <c:v>4.7337999999999998E-2</c:v>
                </c:pt>
                <c:pt idx="265">
                  <c:v>4.7449999999999999E-2</c:v>
                </c:pt>
                <c:pt idx="266">
                  <c:v>4.7560000000000005E-2</c:v>
                </c:pt>
                <c:pt idx="267">
                  <c:v>4.7671999999999999E-2</c:v>
                </c:pt>
                <c:pt idx="268">
                  <c:v>4.7784000000000007E-2</c:v>
                </c:pt>
                <c:pt idx="269">
                  <c:v>4.7893999999999999E-2</c:v>
                </c:pt>
                <c:pt idx="270">
                  <c:v>4.8006E-2</c:v>
                </c:pt>
                <c:pt idx="271">
                  <c:v>4.8087999999999999E-2</c:v>
                </c:pt>
                <c:pt idx="272">
                  <c:v>4.8197999999999998E-2</c:v>
                </c:pt>
                <c:pt idx="273">
                  <c:v>4.8284000000000001E-2</c:v>
                </c:pt>
                <c:pt idx="274">
                  <c:v>4.8394000000000006E-2</c:v>
                </c:pt>
                <c:pt idx="275">
                  <c:v>4.8478E-2</c:v>
                </c:pt>
                <c:pt idx="276">
                  <c:v>4.8590000000000001E-2</c:v>
                </c:pt>
                <c:pt idx="277">
                  <c:v>4.8672000000000007E-2</c:v>
                </c:pt>
                <c:pt idx="278">
                  <c:v>4.8781999999999999E-2</c:v>
                </c:pt>
                <c:pt idx="279">
                  <c:v>4.8894E-2</c:v>
                </c:pt>
                <c:pt idx="280">
                  <c:v>4.8978000000000001E-2</c:v>
                </c:pt>
                <c:pt idx="281">
                  <c:v>4.9062000000000001E-2</c:v>
                </c:pt>
                <c:pt idx="282">
                  <c:v>4.9172E-2</c:v>
                </c:pt>
                <c:pt idx="283">
                  <c:v>4.9284000000000001E-2</c:v>
                </c:pt>
                <c:pt idx="284">
                  <c:v>4.9367999999999995E-2</c:v>
                </c:pt>
                <c:pt idx="285">
                  <c:v>4.9450000000000001E-2</c:v>
                </c:pt>
                <c:pt idx="286">
                  <c:v>4.9560000000000007E-2</c:v>
                </c:pt>
                <c:pt idx="287">
                  <c:v>4.9672000000000001E-2</c:v>
                </c:pt>
                <c:pt idx="288">
                  <c:v>4.9753999999999993E-2</c:v>
                </c:pt>
                <c:pt idx="289">
                  <c:v>4.9837999999999993E-2</c:v>
                </c:pt>
                <c:pt idx="290">
                  <c:v>4.9950000000000001E-2</c:v>
                </c:pt>
                <c:pt idx="291">
                  <c:v>5.006E-2</c:v>
                </c:pt>
                <c:pt idx="292">
                  <c:v>5.0172000000000001E-2</c:v>
                </c:pt>
                <c:pt idx="293">
                  <c:v>5.0282E-2</c:v>
                </c:pt>
                <c:pt idx="294">
                  <c:v>5.0364000000000006E-2</c:v>
                </c:pt>
                <c:pt idx="295">
                  <c:v>5.0450000000000002E-2</c:v>
                </c:pt>
                <c:pt idx="296">
                  <c:v>5.0533999999999996E-2</c:v>
                </c:pt>
                <c:pt idx="297">
                  <c:v>5.0617999999999996E-2</c:v>
                </c:pt>
                <c:pt idx="298">
                  <c:v>5.0728000000000002E-2</c:v>
                </c:pt>
                <c:pt idx="299">
                  <c:v>5.0811999999999996E-2</c:v>
                </c:pt>
                <c:pt idx="300">
                  <c:v>5.0894000000000002E-2</c:v>
                </c:pt>
                <c:pt idx="301">
                  <c:v>5.0978000000000002E-2</c:v>
                </c:pt>
                <c:pt idx="302">
                  <c:v>5.1062000000000003E-2</c:v>
                </c:pt>
                <c:pt idx="303">
                  <c:v>5.1143999999999995E-2</c:v>
                </c:pt>
                <c:pt idx="304">
                  <c:v>5.1256000000000003E-2</c:v>
                </c:pt>
                <c:pt idx="305">
                  <c:v>5.1338000000000002E-2</c:v>
                </c:pt>
                <c:pt idx="306">
                  <c:v>5.1421999999999995E-2</c:v>
                </c:pt>
                <c:pt idx="307">
                  <c:v>5.1505999999999996E-2</c:v>
                </c:pt>
                <c:pt idx="308">
                  <c:v>5.1589999999999997E-2</c:v>
                </c:pt>
                <c:pt idx="309">
                  <c:v>5.1673999999999998E-2</c:v>
                </c:pt>
                <c:pt idx="310">
                  <c:v>5.1756000000000003E-2</c:v>
                </c:pt>
                <c:pt idx="311">
                  <c:v>5.1837999999999995E-2</c:v>
                </c:pt>
                <c:pt idx="312">
                  <c:v>5.1920000000000001E-2</c:v>
                </c:pt>
                <c:pt idx="313">
                  <c:v>5.2005999999999997E-2</c:v>
                </c:pt>
                <c:pt idx="314">
                  <c:v>5.2088000000000002E-2</c:v>
                </c:pt>
                <c:pt idx="315">
                  <c:v>5.2172000000000003E-2</c:v>
                </c:pt>
                <c:pt idx="316">
                  <c:v>5.2255999999999997E-2</c:v>
                </c:pt>
                <c:pt idx="317">
                  <c:v>5.2337999999999996E-2</c:v>
                </c:pt>
                <c:pt idx="318">
                  <c:v>5.2423999999999998E-2</c:v>
                </c:pt>
                <c:pt idx="319">
                  <c:v>5.2506000000000004E-2</c:v>
                </c:pt>
                <c:pt idx="320">
                  <c:v>5.2587999999999996E-2</c:v>
                </c:pt>
                <c:pt idx="321">
                  <c:v>5.2671999999999997E-2</c:v>
                </c:pt>
                <c:pt idx="322">
                  <c:v>5.2754000000000002E-2</c:v>
                </c:pt>
                <c:pt idx="323">
                  <c:v>5.2838000000000003E-2</c:v>
                </c:pt>
                <c:pt idx="324">
                  <c:v>5.2922000000000004E-2</c:v>
                </c:pt>
                <c:pt idx="325">
                  <c:v>5.3006000000000005E-2</c:v>
                </c:pt>
                <c:pt idx="326">
                  <c:v>5.3089999999999998E-2</c:v>
                </c:pt>
                <c:pt idx="327">
                  <c:v>5.3171999999999997E-2</c:v>
                </c:pt>
                <c:pt idx="328">
                  <c:v>5.3255999999999998E-2</c:v>
                </c:pt>
                <c:pt idx="329">
                  <c:v>5.3338000000000003E-2</c:v>
                </c:pt>
                <c:pt idx="330">
                  <c:v>5.3421999999999997E-2</c:v>
                </c:pt>
                <c:pt idx="331">
                  <c:v>5.3503999999999996E-2</c:v>
                </c:pt>
                <c:pt idx="332">
                  <c:v>5.3587999999999997E-2</c:v>
                </c:pt>
                <c:pt idx="333">
                  <c:v>5.3672000000000004E-2</c:v>
                </c:pt>
                <c:pt idx="334">
                  <c:v>5.3756000000000005E-2</c:v>
                </c:pt>
                <c:pt idx="335">
                  <c:v>5.3840000000000006E-2</c:v>
                </c:pt>
                <c:pt idx="336">
                  <c:v>5.3921999999999998E-2</c:v>
                </c:pt>
                <c:pt idx="337">
                  <c:v>5.4005999999999998E-2</c:v>
                </c:pt>
                <c:pt idx="338">
                  <c:v>5.4088000000000004E-2</c:v>
                </c:pt>
                <c:pt idx="339">
                  <c:v>5.4172000000000005E-2</c:v>
                </c:pt>
                <c:pt idx="340">
                  <c:v>5.4255999999999999E-2</c:v>
                </c:pt>
                <c:pt idx="341">
                  <c:v>5.4337999999999997E-2</c:v>
                </c:pt>
                <c:pt idx="342">
                  <c:v>5.4420000000000003E-2</c:v>
                </c:pt>
                <c:pt idx="343">
                  <c:v>5.4477999999999999E-2</c:v>
                </c:pt>
                <c:pt idx="344">
                  <c:v>5.4561999999999999E-2</c:v>
                </c:pt>
                <c:pt idx="345">
                  <c:v>5.4646E-2</c:v>
                </c:pt>
                <c:pt idx="346">
                  <c:v>5.4728000000000006E-2</c:v>
                </c:pt>
                <c:pt idx="347">
                  <c:v>5.4812E-2</c:v>
                </c:pt>
                <c:pt idx="348">
                  <c:v>5.4865999999999998E-2</c:v>
                </c:pt>
                <c:pt idx="349">
                  <c:v>5.4949999999999999E-2</c:v>
                </c:pt>
                <c:pt idx="350">
                  <c:v>5.5031999999999998E-2</c:v>
                </c:pt>
                <c:pt idx="351">
                  <c:v>5.5115999999999998E-2</c:v>
                </c:pt>
                <c:pt idx="352">
                  <c:v>5.5199999999999999E-2</c:v>
                </c:pt>
                <c:pt idx="353">
                  <c:v>5.5284000000000007E-2</c:v>
                </c:pt>
                <c:pt idx="354">
                  <c:v>5.5365999999999999E-2</c:v>
                </c:pt>
                <c:pt idx="355">
                  <c:v>5.5424000000000001E-2</c:v>
                </c:pt>
                <c:pt idx="356">
                  <c:v>5.5507999999999995E-2</c:v>
                </c:pt>
                <c:pt idx="357">
                  <c:v>5.5590000000000001E-2</c:v>
                </c:pt>
                <c:pt idx="358">
                  <c:v>5.5671999999999999E-2</c:v>
                </c:pt>
                <c:pt idx="359">
                  <c:v>5.5753999999999998E-2</c:v>
                </c:pt>
                <c:pt idx="360">
                  <c:v>5.5837999999999999E-2</c:v>
                </c:pt>
                <c:pt idx="361">
                  <c:v>5.5921999999999999E-2</c:v>
                </c:pt>
                <c:pt idx="362">
                  <c:v>5.6006E-2</c:v>
                </c:pt>
                <c:pt idx="363">
                  <c:v>5.6090000000000001E-2</c:v>
                </c:pt>
                <c:pt idx="364">
                  <c:v>5.62E-2</c:v>
                </c:pt>
                <c:pt idx="365">
                  <c:v>5.6312000000000001E-2</c:v>
                </c:pt>
                <c:pt idx="366">
                  <c:v>5.6422E-2</c:v>
                </c:pt>
                <c:pt idx="367">
                  <c:v>5.6534000000000001E-2</c:v>
                </c:pt>
                <c:pt idx="368">
                  <c:v>5.6644E-2</c:v>
                </c:pt>
                <c:pt idx="369">
                  <c:v>5.6756000000000001E-2</c:v>
                </c:pt>
                <c:pt idx="370">
                  <c:v>5.6866E-2</c:v>
                </c:pt>
                <c:pt idx="371">
                  <c:v>5.6978000000000001E-2</c:v>
                </c:pt>
                <c:pt idx="372">
                  <c:v>5.7089999999999995E-2</c:v>
                </c:pt>
                <c:pt idx="373">
                  <c:v>5.7172000000000001E-2</c:v>
                </c:pt>
                <c:pt idx="374">
                  <c:v>5.7282E-2</c:v>
                </c:pt>
                <c:pt idx="375">
                  <c:v>5.7394000000000001E-2</c:v>
                </c:pt>
                <c:pt idx="376">
                  <c:v>5.7504E-2</c:v>
                </c:pt>
                <c:pt idx="377">
                  <c:v>5.7615999999999994E-2</c:v>
                </c:pt>
                <c:pt idx="378">
                  <c:v>5.7728000000000002E-2</c:v>
                </c:pt>
                <c:pt idx="379">
                  <c:v>5.7838000000000001E-2</c:v>
                </c:pt>
                <c:pt idx="380">
                  <c:v>5.7950000000000002E-2</c:v>
                </c:pt>
                <c:pt idx="381">
                  <c:v>5.806E-2</c:v>
                </c:pt>
                <c:pt idx="382">
                  <c:v>5.8141999999999999E-2</c:v>
                </c:pt>
                <c:pt idx="383">
                  <c:v>5.8255999999999995E-2</c:v>
                </c:pt>
                <c:pt idx="384">
                  <c:v>5.8338000000000001E-2</c:v>
                </c:pt>
                <c:pt idx="385">
                  <c:v>5.8449999999999995E-2</c:v>
                </c:pt>
                <c:pt idx="386">
                  <c:v>5.8533999999999996E-2</c:v>
                </c:pt>
                <c:pt idx="387">
                  <c:v>5.8644000000000002E-2</c:v>
                </c:pt>
                <c:pt idx="388">
                  <c:v>5.8727999999999995E-2</c:v>
                </c:pt>
                <c:pt idx="389">
                  <c:v>5.8838000000000001E-2</c:v>
                </c:pt>
                <c:pt idx="390">
                  <c:v>5.8922000000000002E-2</c:v>
                </c:pt>
                <c:pt idx="391">
                  <c:v>5.9005999999999996E-2</c:v>
                </c:pt>
                <c:pt idx="392">
                  <c:v>5.9118000000000004E-2</c:v>
                </c:pt>
                <c:pt idx="393">
                  <c:v>5.9202000000000005E-2</c:v>
                </c:pt>
                <c:pt idx="394">
                  <c:v>5.9311999999999997E-2</c:v>
                </c:pt>
                <c:pt idx="395">
                  <c:v>5.9396000000000004E-2</c:v>
                </c:pt>
                <c:pt idx="396">
                  <c:v>5.9505999999999996E-2</c:v>
                </c:pt>
                <c:pt idx="397">
                  <c:v>5.9588000000000002E-2</c:v>
                </c:pt>
                <c:pt idx="398">
                  <c:v>5.9698000000000001E-2</c:v>
                </c:pt>
                <c:pt idx="399">
                  <c:v>5.9782000000000002E-2</c:v>
                </c:pt>
                <c:pt idx="400">
                  <c:v>5.9866000000000003E-2</c:v>
                </c:pt>
                <c:pt idx="401">
                  <c:v>5.9950000000000003E-2</c:v>
                </c:pt>
                <c:pt idx="402">
                  <c:v>6.0034000000000004E-2</c:v>
                </c:pt>
                <c:pt idx="403">
                  <c:v>6.0145999999999998E-2</c:v>
                </c:pt>
                <c:pt idx="404">
                  <c:v>6.0255999999999997E-2</c:v>
                </c:pt>
                <c:pt idx="405">
                  <c:v>6.0366000000000003E-2</c:v>
                </c:pt>
                <c:pt idx="406">
                  <c:v>6.0477999999999997E-2</c:v>
                </c:pt>
                <c:pt idx="407">
                  <c:v>6.0587999999999996E-2</c:v>
                </c:pt>
                <c:pt idx="408">
                  <c:v>6.0700000000000004E-2</c:v>
                </c:pt>
                <c:pt idx="409">
                  <c:v>6.0811999999999998E-2</c:v>
                </c:pt>
                <c:pt idx="410">
                  <c:v>6.0922000000000004E-2</c:v>
                </c:pt>
                <c:pt idx="411">
                  <c:v>6.1033999999999998E-2</c:v>
                </c:pt>
                <c:pt idx="412">
                  <c:v>6.1143999999999997E-2</c:v>
                </c:pt>
                <c:pt idx="413">
                  <c:v>6.1256000000000005E-2</c:v>
                </c:pt>
                <c:pt idx="414">
                  <c:v>6.1365999999999997E-2</c:v>
                </c:pt>
                <c:pt idx="415">
                  <c:v>6.1478000000000005E-2</c:v>
                </c:pt>
                <c:pt idx="416">
                  <c:v>6.1589999999999999E-2</c:v>
                </c:pt>
                <c:pt idx="417">
                  <c:v>6.1702000000000007E-2</c:v>
                </c:pt>
                <c:pt idx="418">
                  <c:v>6.1810000000000004E-2</c:v>
                </c:pt>
                <c:pt idx="419">
                  <c:v>6.1921999999999998E-2</c:v>
                </c:pt>
                <c:pt idx="420">
                  <c:v>6.2034000000000006E-2</c:v>
                </c:pt>
                <c:pt idx="421">
                  <c:v>6.2144000000000005E-2</c:v>
                </c:pt>
                <c:pt idx="422">
                  <c:v>6.2255999999999999E-2</c:v>
                </c:pt>
                <c:pt idx="423">
                  <c:v>6.2366000000000005E-2</c:v>
                </c:pt>
                <c:pt idx="424">
                  <c:v>6.2476000000000004E-2</c:v>
                </c:pt>
                <c:pt idx="425">
                  <c:v>6.2588000000000005E-2</c:v>
                </c:pt>
                <c:pt idx="426">
                  <c:v>6.2699999999999992E-2</c:v>
                </c:pt>
                <c:pt idx="427">
                  <c:v>6.2809999999999991E-2</c:v>
                </c:pt>
                <c:pt idx="428">
                  <c:v>6.2923999999999994E-2</c:v>
                </c:pt>
                <c:pt idx="429">
                  <c:v>6.3033999999999993E-2</c:v>
                </c:pt>
                <c:pt idx="430">
                  <c:v>6.3146000000000008E-2</c:v>
                </c:pt>
                <c:pt idx="431">
                  <c:v>6.3255999999999993E-2</c:v>
                </c:pt>
                <c:pt idx="432">
                  <c:v>6.3365999999999992E-2</c:v>
                </c:pt>
                <c:pt idx="433">
                  <c:v>6.3503999999999991E-2</c:v>
                </c:pt>
                <c:pt idx="434">
                  <c:v>6.3643999999999992E-2</c:v>
                </c:pt>
                <c:pt idx="435">
                  <c:v>6.3756000000000007E-2</c:v>
                </c:pt>
                <c:pt idx="436">
                  <c:v>6.3867999999999994E-2</c:v>
                </c:pt>
                <c:pt idx="437">
                  <c:v>6.3979999999999995E-2</c:v>
                </c:pt>
                <c:pt idx="438">
                  <c:v>6.4089999999999994E-2</c:v>
                </c:pt>
                <c:pt idx="439">
                  <c:v>6.4199999999999993E-2</c:v>
                </c:pt>
                <c:pt idx="440">
                  <c:v>6.4310000000000006E-2</c:v>
                </c:pt>
                <c:pt idx="441">
                  <c:v>6.4421999999999993E-2</c:v>
                </c:pt>
                <c:pt idx="442">
                  <c:v>6.4534000000000008E-2</c:v>
                </c:pt>
                <c:pt idx="443">
                  <c:v>6.4644000000000007E-2</c:v>
                </c:pt>
                <c:pt idx="444">
                  <c:v>6.4755999999999994E-2</c:v>
                </c:pt>
                <c:pt idx="445">
                  <c:v>6.4867999999999995E-2</c:v>
                </c:pt>
                <c:pt idx="446">
                  <c:v>6.4977999999999994E-2</c:v>
                </c:pt>
                <c:pt idx="447">
                  <c:v>6.5087999999999993E-2</c:v>
                </c:pt>
                <c:pt idx="448">
                  <c:v>6.5199999999999994E-2</c:v>
                </c:pt>
                <c:pt idx="449">
                  <c:v>6.5311999999999995E-2</c:v>
                </c:pt>
                <c:pt idx="450">
                  <c:v>6.5422000000000008E-2</c:v>
                </c:pt>
                <c:pt idx="451">
                  <c:v>6.5533999999999995E-2</c:v>
                </c:pt>
                <c:pt idx="452">
                  <c:v>6.5643999999999994E-2</c:v>
                </c:pt>
                <c:pt idx="453">
                  <c:v>6.5755999999999995E-2</c:v>
                </c:pt>
                <c:pt idx="454">
                  <c:v>6.5865999999999994E-2</c:v>
                </c:pt>
                <c:pt idx="455">
                  <c:v>6.5978000000000009E-2</c:v>
                </c:pt>
                <c:pt idx="456">
                  <c:v>6.6087999999999994E-2</c:v>
                </c:pt>
                <c:pt idx="457">
                  <c:v>6.6197999999999993E-2</c:v>
                </c:pt>
                <c:pt idx="458">
                  <c:v>6.634000000000001E-2</c:v>
                </c:pt>
                <c:pt idx="459">
                  <c:v>6.6475999999999993E-2</c:v>
                </c:pt>
                <c:pt idx="460">
                  <c:v>6.6615999999999995E-2</c:v>
                </c:pt>
                <c:pt idx="461">
                  <c:v>6.6755999999999996E-2</c:v>
                </c:pt>
                <c:pt idx="462">
                  <c:v>6.6896000000000011E-2</c:v>
                </c:pt>
                <c:pt idx="463">
                  <c:v>6.7033999999999996E-2</c:v>
                </c:pt>
                <c:pt idx="464">
                  <c:v>6.7171999999999996E-2</c:v>
                </c:pt>
                <c:pt idx="465">
                  <c:v>6.7309999999999995E-2</c:v>
                </c:pt>
                <c:pt idx="466">
                  <c:v>6.7447999999999994E-2</c:v>
                </c:pt>
                <c:pt idx="467">
                  <c:v>6.7587999999999995E-2</c:v>
                </c:pt>
                <c:pt idx="468">
                  <c:v>6.7727999999999997E-2</c:v>
                </c:pt>
                <c:pt idx="469">
                  <c:v>6.7865999999999996E-2</c:v>
                </c:pt>
                <c:pt idx="470">
                  <c:v>6.8003999999999995E-2</c:v>
                </c:pt>
                <c:pt idx="471">
                  <c:v>6.8143999999999996E-2</c:v>
                </c:pt>
                <c:pt idx="472">
                  <c:v>6.8281999999999995E-2</c:v>
                </c:pt>
                <c:pt idx="473">
                  <c:v>6.8421999999999997E-2</c:v>
                </c:pt>
                <c:pt idx="474">
                  <c:v>6.8561999999999998E-2</c:v>
                </c:pt>
                <c:pt idx="475">
                  <c:v>6.8701999999999999E-2</c:v>
                </c:pt>
                <c:pt idx="476">
                  <c:v>6.8837999999999996E-2</c:v>
                </c:pt>
                <c:pt idx="477">
                  <c:v>6.8975999999999996E-2</c:v>
                </c:pt>
                <c:pt idx="478">
                  <c:v>6.9143999999999997E-2</c:v>
                </c:pt>
                <c:pt idx="479">
                  <c:v>6.928200000000001E-2</c:v>
                </c:pt>
                <c:pt idx="480">
                  <c:v>6.9452E-2</c:v>
                </c:pt>
                <c:pt idx="481">
                  <c:v>6.9587999999999997E-2</c:v>
                </c:pt>
                <c:pt idx="482">
                  <c:v>6.9725999999999996E-2</c:v>
                </c:pt>
                <c:pt idx="483">
                  <c:v>6.9893999999999998E-2</c:v>
                </c:pt>
                <c:pt idx="484">
                  <c:v>7.0033999999999999E-2</c:v>
                </c:pt>
                <c:pt idx="485">
                  <c:v>7.0199999999999999E-2</c:v>
                </c:pt>
                <c:pt idx="486">
                  <c:v>7.0337999999999998E-2</c:v>
                </c:pt>
                <c:pt idx="487">
                  <c:v>7.0477999999999999E-2</c:v>
                </c:pt>
                <c:pt idx="488">
                  <c:v>7.0643999999999998E-2</c:v>
                </c:pt>
                <c:pt idx="489">
                  <c:v>7.0784E-2</c:v>
                </c:pt>
                <c:pt idx="490">
                  <c:v>7.0924000000000001E-2</c:v>
                </c:pt>
                <c:pt idx="491">
                  <c:v>7.1059999999999998E-2</c:v>
                </c:pt>
                <c:pt idx="492">
                  <c:v>7.1199999999999999E-2</c:v>
                </c:pt>
                <c:pt idx="493">
                  <c:v>7.1340000000000001E-2</c:v>
                </c:pt>
                <c:pt idx="494">
                  <c:v>7.1475999999999998E-2</c:v>
                </c:pt>
                <c:pt idx="495">
                  <c:v>7.1646000000000001E-2</c:v>
                </c:pt>
                <c:pt idx="496">
                  <c:v>7.1809999999999999E-2</c:v>
                </c:pt>
                <c:pt idx="497">
                  <c:v>7.1975999999999998E-2</c:v>
                </c:pt>
                <c:pt idx="498">
                  <c:v>7.2144E-2</c:v>
                </c:pt>
                <c:pt idx="499">
                  <c:v>7.2312000000000001E-2</c:v>
                </c:pt>
                <c:pt idx="500">
                  <c:v>7.2480000000000003E-2</c:v>
                </c:pt>
                <c:pt idx="501">
                  <c:v>7.2644E-2</c:v>
                </c:pt>
                <c:pt idx="502">
                  <c:v>7.2784000000000001E-2</c:v>
                </c:pt>
                <c:pt idx="503">
                  <c:v>7.2922000000000001E-2</c:v>
                </c:pt>
                <c:pt idx="504">
                  <c:v>7.3062000000000002E-2</c:v>
                </c:pt>
                <c:pt idx="505">
                  <c:v>7.3202000000000003E-2</c:v>
                </c:pt>
                <c:pt idx="506">
                  <c:v>7.3338E-2</c:v>
                </c:pt>
                <c:pt idx="507">
                  <c:v>7.3478000000000002E-2</c:v>
                </c:pt>
                <c:pt idx="508">
                  <c:v>7.3616000000000001E-2</c:v>
                </c:pt>
                <c:pt idx="509">
                  <c:v>7.3756000000000002E-2</c:v>
                </c:pt>
                <c:pt idx="510">
                  <c:v>7.3896000000000003E-2</c:v>
                </c:pt>
                <c:pt idx="511">
                  <c:v>7.4062000000000003E-2</c:v>
                </c:pt>
                <c:pt idx="512">
                  <c:v>7.4228000000000002E-2</c:v>
                </c:pt>
                <c:pt idx="513">
                  <c:v>7.4394000000000002E-2</c:v>
                </c:pt>
                <c:pt idx="514">
                  <c:v>7.4560000000000001E-2</c:v>
                </c:pt>
                <c:pt idx="515">
                  <c:v>7.4728000000000003E-2</c:v>
                </c:pt>
                <c:pt idx="516">
                  <c:v>7.4894000000000002E-2</c:v>
                </c:pt>
                <c:pt idx="517">
                  <c:v>7.5062000000000004E-2</c:v>
                </c:pt>
                <c:pt idx="518">
                  <c:v>7.5228000000000003E-2</c:v>
                </c:pt>
                <c:pt idx="519">
                  <c:v>7.5394000000000003E-2</c:v>
                </c:pt>
                <c:pt idx="520">
                  <c:v>7.556199999999999E-2</c:v>
                </c:pt>
                <c:pt idx="521">
                  <c:v>7.5726000000000002E-2</c:v>
                </c:pt>
                <c:pt idx="522">
                  <c:v>7.5894000000000003E-2</c:v>
                </c:pt>
                <c:pt idx="523">
                  <c:v>7.6062000000000005E-2</c:v>
                </c:pt>
                <c:pt idx="524">
                  <c:v>7.6228000000000004E-2</c:v>
                </c:pt>
                <c:pt idx="525">
                  <c:v>7.6395999999999992E-2</c:v>
                </c:pt>
                <c:pt idx="526">
                  <c:v>7.6560000000000003E-2</c:v>
                </c:pt>
                <c:pt idx="527">
                  <c:v>7.6726000000000003E-2</c:v>
                </c:pt>
                <c:pt idx="528">
                  <c:v>7.6894000000000004E-2</c:v>
                </c:pt>
                <c:pt idx="529">
                  <c:v>7.7060000000000003E-2</c:v>
                </c:pt>
                <c:pt idx="530">
                  <c:v>7.7226000000000003E-2</c:v>
                </c:pt>
                <c:pt idx="531">
                  <c:v>7.7394000000000004E-2</c:v>
                </c:pt>
                <c:pt idx="532">
                  <c:v>7.7560000000000004E-2</c:v>
                </c:pt>
                <c:pt idx="533">
                  <c:v>7.7728000000000005E-2</c:v>
                </c:pt>
                <c:pt idx="534">
                  <c:v>7.7896000000000007E-2</c:v>
                </c:pt>
                <c:pt idx="535">
                  <c:v>7.8061999999999993E-2</c:v>
                </c:pt>
                <c:pt idx="536">
                  <c:v>7.8228000000000006E-2</c:v>
                </c:pt>
                <c:pt idx="537">
                  <c:v>7.8422000000000006E-2</c:v>
                </c:pt>
                <c:pt idx="538">
                  <c:v>7.8616000000000005E-2</c:v>
                </c:pt>
                <c:pt idx="539">
                  <c:v>7.8810000000000005E-2</c:v>
                </c:pt>
                <c:pt idx="540">
                  <c:v>7.9005999999999993E-2</c:v>
                </c:pt>
                <c:pt idx="541">
                  <c:v>7.9199999999999993E-2</c:v>
                </c:pt>
                <c:pt idx="542">
                  <c:v>7.9396000000000008E-2</c:v>
                </c:pt>
                <c:pt idx="543">
                  <c:v>7.9588000000000006E-2</c:v>
                </c:pt>
                <c:pt idx="544">
                  <c:v>7.9783999999999994E-2</c:v>
                </c:pt>
                <c:pt idx="545">
                  <c:v>7.9977999999999994E-2</c:v>
                </c:pt>
                <c:pt idx="546">
                  <c:v>8.0172000000000007E-2</c:v>
                </c:pt>
                <c:pt idx="547">
                  <c:v>8.0364000000000005E-2</c:v>
                </c:pt>
                <c:pt idx="548">
                  <c:v>8.0559999999999993E-2</c:v>
                </c:pt>
                <c:pt idx="549">
                  <c:v>8.0755999999999994E-2</c:v>
                </c:pt>
                <c:pt idx="550">
                  <c:v>8.0950000000000008E-2</c:v>
                </c:pt>
                <c:pt idx="551">
                  <c:v>8.1143999999999994E-2</c:v>
                </c:pt>
                <c:pt idx="552">
                  <c:v>8.134000000000001E-2</c:v>
                </c:pt>
                <c:pt idx="553">
                  <c:v>8.1533999999999995E-2</c:v>
                </c:pt>
                <c:pt idx="554">
                  <c:v>8.1729999999999997E-2</c:v>
                </c:pt>
                <c:pt idx="555">
                  <c:v>8.1920000000000007E-2</c:v>
                </c:pt>
                <c:pt idx="556">
                  <c:v>8.2116000000000008E-2</c:v>
                </c:pt>
                <c:pt idx="557">
                  <c:v>8.2309999999999994E-2</c:v>
                </c:pt>
                <c:pt idx="558">
                  <c:v>8.250600000000001E-2</c:v>
                </c:pt>
                <c:pt idx="559">
                  <c:v>8.2699999999999996E-2</c:v>
                </c:pt>
                <c:pt idx="560">
                  <c:v>8.2894000000000009E-2</c:v>
                </c:pt>
                <c:pt idx="561">
                  <c:v>8.3089999999999997E-2</c:v>
                </c:pt>
                <c:pt idx="562">
                  <c:v>8.3283999999999997E-2</c:v>
                </c:pt>
                <c:pt idx="563">
                  <c:v>8.3477999999999997E-2</c:v>
                </c:pt>
                <c:pt idx="564">
                  <c:v>8.367200000000001E-2</c:v>
                </c:pt>
                <c:pt idx="565">
                  <c:v>8.3865999999999996E-2</c:v>
                </c:pt>
                <c:pt idx="566">
                  <c:v>8.4061999999999998E-2</c:v>
                </c:pt>
                <c:pt idx="567">
                  <c:v>8.428200000000001E-2</c:v>
                </c:pt>
                <c:pt idx="568">
                  <c:v>8.4503999999999996E-2</c:v>
                </c:pt>
                <c:pt idx="569">
                  <c:v>8.4700000000000011E-2</c:v>
                </c:pt>
                <c:pt idx="570">
                  <c:v>8.4893999999999997E-2</c:v>
                </c:pt>
                <c:pt idx="571">
                  <c:v>8.5088000000000011E-2</c:v>
                </c:pt>
                <c:pt idx="572">
                  <c:v>8.5283999999999999E-2</c:v>
                </c:pt>
                <c:pt idx="573">
                  <c:v>8.548E-2</c:v>
                </c:pt>
                <c:pt idx="574">
                  <c:v>8.5671999999999998E-2</c:v>
                </c:pt>
                <c:pt idx="575">
                  <c:v>8.5866000000000012E-2</c:v>
                </c:pt>
                <c:pt idx="576">
                  <c:v>8.609E-2</c:v>
                </c:pt>
                <c:pt idx="577">
                  <c:v>8.6312E-2</c:v>
                </c:pt>
                <c:pt idx="578">
                  <c:v>8.6531999999999998E-2</c:v>
                </c:pt>
                <c:pt idx="579">
                  <c:v>8.6756E-2</c:v>
                </c:pt>
                <c:pt idx="580">
                  <c:v>8.6975999999999998E-2</c:v>
                </c:pt>
                <c:pt idx="581">
                  <c:v>8.72E-2</c:v>
                </c:pt>
                <c:pt idx="582">
                  <c:v>8.7422E-2</c:v>
                </c:pt>
                <c:pt idx="583">
                  <c:v>8.7646000000000002E-2</c:v>
                </c:pt>
                <c:pt idx="584">
                  <c:v>8.7868000000000002E-2</c:v>
                </c:pt>
                <c:pt idx="585">
                  <c:v>8.8088E-2</c:v>
                </c:pt>
                <c:pt idx="586">
                  <c:v>8.831E-2</c:v>
                </c:pt>
                <c:pt idx="587">
                  <c:v>8.8532E-2</c:v>
                </c:pt>
                <c:pt idx="588">
                  <c:v>8.8754000000000013E-2</c:v>
                </c:pt>
                <c:pt idx="589">
                  <c:v>8.8978000000000002E-2</c:v>
                </c:pt>
                <c:pt idx="590">
                  <c:v>8.920199999999999E-2</c:v>
                </c:pt>
                <c:pt idx="591">
                  <c:v>8.942399999999999E-2</c:v>
                </c:pt>
                <c:pt idx="592">
                  <c:v>8.967E-2</c:v>
                </c:pt>
                <c:pt idx="593">
                  <c:v>8.9894000000000002E-2</c:v>
                </c:pt>
                <c:pt idx="594">
                  <c:v>9.011799999999999E-2</c:v>
                </c:pt>
                <c:pt idx="595">
                  <c:v>9.0337999999999988E-2</c:v>
                </c:pt>
                <c:pt idx="596">
                  <c:v>9.0562000000000004E-2</c:v>
                </c:pt>
                <c:pt idx="597">
                  <c:v>9.0810000000000002E-2</c:v>
                </c:pt>
                <c:pt idx="598">
                  <c:v>9.1060000000000002E-2</c:v>
                </c:pt>
                <c:pt idx="599">
                  <c:v>9.1310000000000002E-2</c:v>
                </c:pt>
                <c:pt idx="600">
                  <c:v>9.1562000000000004E-2</c:v>
                </c:pt>
                <c:pt idx="601">
                  <c:v>9.1812000000000005E-2</c:v>
                </c:pt>
                <c:pt idx="602">
                  <c:v>9.2059999999999989E-2</c:v>
                </c:pt>
                <c:pt idx="603">
                  <c:v>9.2311999999999991E-2</c:v>
                </c:pt>
                <c:pt idx="604">
                  <c:v>9.2560000000000003E-2</c:v>
                </c:pt>
                <c:pt idx="605">
                  <c:v>9.2812000000000006E-2</c:v>
                </c:pt>
                <c:pt idx="606">
                  <c:v>9.3062000000000006E-2</c:v>
                </c:pt>
                <c:pt idx="607">
                  <c:v>9.3312000000000006E-2</c:v>
                </c:pt>
                <c:pt idx="608">
                  <c:v>9.3561999999999992E-2</c:v>
                </c:pt>
                <c:pt idx="609">
                  <c:v>9.3810000000000004E-2</c:v>
                </c:pt>
                <c:pt idx="610">
                  <c:v>9.4062000000000007E-2</c:v>
                </c:pt>
                <c:pt idx="611">
                  <c:v>9.4309999999999991E-2</c:v>
                </c:pt>
                <c:pt idx="612">
                  <c:v>9.4562000000000007E-2</c:v>
                </c:pt>
                <c:pt idx="613">
                  <c:v>9.4811999999999994E-2</c:v>
                </c:pt>
                <c:pt idx="614">
                  <c:v>9.5060000000000006E-2</c:v>
                </c:pt>
                <c:pt idx="615">
                  <c:v>9.5312000000000008E-2</c:v>
                </c:pt>
                <c:pt idx="616">
                  <c:v>9.5562000000000008E-2</c:v>
                </c:pt>
                <c:pt idx="617">
                  <c:v>9.5809999999999992E-2</c:v>
                </c:pt>
                <c:pt idx="618">
                  <c:v>9.6061999999999995E-2</c:v>
                </c:pt>
                <c:pt idx="619">
                  <c:v>9.6340000000000009E-2</c:v>
                </c:pt>
                <c:pt idx="620">
                  <c:v>9.6615999999999994E-2</c:v>
                </c:pt>
                <c:pt idx="621">
                  <c:v>9.6893999999999994E-2</c:v>
                </c:pt>
                <c:pt idx="622">
                  <c:v>9.7173999999999996E-2</c:v>
                </c:pt>
                <c:pt idx="623">
                  <c:v>9.7449999999999995E-2</c:v>
                </c:pt>
                <c:pt idx="624">
                  <c:v>9.7727999999999995E-2</c:v>
                </c:pt>
                <c:pt idx="625">
                  <c:v>9.8005999999999996E-2</c:v>
                </c:pt>
                <c:pt idx="626">
                  <c:v>9.8282000000000008E-2</c:v>
                </c:pt>
                <c:pt idx="627">
                  <c:v>9.8559999999999995E-2</c:v>
                </c:pt>
                <c:pt idx="628">
                  <c:v>9.8838000000000009E-2</c:v>
                </c:pt>
                <c:pt idx="629">
                  <c:v>9.9115999999999996E-2</c:v>
                </c:pt>
                <c:pt idx="630">
                  <c:v>9.9423999999999998E-2</c:v>
                </c:pt>
                <c:pt idx="631">
                  <c:v>9.9727999999999997E-2</c:v>
                </c:pt>
                <c:pt idx="632">
                  <c:v>0.100034</c:v>
                </c:pt>
                <c:pt idx="633">
                  <c:v>0.100338</c:v>
                </c:pt>
                <c:pt idx="634">
                  <c:v>0.100644</c:v>
                </c:pt>
                <c:pt idx="635">
                  <c:v>0.10095000000000001</c:v>
                </c:pt>
                <c:pt idx="636">
                  <c:v>0.10125400000000001</c:v>
                </c:pt>
                <c:pt idx="637">
                  <c:v>0.10156000000000001</c:v>
                </c:pt>
                <c:pt idx="638">
                  <c:v>0.101866</c:v>
                </c:pt>
                <c:pt idx="639">
                  <c:v>0.102172</c:v>
                </c:pt>
                <c:pt idx="640">
                  <c:v>0.102478</c:v>
                </c:pt>
                <c:pt idx="641">
                  <c:v>0.102782</c:v>
                </c:pt>
                <c:pt idx="642">
                  <c:v>0.103088</c:v>
                </c:pt>
                <c:pt idx="643">
                  <c:v>0.103394</c:v>
                </c:pt>
                <c:pt idx="644">
                  <c:v>0.10369999999999999</c:v>
                </c:pt>
                <c:pt idx="645">
                  <c:v>0.104034</c:v>
                </c:pt>
                <c:pt idx="646">
                  <c:v>0.104366</c:v>
                </c:pt>
                <c:pt idx="647">
                  <c:v>0.104672</c:v>
                </c:pt>
                <c:pt idx="648">
                  <c:v>0.105006</c:v>
                </c:pt>
                <c:pt idx="649">
                  <c:v>0.10534</c:v>
                </c:pt>
                <c:pt idx="650">
                  <c:v>0.105672</c:v>
                </c:pt>
                <c:pt idx="651">
                  <c:v>0.106004</c:v>
                </c:pt>
                <c:pt idx="652">
                  <c:v>0.10634</c:v>
                </c:pt>
                <c:pt idx="653">
                  <c:v>0.10667199999999999</c:v>
                </c:pt>
                <c:pt idx="654">
                  <c:v>0.10700599999999999</c:v>
                </c:pt>
                <c:pt idx="655">
                  <c:v>0.107338</c:v>
                </c:pt>
                <c:pt idx="656">
                  <c:v>0.10770200000000001</c:v>
                </c:pt>
                <c:pt idx="657">
                  <c:v>0.10805999999999999</c:v>
                </c:pt>
                <c:pt idx="658">
                  <c:v>0.108422</c:v>
                </c:pt>
                <c:pt idx="659">
                  <c:v>0.10878199999999999</c:v>
                </c:pt>
                <c:pt idx="660">
                  <c:v>0.109144</c:v>
                </c:pt>
                <c:pt idx="661">
                  <c:v>0.10950599999999999</c:v>
                </c:pt>
                <c:pt idx="662">
                  <c:v>0.10986599999999999</c:v>
                </c:pt>
                <c:pt idx="663">
                  <c:v>0.11022800000000001</c:v>
                </c:pt>
                <c:pt idx="664">
                  <c:v>0.11058999999999999</c:v>
                </c:pt>
                <c:pt idx="665">
                  <c:v>0.11097799999999999</c:v>
                </c:pt>
                <c:pt idx="666">
                  <c:v>0.11136799999999999</c:v>
                </c:pt>
                <c:pt idx="667">
                  <c:v>0.11175599999999999</c:v>
                </c:pt>
                <c:pt idx="668">
                  <c:v>0.11214399999999999</c:v>
                </c:pt>
                <c:pt idx="669">
                  <c:v>0.112534</c:v>
                </c:pt>
                <c:pt idx="670">
                  <c:v>0.11292199999999999</c:v>
                </c:pt>
                <c:pt idx="671">
                  <c:v>0.113284</c:v>
                </c:pt>
                <c:pt idx="672">
                  <c:v>0.11367200000000001</c:v>
                </c:pt>
                <c:pt idx="673">
                  <c:v>0.114062</c:v>
                </c:pt>
                <c:pt idx="674">
                  <c:v>0.11445</c:v>
                </c:pt>
                <c:pt idx="675">
                  <c:v>0.11484</c:v>
                </c:pt>
                <c:pt idx="676">
                  <c:v>0.115228</c:v>
                </c:pt>
                <c:pt idx="677">
                  <c:v>0.115618</c:v>
                </c:pt>
                <c:pt idx="678">
                  <c:v>0.116006</c:v>
                </c:pt>
                <c:pt idx="679">
                  <c:v>0.11642200000000001</c:v>
                </c:pt>
                <c:pt idx="680">
                  <c:v>0.11684</c:v>
                </c:pt>
                <c:pt idx="681">
                  <c:v>0.11725400000000001</c:v>
                </c:pt>
                <c:pt idx="682">
                  <c:v>0.11767200000000001</c:v>
                </c:pt>
                <c:pt idx="683">
                  <c:v>0.118088</c:v>
                </c:pt>
                <c:pt idx="684">
                  <c:v>0.118506</c:v>
                </c:pt>
                <c:pt idx="685">
                  <c:v>0.11895</c:v>
                </c:pt>
                <c:pt idx="686">
                  <c:v>0.119396</c:v>
                </c:pt>
                <c:pt idx="687">
                  <c:v>0.119838</c:v>
                </c:pt>
                <c:pt idx="688">
                  <c:v>0.120284</c:v>
                </c:pt>
                <c:pt idx="689">
                  <c:v>0.120728</c:v>
                </c:pt>
                <c:pt idx="690">
                  <c:v>0.12119999999999999</c:v>
                </c:pt>
                <c:pt idx="691">
                  <c:v>0.121674</c:v>
                </c:pt>
                <c:pt idx="692">
                  <c:v>0.12214399999999999</c:v>
                </c:pt>
                <c:pt idx="693">
                  <c:v>0.122616</c:v>
                </c:pt>
                <c:pt idx="694">
                  <c:v>0.12308999999999999</c:v>
                </c:pt>
                <c:pt idx="695">
                  <c:v>0.12356</c:v>
                </c:pt>
                <c:pt idx="696">
                  <c:v>0.12403399999999999</c:v>
                </c:pt>
                <c:pt idx="697">
                  <c:v>0.124504</c:v>
                </c:pt>
                <c:pt idx="698">
                  <c:v>0.12497799999999999</c:v>
                </c:pt>
                <c:pt idx="699">
                  <c:v>0.12545000000000001</c:v>
                </c:pt>
                <c:pt idx="700">
                  <c:v>0.12595000000000001</c:v>
                </c:pt>
                <c:pt idx="701">
                  <c:v>0.12645000000000001</c:v>
                </c:pt>
                <c:pt idx="702">
                  <c:v>0.12695000000000001</c:v>
                </c:pt>
                <c:pt idx="703">
                  <c:v>0.12747800000000001</c:v>
                </c:pt>
                <c:pt idx="704">
                  <c:v>0.12800599999999998</c:v>
                </c:pt>
                <c:pt idx="705">
                  <c:v>0.12853199999999998</c:v>
                </c:pt>
                <c:pt idx="706">
                  <c:v>0.12909000000000001</c:v>
                </c:pt>
                <c:pt idx="707">
                  <c:v>0.12964399999999998</c:v>
                </c:pt>
                <c:pt idx="708">
                  <c:v>0.13019999999999998</c:v>
                </c:pt>
                <c:pt idx="709">
                  <c:v>0.13078400000000001</c:v>
                </c:pt>
                <c:pt idx="710">
                  <c:v>0.13136599999999998</c:v>
                </c:pt>
                <c:pt idx="711">
                  <c:v>0.13194800000000001</c:v>
                </c:pt>
                <c:pt idx="712">
                  <c:v>0.13258800000000001</c:v>
                </c:pt>
                <c:pt idx="713">
                  <c:v>0.13328400000000001</c:v>
                </c:pt>
              </c:numCache>
            </c:numRef>
          </c:cat>
          <c:val>
            <c:numRef>
              <c:f>'A11-1'!$F$2:$F$607</c:f>
              <c:numCache>
                <c:formatCode>0.0000</c:formatCode>
                <c:ptCount val="606"/>
                <c:pt idx="0">
                  <c:v>0</c:v>
                </c:pt>
                <c:pt idx="1">
                  <c:v>0.13257989088074826</c:v>
                </c:pt>
                <c:pt idx="2">
                  <c:v>0.13257989088074826</c:v>
                </c:pt>
                <c:pt idx="3">
                  <c:v>0.13647929943606438</c:v>
                </c:pt>
                <c:pt idx="4">
                  <c:v>0.13647929943606438</c:v>
                </c:pt>
                <c:pt idx="5">
                  <c:v>0.13257989088074826</c:v>
                </c:pt>
                <c:pt idx="6">
                  <c:v>0.13257989088074826</c:v>
                </c:pt>
                <c:pt idx="7">
                  <c:v>0.13257989088074826</c:v>
                </c:pt>
                <c:pt idx="8">
                  <c:v>0.1403787079913805</c:v>
                </c:pt>
                <c:pt idx="9">
                  <c:v>0.1403787079913805</c:v>
                </c:pt>
                <c:pt idx="10">
                  <c:v>0.1403787079913805</c:v>
                </c:pt>
                <c:pt idx="11">
                  <c:v>0.14427811654669664</c:v>
                </c:pt>
                <c:pt idx="12">
                  <c:v>0.14817752510201276</c:v>
                </c:pt>
                <c:pt idx="13">
                  <c:v>0.15207693365732888</c:v>
                </c:pt>
                <c:pt idx="14">
                  <c:v>0.15597634221264503</c:v>
                </c:pt>
                <c:pt idx="15">
                  <c:v>0.16767227545733804</c:v>
                </c:pt>
                <c:pt idx="16">
                  <c:v>0.17157168401265419</c:v>
                </c:pt>
                <c:pt idx="17">
                  <c:v>0.1754710925679703</c:v>
                </c:pt>
                <c:pt idx="18">
                  <c:v>0.18326990967860257</c:v>
                </c:pt>
                <c:pt idx="19">
                  <c:v>0.18716931823391869</c:v>
                </c:pt>
                <c:pt idx="20">
                  <c:v>0.1949681353445509</c:v>
                </c:pt>
                <c:pt idx="21">
                  <c:v>0.1793705011232864</c:v>
                </c:pt>
                <c:pt idx="22">
                  <c:v>0.16377515932327724</c:v>
                </c:pt>
                <c:pt idx="23">
                  <c:v>0.15987575076796115</c:v>
                </c:pt>
                <c:pt idx="24">
                  <c:v>0.15987575076796115</c:v>
                </c:pt>
                <c:pt idx="25">
                  <c:v>0.16767227545733804</c:v>
                </c:pt>
                <c:pt idx="26">
                  <c:v>0.1754710925679703</c:v>
                </c:pt>
                <c:pt idx="27">
                  <c:v>0.18326990967860257</c:v>
                </c:pt>
                <c:pt idx="28">
                  <c:v>0.1949681353445509</c:v>
                </c:pt>
                <c:pt idx="29">
                  <c:v>0.2027669524551832</c:v>
                </c:pt>
                <c:pt idx="30">
                  <c:v>0.20666636101049929</c:v>
                </c:pt>
                <c:pt idx="31">
                  <c:v>0.20666636101049929</c:v>
                </c:pt>
                <c:pt idx="32">
                  <c:v>0.20666636101049929</c:v>
                </c:pt>
                <c:pt idx="33">
                  <c:v>0.20666636101049929</c:v>
                </c:pt>
                <c:pt idx="34">
                  <c:v>0.20666636101049929</c:v>
                </c:pt>
                <c:pt idx="35">
                  <c:v>0.20666636101049929</c:v>
                </c:pt>
                <c:pt idx="36">
                  <c:v>0.20666636101049929</c:v>
                </c:pt>
                <c:pt idx="37">
                  <c:v>0.20666636101049929</c:v>
                </c:pt>
                <c:pt idx="38">
                  <c:v>0.20666636101049929</c:v>
                </c:pt>
                <c:pt idx="39">
                  <c:v>0.20666636101049929</c:v>
                </c:pt>
                <c:pt idx="40">
                  <c:v>0.20666636101049929</c:v>
                </c:pt>
                <c:pt idx="41">
                  <c:v>0.21056576956581544</c:v>
                </c:pt>
                <c:pt idx="42">
                  <c:v>0.21056576956581544</c:v>
                </c:pt>
                <c:pt idx="43">
                  <c:v>0.21056576956581544</c:v>
                </c:pt>
                <c:pt idx="44">
                  <c:v>0.22226399523176382</c:v>
                </c:pt>
                <c:pt idx="45">
                  <c:v>0.2378616294530283</c:v>
                </c:pt>
                <c:pt idx="46">
                  <c:v>0.2417587455870891</c:v>
                </c:pt>
                <c:pt idx="47">
                  <c:v>0.24955297785521069</c:v>
                </c:pt>
                <c:pt idx="48">
                  <c:v>0.24955297785521069</c:v>
                </c:pt>
                <c:pt idx="49">
                  <c:v>0.25345009398927149</c:v>
                </c:pt>
                <c:pt idx="50">
                  <c:v>0.25345009398927149</c:v>
                </c:pt>
                <c:pt idx="51">
                  <c:v>0.25345009398927149</c:v>
                </c:pt>
                <c:pt idx="52">
                  <c:v>0.25345009398927149</c:v>
                </c:pt>
                <c:pt idx="53">
                  <c:v>0.25345009398927149</c:v>
                </c:pt>
                <c:pt idx="54">
                  <c:v>0.25345009398927149</c:v>
                </c:pt>
                <c:pt idx="55">
                  <c:v>0.25345009398927149</c:v>
                </c:pt>
                <c:pt idx="56">
                  <c:v>0.25345009398927149</c:v>
                </c:pt>
                <c:pt idx="57">
                  <c:v>0.25345009398927149</c:v>
                </c:pt>
                <c:pt idx="58">
                  <c:v>0.25737013433588557</c:v>
                </c:pt>
                <c:pt idx="59">
                  <c:v>0.25737013433588557</c:v>
                </c:pt>
                <c:pt idx="60">
                  <c:v>0.25737013433588557</c:v>
                </c:pt>
                <c:pt idx="61">
                  <c:v>0.25737013433588557</c:v>
                </c:pt>
                <c:pt idx="62">
                  <c:v>0.25737013433588557</c:v>
                </c:pt>
                <c:pt idx="63">
                  <c:v>0.25737013433588557</c:v>
                </c:pt>
                <c:pt idx="64">
                  <c:v>0.25737013433588557</c:v>
                </c:pt>
                <c:pt idx="65">
                  <c:v>0.25737013433588557</c:v>
                </c:pt>
                <c:pt idx="66">
                  <c:v>0.25737013433588557</c:v>
                </c:pt>
                <c:pt idx="67">
                  <c:v>0.25737013433588557</c:v>
                </c:pt>
                <c:pt idx="68">
                  <c:v>0.25737013433588557</c:v>
                </c:pt>
                <c:pt idx="69">
                  <c:v>0.26126725046994637</c:v>
                </c:pt>
                <c:pt idx="70">
                  <c:v>0.26126725046994637</c:v>
                </c:pt>
                <c:pt idx="71">
                  <c:v>0.26126725046994637</c:v>
                </c:pt>
                <c:pt idx="72">
                  <c:v>0.26516436660400722</c:v>
                </c:pt>
                <c:pt idx="73">
                  <c:v>0.26516436660400722</c:v>
                </c:pt>
                <c:pt idx="74">
                  <c:v>0.26906148273806796</c:v>
                </c:pt>
                <c:pt idx="75">
                  <c:v>0.26906148273806796</c:v>
                </c:pt>
                <c:pt idx="76">
                  <c:v>0.26906148273806796</c:v>
                </c:pt>
                <c:pt idx="77">
                  <c:v>0.26906148273806796</c:v>
                </c:pt>
                <c:pt idx="78">
                  <c:v>0.27295859887212875</c:v>
                </c:pt>
                <c:pt idx="79">
                  <c:v>0.27685571500618955</c:v>
                </c:pt>
                <c:pt idx="80">
                  <c:v>0.28854706340837194</c:v>
                </c:pt>
                <c:pt idx="81">
                  <c:v>0.29636421988904688</c:v>
                </c:pt>
                <c:pt idx="82">
                  <c:v>0.30026133602310762</c:v>
                </c:pt>
                <c:pt idx="83">
                  <c:v>0.3158498005593508</c:v>
                </c:pt>
                <c:pt idx="84">
                  <c:v>0.33143826509559399</c:v>
                </c:pt>
                <c:pt idx="85">
                  <c:v>0.34704965384439046</c:v>
                </c:pt>
                <c:pt idx="86">
                  <c:v>0.36263811838063365</c:v>
                </c:pt>
                <c:pt idx="87">
                  <c:v>0.37824950712943012</c:v>
                </c:pt>
                <c:pt idx="88">
                  <c:v>0.3938379716656733</c:v>
                </c:pt>
                <c:pt idx="89">
                  <c:v>0.41332355233597734</c:v>
                </c:pt>
                <c:pt idx="90">
                  <c:v>0.42893494108477376</c:v>
                </c:pt>
                <c:pt idx="91">
                  <c:v>0.44452340562101694</c:v>
                </c:pt>
                <c:pt idx="92">
                  <c:v>0.46013479436981342</c:v>
                </c:pt>
                <c:pt idx="93">
                  <c:v>0.4757232589060566</c:v>
                </c:pt>
                <c:pt idx="94">
                  <c:v>0.49131172344229973</c:v>
                </c:pt>
                <c:pt idx="95">
                  <c:v>0.51082022832515706</c:v>
                </c:pt>
                <c:pt idx="96">
                  <c:v>0.52640869286140035</c:v>
                </c:pt>
                <c:pt idx="97">
                  <c:v>0.54202008161019677</c:v>
                </c:pt>
                <c:pt idx="98">
                  <c:v>0.55760854614643995</c:v>
                </c:pt>
                <c:pt idx="99">
                  <c:v>0.57321993489523637</c:v>
                </c:pt>
                <c:pt idx="100">
                  <c:v>0.58880839943147956</c:v>
                </c:pt>
                <c:pt idx="101">
                  <c:v>0.60439686396772274</c:v>
                </c:pt>
                <c:pt idx="102">
                  <c:v>0.62000825271651916</c:v>
                </c:pt>
                <c:pt idx="103">
                  <c:v>0.63559671725276246</c:v>
                </c:pt>
                <c:pt idx="104">
                  <c:v>0.65120810600155898</c:v>
                </c:pt>
                <c:pt idx="105">
                  <c:v>0.66679657053780206</c:v>
                </c:pt>
                <c:pt idx="106">
                  <c:v>0.68238503507404535</c:v>
                </c:pt>
                <c:pt idx="107">
                  <c:v>0.69799642382284177</c:v>
                </c:pt>
                <c:pt idx="108">
                  <c:v>0.71358488835908496</c:v>
                </c:pt>
                <c:pt idx="109">
                  <c:v>0.72917335289532803</c:v>
                </c:pt>
                <c:pt idx="110">
                  <c:v>0.74478474164412445</c:v>
                </c:pt>
                <c:pt idx="111">
                  <c:v>0.76037320618036774</c:v>
                </c:pt>
                <c:pt idx="112">
                  <c:v>0.77598459492916427</c:v>
                </c:pt>
                <c:pt idx="113">
                  <c:v>0.79157305946540735</c:v>
                </c:pt>
                <c:pt idx="114">
                  <c:v>0.80716152400165064</c:v>
                </c:pt>
                <c:pt idx="115">
                  <c:v>0.82277291275044706</c:v>
                </c:pt>
                <c:pt idx="116">
                  <c:v>0.83836137728669013</c:v>
                </c:pt>
                <c:pt idx="117">
                  <c:v>0.85397276603548677</c:v>
                </c:pt>
                <c:pt idx="118">
                  <c:v>0.86956123057172996</c:v>
                </c:pt>
                <c:pt idx="119">
                  <c:v>0.88514969510797314</c:v>
                </c:pt>
                <c:pt idx="120">
                  <c:v>0.90076108385676956</c:v>
                </c:pt>
                <c:pt idx="121">
                  <c:v>0.91634954839301275</c:v>
                </c:pt>
                <c:pt idx="122">
                  <c:v>0.93196093714180939</c:v>
                </c:pt>
                <c:pt idx="123">
                  <c:v>0.94754940167805246</c:v>
                </c:pt>
                <c:pt idx="124">
                  <c:v>0.96313786621429576</c:v>
                </c:pt>
                <c:pt idx="125">
                  <c:v>0.97874925496309206</c:v>
                </c:pt>
                <c:pt idx="126">
                  <c:v>0.99433771949933525</c:v>
                </c:pt>
                <c:pt idx="127">
                  <c:v>1.0099491082481318</c:v>
                </c:pt>
                <c:pt idx="128">
                  <c:v>1.0255375727843747</c:v>
                </c:pt>
                <c:pt idx="129">
                  <c:v>1.0411260373206181</c:v>
                </c:pt>
                <c:pt idx="130">
                  <c:v>1.0567374260694147</c:v>
                </c:pt>
                <c:pt idx="131">
                  <c:v>1.0723258906056579</c:v>
                </c:pt>
                <c:pt idx="132">
                  <c:v>1.0879372793544542</c:v>
                </c:pt>
                <c:pt idx="133">
                  <c:v>1.1035257438906974</c:v>
                </c:pt>
                <c:pt idx="134">
                  <c:v>1.1191142084269405</c:v>
                </c:pt>
                <c:pt idx="135">
                  <c:v>1.1347255971757371</c:v>
                </c:pt>
                <c:pt idx="136">
                  <c:v>1.1503140617119803</c:v>
                </c:pt>
                <c:pt idx="137">
                  <c:v>1.1659254504607768</c:v>
                </c:pt>
                <c:pt idx="138">
                  <c:v>1.18151391499702</c:v>
                </c:pt>
                <c:pt idx="139">
                  <c:v>1.1971023795332632</c:v>
                </c:pt>
                <c:pt idx="140">
                  <c:v>1.2127137682820597</c:v>
                </c:pt>
                <c:pt idx="141">
                  <c:v>1.2283022328183029</c:v>
                </c:pt>
                <c:pt idx="142">
                  <c:v>1.2439136215670994</c:v>
                </c:pt>
                <c:pt idx="143">
                  <c:v>1.2595020861033426</c:v>
                </c:pt>
                <c:pt idx="144">
                  <c:v>1.2750905506395855</c:v>
                </c:pt>
                <c:pt idx="145">
                  <c:v>1.2907019393883821</c:v>
                </c:pt>
                <c:pt idx="146">
                  <c:v>1.306290403924625</c:v>
                </c:pt>
                <c:pt idx="147">
                  <c:v>1.3218788684608684</c:v>
                </c:pt>
                <c:pt idx="148">
                  <c:v>1.337490257209665</c:v>
                </c:pt>
                <c:pt idx="149">
                  <c:v>1.3530787217459082</c:v>
                </c:pt>
                <c:pt idx="150">
                  <c:v>1.3686901104947047</c:v>
                </c:pt>
                <c:pt idx="151">
                  <c:v>1.3842785750309479</c:v>
                </c:pt>
                <c:pt idx="152">
                  <c:v>1.3998670395671908</c:v>
                </c:pt>
                <c:pt idx="153">
                  <c:v>1.4154784283159876</c:v>
                </c:pt>
                <c:pt idx="154">
                  <c:v>1.4310668928522308</c:v>
                </c:pt>
                <c:pt idx="155">
                  <c:v>1.4466782816010271</c:v>
                </c:pt>
                <c:pt idx="156">
                  <c:v>1.4622667461372703</c:v>
                </c:pt>
                <c:pt idx="157">
                  <c:v>1.4778552106735134</c:v>
                </c:pt>
                <c:pt idx="158">
                  <c:v>1.4934665994223097</c:v>
                </c:pt>
                <c:pt idx="159">
                  <c:v>1.5090550639585532</c:v>
                </c:pt>
                <c:pt idx="160">
                  <c:v>1.5246664527073495</c:v>
                </c:pt>
                <c:pt idx="161">
                  <c:v>1.5402549172435926</c:v>
                </c:pt>
                <c:pt idx="162">
                  <c:v>1.5558433817798361</c:v>
                </c:pt>
                <c:pt idx="163">
                  <c:v>1.5714547705286324</c:v>
                </c:pt>
                <c:pt idx="164">
                  <c:v>1.5870432350648758</c:v>
                </c:pt>
                <c:pt idx="165">
                  <c:v>1.6026546238136723</c:v>
                </c:pt>
                <c:pt idx="166">
                  <c:v>1.618243088349915</c:v>
                </c:pt>
                <c:pt idx="167">
                  <c:v>1.6338315528861584</c:v>
                </c:pt>
                <c:pt idx="168">
                  <c:v>1.649442941634955</c:v>
                </c:pt>
                <c:pt idx="169">
                  <c:v>1.6650314061711982</c:v>
                </c:pt>
                <c:pt idx="170">
                  <c:v>1.6806427949199947</c:v>
                </c:pt>
                <c:pt idx="171">
                  <c:v>1.6962312594562379</c:v>
                </c:pt>
                <c:pt idx="172">
                  <c:v>1.7118197239924811</c:v>
                </c:pt>
                <c:pt idx="173">
                  <c:v>1.7274311127412776</c:v>
                </c:pt>
                <c:pt idx="174">
                  <c:v>1.7430195772775208</c:v>
                </c:pt>
                <c:pt idx="175">
                  <c:v>1.7625280821603782</c:v>
                </c:pt>
                <c:pt idx="176">
                  <c:v>1.7781165466966209</c:v>
                </c:pt>
                <c:pt idx="177">
                  <c:v>1.7937050112328643</c:v>
                </c:pt>
                <c:pt idx="178">
                  <c:v>1.8093163999816608</c:v>
                </c:pt>
                <c:pt idx="179">
                  <c:v>1.8249048645179038</c:v>
                </c:pt>
                <c:pt idx="180">
                  <c:v>1.8405162532667005</c:v>
                </c:pt>
                <c:pt idx="181">
                  <c:v>1.8600018339370044</c:v>
                </c:pt>
                <c:pt idx="182">
                  <c:v>1.8756132226858009</c:v>
                </c:pt>
                <c:pt idx="183">
                  <c:v>1.8912016872220443</c:v>
                </c:pt>
                <c:pt idx="184">
                  <c:v>1.9106872678923481</c:v>
                </c:pt>
                <c:pt idx="185">
                  <c:v>1.9262986566411446</c:v>
                </c:pt>
                <c:pt idx="186">
                  <c:v>1.9418871211773878</c:v>
                </c:pt>
                <c:pt idx="187">
                  <c:v>1.9613956260602452</c:v>
                </c:pt>
                <c:pt idx="188">
                  <c:v>1.980881206730549</c:v>
                </c:pt>
                <c:pt idx="189">
                  <c:v>1.9964925954793451</c:v>
                </c:pt>
                <c:pt idx="190">
                  <c:v>2.0159781761496496</c:v>
                </c:pt>
                <c:pt idx="191">
                  <c:v>2.0315666406858925</c:v>
                </c:pt>
                <c:pt idx="192">
                  <c:v>2.0471780294346895</c:v>
                </c:pt>
                <c:pt idx="193">
                  <c:v>2.062766493970932</c:v>
                </c:pt>
                <c:pt idx="194">
                  <c:v>2.0822749988537894</c:v>
                </c:pt>
                <c:pt idx="195">
                  <c:v>2.0978634633900328</c:v>
                </c:pt>
                <c:pt idx="196">
                  <c:v>2.1134748521388294</c:v>
                </c:pt>
                <c:pt idx="197">
                  <c:v>2.1290633166750719</c:v>
                </c:pt>
                <c:pt idx="198">
                  <c:v>2.1485488973453766</c:v>
                </c:pt>
                <c:pt idx="199">
                  <c:v>2.1641602860941727</c:v>
                </c:pt>
                <c:pt idx="200">
                  <c:v>2.1797487506304161</c:v>
                </c:pt>
                <c:pt idx="201">
                  <c:v>2.1953601393792126</c:v>
                </c:pt>
                <c:pt idx="202">
                  <c:v>2.2148457200495164</c:v>
                </c:pt>
                <c:pt idx="203">
                  <c:v>2.2343542249323733</c:v>
                </c:pt>
                <c:pt idx="204">
                  <c:v>2.2538398056026776</c:v>
                </c:pt>
                <c:pt idx="205">
                  <c:v>2.2694511943514741</c:v>
                </c:pt>
                <c:pt idx="206">
                  <c:v>2.2850396588877175</c:v>
                </c:pt>
                <c:pt idx="207">
                  <c:v>2.3006739718490672</c:v>
                </c:pt>
                <c:pt idx="208">
                  <c:v>2.3162624363853102</c:v>
                </c:pt>
                <c:pt idx="209">
                  <c:v>2.3318509009215536</c:v>
                </c:pt>
                <c:pt idx="210">
                  <c:v>2.3513364815918574</c:v>
                </c:pt>
                <c:pt idx="211">
                  <c:v>2.3669249461281008</c:v>
                </c:pt>
                <c:pt idx="212">
                  <c:v>2.3825134106643442</c:v>
                </c:pt>
                <c:pt idx="213">
                  <c:v>2.3981018752005867</c:v>
                </c:pt>
                <c:pt idx="214">
                  <c:v>2.417587455870891</c:v>
                </c:pt>
                <c:pt idx="215">
                  <c:v>2.4331759204071339</c:v>
                </c:pt>
                <c:pt idx="216">
                  <c:v>2.4487643849433773</c:v>
                </c:pt>
                <c:pt idx="217">
                  <c:v>2.4643528494796203</c:v>
                </c:pt>
                <c:pt idx="218">
                  <c:v>2.4838384301499246</c:v>
                </c:pt>
                <c:pt idx="219">
                  <c:v>2.5033240108202288</c:v>
                </c:pt>
                <c:pt idx="220">
                  <c:v>2.5189124753564718</c:v>
                </c:pt>
                <c:pt idx="221">
                  <c:v>2.5345009398927147</c:v>
                </c:pt>
                <c:pt idx="222">
                  <c:v>2.5500894044289582</c:v>
                </c:pt>
                <c:pt idx="223">
                  <c:v>2.5659071110907345</c:v>
                </c:pt>
                <c:pt idx="224">
                  <c:v>2.5814955756269771</c:v>
                </c:pt>
                <c:pt idx="225">
                  <c:v>2.6009811562972813</c:v>
                </c:pt>
                <c:pt idx="226">
                  <c:v>2.6165696208335243</c:v>
                </c:pt>
                <c:pt idx="227">
                  <c:v>2.6321580853697677</c:v>
                </c:pt>
                <c:pt idx="228">
                  <c:v>2.6477465499060107</c:v>
                </c:pt>
                <c:pt idx="229">
                  <c:v>2.6633350144422545</c:v>
                </c:pt>
                <c:pt idx="230">
                  <c:v>2.6789234789784975</c:v>
                </c:pt>
                <c:pt idx="231">
                  <c:v>2.6945119435147404</c:v>
                </c:pt>
                <c:pt idx="232">
                  <c:v>2.7101004080509838</c:v>
                </c:pt>
                <c:pt idx="233">
                  <c:v>2.7256888725872268</c:v>
                </c:pt>
                <c:pt idx="234">
                  <c:v>2.7412773371234698</c:v>
                </c:pt>
                <c:pt idx="235">
                  <c:v>2.7568658016597136</c:v>
                </c:pt>
                <c:pt idx="236">
                  <c:v>2.776351382330017</c:v>
                </c:pt>
                <c:pt idx="237">
                  <c:v>2.7919398468662604</c:v>
                </c:pt>
                <c:pt idx="238">
                  <c:v>2.8114254275365642</c:v>
                </c:pt>
                <c:pt idx="239">
                  <c:v>2.8270138920728076</c:v>
                </c:pt>
                <c:pt idx="240">
                  <c:v>2.8464994727431119</c:v>
                </c:pt>
                <c:pt idx="241">
                  <c:v>2.8620879372793544</c:v>
                </c:pt>
                <c:pt idx="242">
                  <c:v>2.8776764018155978</c:v>
                </c:pt>
                <c:pt idx="243">
                  <c:v>2.8971619824859016</c:v>
                </c:pt>
                <c:pt idx="244">
                  <c:v>2.912750447022145</c:v>
                </c:pt>
                <c:pt idx="245">
                  <c:v>2.9322360276924488</c:v>
                </c:pt>
                <c:pt idx="246">
                  <c:v>2.9478244922286923</c:v>
                </c:pt>
                <c:pt idx="247">
                  <c:v>2.9636421988904686</c:v>
                </c:pt>
                <c:pt idx="248">
                  <c:v>2.9792306634267116</c:v>
                </c:pt>
                <c:pt idx="249">
                  <c:v>2.9987162440970154</c:v>
                </c:pt>
                <c:pt idx="250">
                  <c:v>3.0220989409013805</c:v>
                </c:pt>
                <c:pt idx="251">
                  <c:v>3.0454816377057448</c:v>
                </c:pt>
                <c:pt idx="252">
                  <c:v>3.0688643345101099</c:v>
                </c:pt>
                <c:pt idx="253">
                  <c:v>3.0922470313144741</c:v>
                </c:pt>
                <c:pt idx="254">
                  <c:v>3.1156297281188392</c:v>
                </c:pt>
                <c:pt idx="255">
                  <c:v>3.1390124249232043</c:v>
                </c:pt>
                <c:pt idx="256">
                  <c:v>3.1623951217275685</c:v>
                </c:pt>
                <c:pt idx="257">
                  <c:v>3.1857778185319336</c:v>
                </c:pt>
                <c:pt idx="258">
                  <c:v>3.2091605153362988</c:v>
                </c:pt>
                <c:pt idx="259">
                  <c:v>3.2364403282747243</c:v>
                </c:pt>
                <c:pt idx="260">
                  <c:v>3.2637201412131498</c:v>
                </c:pt>
                <c:pt idx="261">
                  <c:v>3.287102838017514</c:v>
                </c:pt>
                <c:pt idx="262">
                  <c:v>3.31438265095594</c:v>
                </c:pt>
                <c:pt idx="263">
                  <c:v>3.3416624638943659</c:v>
                </c:pt>
                <c:pt idx="264">
                  <c:v>3.369171518958324</c:v>
                </c:pt>
                <c:pt idx="265">
                  <c:v>3.3925542157626891</c:v>
                </c:pt>
                <c:pt idx="266">
                  <c:v>3.4159369125670533</c:v>
                </c:pt>
                <c:pt idx="267">
                  <c:v>3.4393196093714185</c:v>
                </c:pt>
                <c:pt idx="268">
                  <c:v>3.4627023061757831</c:v>
                </c:pt>
                <c:pt idx="269">
                  <c:v>3.4899821191142091</c:v>
                </c:pt>
                <c:pt idx="270">
                  <c:v>3.5172619320526342</c:v>
                </c:pt>
                <c:pt idx="271">
                  <c:v>3.5445417449910597</c:v>
                </c:pt>
                <c:pt idx="272">
                  <c:v>3.5718215579294856</c:v>
                </c:pt>
                <c:pt idx="273">
                  <c:v>3.5991013708679107</c:v>
                </c:pt>
                <c:pt idx="274">
                  <c:v>3.6263811838063367</c:v>
                </c:pt>
                <c:pt idx="275">
                  <c:v>3.6536609967447622</c:v>
                </c:pt>
                <c:pt idx="276">
                  <c:v>3.6770436935491269</c:v>
                </c:pt>
                <c:pt idx="277">
                  <c:v>3.7043235064875524</c:v>
                </c:pt>
                <c:pt idx="278">
                  <c:v>3.7316033194259783</c:v>
                </c:pt>
                <c:pt idx="279">
                  <c:v>3.755215258355876</c:v>
                </c:pt>
                <c:pt idx="280">
                  <c:v>3.7785979551602407</c:v>
                </c:pt>
                <c:pt idx="281">
                  <c:v>3.8058777680986662</c:v>
                </c:pt>
                <c:pt idx="282">
                  <c:v>3.8292604649030304</c:v>
                </c:pt>
                <c:pt idx="283">
                  <c:v>3.8565402778414564</c:v>
                </c:pt>
                <c:pt idx="284">
                  <c:v>3.8799229746458215</c:v>
                </c:pt>
                <c:pt idx="285">
                  <c:v>3.9033056714501861</c:v>
                </c:pt>
                <c:pt idx="286">
                  <c:v>3.9266883682545508</c:v>
                </c:pt>
                <c:pt idx="287">
                  <c:v>3.9539681811929759</c:v>
                </c:pt>
                <c:pt idx="288">
                  <c:v>3.977350877997341</c:v>
                </c:pt>
                <c:pt idx="289">
                  <c:v>4.0007335748017061</c:v>
                </c:pt>
                <c:pt idx="290">
                  <c:v>4.031910503874192</c:v>
                </c:pt>
                <c:pt idx="291">
                  <c:v>4.0630874329466788</c:v>
                </c:pt>
                <c:pt idx="292">
                  <c:v>4.0942643620191648</c:v>
                </c:pt>
                <c:pt idx="293">
                  <c:v>4.1254412910916516</c:v>
                </c:pt>
                <c:pt idx="294">
                  <c:v>4.1568474622896714</c:v>
                </c:pt>
                <c:pt idx="295">
                  <c:v>4.1880243913621573</c:v>
                </c:pt>
                <c:pt idx="296">
                  <c:v>4.2230984365687041</c:v>
                </c:pt>
                <c:pt idx="297">
                  <c:v>4.2542753656411909</c:v>
                </c:pt>
                <c:pt idx="298">
                  <c:v>4.2893494108477386</c:v>
                </c:pt>
                <c:pt idx="299">
                  <c:v>4.3244234560542845</c:v>
                </c:pt>
                <c:pt idx="300">
                  <c:v>4.3594975012608321</c:v>
                </c:pt>
                <c:pt idx="301">
                  <c:v>4.3906744303333181</c:v>
                </c:pt>
                <c:pt idx="302">
                  <c:v>4.4257484755398657</c:v>
                </c:pt>
                <c:pt idx="303">
                  <c:v>4.4608225207464125</c:v>
                </c:pt>
                <c:pt idx="304">
                  <c:v>4.4958965659529602</c:v>
                </c:pt>
                <c:pt idx="305">
                  <c:v>4.5309706111595069</c:v>
                </c:pt>
                <c:pt idx="306">
                  <c:v>4.5662738984915876</c:v>
                </c:pt>
                <c:pt idx="307">
                  <c:v>4.6052450598321952</c:v>
                </c:pt>
                <c:pt idx="308">
                  <c:v>4.640319105038742</c:v>
                </c:pt>
                <c:pt idx="309">
                  <c:v>4.6753931502452897</c:v>
                </c:pt>
                <c:pt idx="310">
                  <c:v>4.7065700793177756</c:v>
                </c:pt>
                <c:pt idx="311">
                  <c:v>4.7416441245243233</c:v>
                </c:pt>
                <c:pt idx="312">
                  <c:v>4.77671816973087</c:v>
                </c:pt>
                <c:pt idx="313">
                  <c:v>4.8156893310714786</c:v>
                </c:pt>
                <c:pt idx="314">
                  <c:v>4.8507633762780253</c:v>
                </c:pt>
                <c:pt idx="315">
                  <c:v>4.8819403053505113</c:v>
                </c:pt>
                <c:pt idx="316">
                  <c:v>4.9170143505570589</c:v>
                </c:pt>
                <c:pt idx="317">
                  <c:v>4.9484205217550787</c:v>
                </c:pt>
                <c:pt idx="318">
                  <c:v>4.9834945669616246</c:v>
                </c:pt>
                <c:pt idx="319">
                  <c:v>5.0146714960341114</c:v>
                </c:pt>
                <c:pt idx="320">
                  <c:v>5.0614368896428408</c:v>
                </c:pt>
                <c:pt idx="321">
                  <c:v>5.1043051671175101</c:v>
                </c:pt>
                <c:pt idx="322">
                  <c:v>5.1432763284581187</c:v>
                </c:pt>
                <c:pt idx="323">
                  <c:v>5.1822474897987254</c:v>
                </c:pt>
                <c:pt idx="324">
                  <c:v>5.2290128834074547</c:v>
                </c:pt>
                <c:pt idx="325">
                  <c:v>5.2757782770161841</c:v>
                </c:pt>
                <c:pt idx="326">
                  <c:v>5.3147494383567926</c:v>
                </c:pt>
                <c:pt idx="327">
                  <c:v>5.3539498418229341</c:v>
                </c:pt>
                <c:pt idx="328">
                  <c:v>5.3929210031635417</c:v>
                </c:pt>
                <c:pt idx="329">
                  <c:v>5.4318921645041494</c:v>
                </c:pt>
                <c:pt idx="330">
                  <c:v>5.4708633258447579</c:v>
                </c:pt>
                <c:pt idx="331">
                  <c:v>5.5098344871853655</c:v>
                </c:pt>
                <c:pt idx="332">
                  <c:v>5.548805648525974</c:v>
                </c:pt>
                <c:pt idx="333">
                  <c:v>5.5877768098665808</c:v>
                </c:pt>
                <c:pt idx="334">
                  <c:v>5.6267479712071893</c:v>
                </c:pt>
                <c:pt idx="335">
                  <c:v>5.6657191325477978</c:v>
                </c:pt>
                <c:pt idx="336">
                  <c:v>5.7046902938884045</c:v>
                </c:pt>
                <c:pt idx="337">
                  <c:v>5.7477878134886069</c:v>
                </c:pt>
                <c:pt idx="338">
                  <c:v>5.7867589748292154</c:v>
                </c:pt>
                <c:pt idx="339">
                  <c:v>5.825730136169823</c:v>
                </c:pt>
                <c:pt idx="340">
                  <c:v>5.8647012975104316</c:v>
                </c:pt>
                <c:pt idx="341">
                  <c:v>5.9036724588510383</c:v>
                </c:pt>
                <c:pt idx="342">
                  <c:v>5.9426436201916477</c:v>
                </c:pt>
                <c:pt idx="343">
                  <c:v>5.9816147815322553</c:v>
                </c:pt>
                <c:pt idx="344">
                  <c:v>6.0205859428728621</c:v>
                </c:pt>
                <c:pt idx="345">
                  <c:v>6.0712484526156523</c:v>
                </c:pt>
                <c:pt idx="346">
                  <c:v>6.1221402044839763</c:v>
                </c:pt>
                <c:pt idx="347">
                  <c:v>6.1728027142267665</c:v>
                </c:pt>
                <c:pt idx="348">
                  <c:v>6.2273623401036167</c:v>
                </c:pt>
                <c:pt idx="349">
                  <c:v>6.2780248498464086</c:v>
                </c:pt>
                <c:pt idx="350">
                  <c:v>6.3286873595891988</c:v>
                </c:pt>
                <c:pt idx="351">
                  <c:v>6.383246985466049</c:v>
                </c:pt>
                <c:pt idx="352">
                  <c:v>6.4339094952088409</c:v>
                </c:pt>
                <c:pt idx="353">
                  <c:v>6.4884691210856911</c:v>
                </c:pt>
                <c:pt idx="354">
                  <c:v>6.5393608729540142</c:v>
                </c:pt>
                <c:pt idx="355">
                  <c:v>6.5939204988308653</c:v>
                </c:pt>
                <c:pt idx="356">
                  <c:v>6.6445830085736572</c:v>
                </c:pt>
                <c:pt idx="357">
                  <c:v>6.6991426344505074</c:v>
                </c:pt>
                <c:pt idx="358">
                  <c:v>6.7537022603273584</c:v>
                </c:pt>
                <c:pt idx="359">
                  <c:v>6.8082618862042095</c:v>
                </c:pt>
                <c:pt idx="360">
                  <c:v>6.8550272798129388</c:v>
                </c:pt>
                <c:pt idx="361">
                  <c:v>6.9098161478153237</c:v>
                </c:pt>
                <c:pt idx="362">
                  <c:v>6.9643757736921748</c:v>
                </c:pt>
                <c:pt idx="363">
                  <c:v>7.0189353995690249</c:v>
                </c:pt>
                <c:pt idx="364">
                  <c:v>7.0734950254458768</c:v>
                </c:pt>
                <c:pt idx="365">
                  <c:v>7.1319517674567887</c:v>
                </c:pt>
                <c:pt idx="366">
                  <c:v>7.1904085094677006</c:v>
                </c:pt>
                <c:pt idx="367">
                  <c:v>7.2449681353445516</c:v>
                </c:pt>
                <c:pt idx="368">
                  <c:v>7.3036541194809974</c:v>
                </c:pt>
                <c:pt idx="369">
                  <c:v>7.3621108614919075</c:v>
                </c:pt>
                <c:pt idx="370">
                  <c:v>7.4205676035028203</c:v>
                </c:pt>
                <c:pt idx="371">
                  <c:v>7.4790243455137322</c:v>
                </c:pt>
                <c:pt idx="372">
                  <c:v>7.5374810875246441</c:v>
                </c:pt>
                <c:pt idx="373">
                  <c:v>7.5998349456696168</c:v>
                </c:pt>
                <c:pt idx="374">
                  <c:v>7.6582916876805287</c:v>
                </c:pt>
                <c:pt idx="375">
                  <c:v>7.7208747879510344</c:v>
                </c:pt>
                <c:pt idx="376">
                  <c:v>7.7832286460960072</c:v>
                </c:pt>
                <c:pt idx="377">
                  <c:v>7.8416853881069191</c:v>
                </c:pt>
                <c:pt idx="378">
                  <c:v>7.9040392462518927</c:v>
                </c:pt>
                <c:pt idx="379">
                  <c:v>7.9663931043968645</c:v>
                </c:pt>
                <c:pt idx="380">
                  <c:v>8.0287469625418364</c:v>
                </c:pt>
                <c:pt idx="381">
                  <c:v>8.1030214112145256</c:v>
                </c:pt>
                <c:pt idx="382">
                  <c:v>8.1653752693594974</c:v>
                </c:pt>
                <c:pt idx="383">
                  <c:v>8.2277291275044711</c:v>
                </c:pt>
                <c:pt idx="384">
                  <c:v>8.2900829856494429</c:v>
                </c:pt>
                <c:pt idx="385">
                  <c:v>8.3524368437944165</c:v>
                </c:pt>
                <c:pt idx="386">
                  <c:v>8.4147907019393884</c:v>
                </c:pt>
                <c:pt idx="387">
                  <c:v>8.477144560084362</c:v>
                </c:pt>
                <c:pt idx="388">
                  <c:v>8.5436247764889277</c:v>
                </c:pt>
                <c:pt idx="389">
                  <c:v>8.6059786346339031</c:v>
                </c:pt>
                <c:pt idx="390">
                  <c:v>8.6722296089129358</c:v>
                </c:pt>
                <c:pt idx="391">
                  <c:v>8.7384805831919685</c:v>
                </c:pt>
                <c:pt idx="392">
                  <c:v>8.8008344413369404</c:v>
                </c:pt>
                <c:pt idx="393">
                  <c:v>8.8670854156159749</c:v>
                </c:pt>
                <c:pt idx="394">
                  <c:v>8.9335656320205405</c:v>
                </c:pt>
                <c:pt idx="395">
                  <c:v>8.9959194901655124</c:v>
                </c:pt>
                <c:pt idx="396">
                  <c:v>9.0738618128467294</c:v>
                </c:pt>
                <c:pt idx="397">
                  <c:v>9.1518041355279465</c:v>
                </c:pt>
                <c:pt idx="398">
                  <c:v>9.22974645820916</c:v>
                </c:pt>
                <c:pt idx="399">
                  <c:v>9.3079180230159082</c:v>
                </c:pt>
                <c:pt idx="400">
                  <c:v>9.3897574618311879</c:v>
                </c:pt>
                <c:pt idx="401">
                  <c:v>9.4676997845124031</c:v>
                </c:pt>
                <c:pt idx="402">
                  <c:v>9.5456421071936184</c:v>
                </c:pt>
                <c:pt idx="403">
                  <c:v>9.6235844298748354</c:v>
                </c:pt>
                <c:pt idx="404">
                  <c:v>9.7017559946815837</c:v>
                </c:pt>
                <c:pt idx="405">
                  <c:v>9.7796983173628007</c:v>
                </c:pt>
                <c:pt idx="406">
                  <c:v>9.8576406400440142</c:v>
                </c:pt>
                <c:pt idx="407">
                  <c:v>9.9355829627252312</c:v>
                </c:pt>
                <c:pt idx="408">
                  <c:v>10.017422401540509</c:v>
                </c:pt>
                <c:pt idx="409">
                  <c:v>10.095593966347257</c:v>
                </c:pt>
                <c:pt idx="410">
                  <c:v>10.173536289028473</c:v>
                </c:pt>
                <c:pt idx="411">
                  <c:v>10.255375727843751</c:v>
                </c:pt>
                <c:pt idx="412">
                  <c:v>10.337215166659025</c:v>
                </c:pt>
                <c:pt idx="413">
                  <c:v>10.415157489340242</c:v>
                </c:pt>
                <c:pt idx="414">
                  <c:v>10.49332905414699</c:v>
                </c:pt>
                <c:pt idx="415">
                  <c:v>10.575168492962268</c:v>
                </c:pt>
                <c:pt idx="416">
                  <c:v>10.657007931777544</c:v>
                </c:pt>
                <c:pt idx="417">
                  <c:v>10.738847370592822</c:v>
                </c:pt>
                <c:pt idx="418">
                  <c:v>10.816789693274037</c:v>
                </c:pt>
                <c:pt idx="419">
                  <c:v>10.902755490348907</c:v>
                </c:pt>
                <c:pt idx="420">
                  <c:v>10.984594929164185</c:v>
                </c:pt>
                <c:pt idx="421">
                  <c:v>11.078125716381644</c:v>
                </c:pt>
                <c:pt idx="422">
                  <c:v>11.163862271330981</c:v>
                </c:pt>
                <c:pt idx="423">
                  <c:v>11.257622300673972</c:v>
                </c:pt>
                <c:pt idx="424">
                  <c:v>11.355050204025492</c:v>
                </c:pt>
                <c:pt idx="425">
                  <c:v>11.448580991242952</c:v>
                </c:pt>
                <c:pt idx="426">
                  <c:v>11.546008894594472</c:v>
                </c:pt>
                <c:pt idx="427">
                  <c:v>11.639539681811931</c:v>
                </c:pt>
                <c:pt idx="428">
                  <c:v>11.725505478886802</c:v>
                </c:pt>
                <c:pt idx="429">
                  <c:v>11.822933382238322</c:v>
                </c:pt>
                <c:pt idx="430">
                  <c:v>11.908669937187659</c:v>
                </c:pt>
                <c:pt idx="431">
                  <c:v>12.006097840539178</c:v>
                </c:pt>
                <c:pt idx="432">
                  <c:v>12.103754986016231</c:v>
                </c:pt>
                <c:pt idx="433">
                  <c:v>12.205080005501811</c:v>
                </c:pt>
                <c:pt idx="434">
                  <c:v>12.302507908853332</c:v>
                </c:pt>
                <c:pt idx="435">
                  <c:v>12.39993581220485</c:v>
                </c:pt>
                <c:pt idx="436">
                  <c:v>12.497592957681904</c:v>
                </c:pt>
                <c:pt idx="437">
                  <c:v>12.598917977167485</c:v>
                </c:pt>
                <c:pt idx="438">
                  <c:v>12.696345880519006</c:v>
                </c:pt>
                <c:pt idx="439">
                  <c:v>12.797670900004587</c:v>
                </c:pt>
                <c:pt idx="440">
                  <c:v>12.899225161615702</c:v>
                </c:pt>
                <c:pt idx="441">
                  <c:v>13.000550181101282</c:v>
                </c:pt>
                <c:pt idx="442">
                  <c:v>13.101875200586861</c:v>
                </c:pt>
                <c:pt idx="443">
                  <c:v>13.203200220072443</c:v>
                </c:pt>
                <c:pt idx="444">
                  <c:v>13.308651597817615</c:v>
                </c:pt>
                <c:pt idx="445">
                  <c:v>13.409976617303196</c:v>
                </c:pt>
                <c:pt idx="446">
                  <c:v>13.515198752922837</c:v>
                </c:pt>
                <c:pt idx="447">
                  <c:v>13.616753014533952</c:v>
                </c:pt>
                <c:pt idx="448">
                  <c:v>13.718078034019532</c:v>
                </c:pt>
                <c:pt idx="449">
                  <c:v>13.827197285773234</c:v>
                </c:pt>
                <c:pt idx="450">
                  <c:v>13.932419421392877</c:v>
                </c:pt>
                <c:pt idx="451">
                  <c:v>14.03787079913805</c:v>
                </c:pt>
                <c:pt idx="452">
                  <c:v>14.146990050891754</c:v>
                </c:pt>
                <c:pt idx="453">
                  <c:v>14.267800651047638</c:v>
                </c:pt>
                <c:pt idx="454">
                  <c:v>14.392508367337584</c:v>
                </c:pt>
                <c:pt idx="455">
                  <c:v>14.513548209619001</c:v>
                </c:pt>
                <c:pt idx="456">
                  <c:v>14.634358809774884</c:v>
                </c:pt>
                <c:pt idx="457">
                  <c:v>14.755169409930769</c:v>
                </c:pt>
                <c:pt idx="458">
                  <c:v>14.864517903810004</c:v>
                </c:pt>
                <c:pt idx="459">
                  <c:v>14.985328503965892</c:v>
                </c:pt>
                <c:pt idx="460">
                  <c:v>15.106139104121777</c:v>
                </c:pt>
                <c:pt idx="461">
                  <c:v>15.227178946403193</c:v>
                </c:pt>
                <c:pt idx="462">
                  <c:v>15.351886662693138</c:v>
                </c:pt>
                <c:pt idx="463">
                  <c:v>15.472697262849023</c:v>
                </c:pt>
                <c:pt idx="464">
                  <c:v>15.59373710513044</c:v>
                </c:pt>
                <c:pt idx="465">
                  <c:v>15.714547705286323</c:v>
                </c:pt>
                <c:pt idx="466">
                  <c:v>15.835358305442208</c:v>
                </c:pt>
                <c:pt idx="467">
                  <c:v>15.956168905598092</c:v>
                </c:pt>
                <c:pt idx="468">
                  <c:v>16.081105864013573</c:v>
                </c:pt>
                <c:pt idx="469">
                  <c:v>16.217504928705701</c:v>
                </c:pt>
                <c:pt idx="470">
                  <c:v>16.342212644995644</c:v>
                </c:pt>
                <c:pt idx="471">
                  <c:v>16.478840951813307</c:v>
                </c:pt>
                <c:pt idx="472">
                  <c:v>16.603548668103251</c:v>
                </c:pt>
                <c:pt idx="473">
                  <c:v>16.739947732795379</c:v>
                </c:pt>
                <c:pt idx="474">
                  <c:v>16.864884691210857</c:v>
                </c:pt>
                <c:pt idx="475">
                  <c:v>16.989592407500805</c:v>
                </c:pt>
                <c:pt idx="476">
                  <c:v>17.129888588326992</c:v>
                </c:pt>
                <c:pt idx="477">
                  <c:v>17.270414011278714</c:v>
                </c:pt>
                <c:pt idx="478">
                  <c:v>17.410710192104901</c:v>
                </c:pt>
                <c:pt idx="479">
                  <c:v>17.554903489065151</c:v>
                </c:pt>
                <c:pt idx="480">
                  <c:v>17.695428912016872</c:v>
                </c:pt>
                <c:pt idx="481">
                  <c:v>17.835725092843063</c:v>
                </c:pt>
                <c:pt idx="482">
                  <c:v>17.980147631928848</c:v>
                </c:pt>
                <c:pt idx="483">
                  <c:v>18.124340928889097</c:v>
                </c:pt>
                <c:pt idx="484">
                  <c:v>18.264637109715284</c:v>
                </c:pt>
                <c:pt idx="485">
                  <c:v>18.409059648801065</c:v>
                </c:pt>
                <c:pt idx="486">
                  <c:v>18.553252945761315</c:v>
                </c:pt>
                <c:pt idx="487">
                  <c:v>18.701343358855624</c:v>
                </c:pt>
                <c:pt idx="488">
                  <c:v>18.849663014075468</c:v>
                </c:pt>
                <c:pt idx="489">
                  <c:v>18.997753427169776</c:v>
                </c:pt>
                <c:pt idx="490">
                  <c:v>19.149970198523683</c:v>
                </c:pt>
                <c:pt idx="491">
                  <c:v>19.301957727752054</c:v>
                </c:pt>
                <c:pt idx="492">
                  <c:v>19.453945256980422</c:v>
                </c:pt>
                <c:pt idx="493">
                  <c:v>19.606162028334328</c:v>
                </c:pt>
                <c:pt idx="494">
                  <c:v>19.75425244142864</c:v>
                </c:pt>
                <c:pt idx="495">
                  <c:v>19.906239970657008</c:v>
                </c:pt>
                <c:pt idx="496">
                  <c:v>20.054559625876855</c:v>
                </c:pt>
                <c:pt idx="497">
                  <c:v>20.222135619641467</c:v>
                </c:pt>
                <c:pt idx="498">
                  <c:v>20.389940855531613</c:v>
                </c:pt>
                <c:pt idx="499">
                  <c:v>20.557516849296228</c:v>
                </c:pt>
                <c:pt idx="500">
                  <c:v>20.725322085186377</c:v>
                </c:pt>
                <c:pt idx="501">
                  <c:v>20.889000962816926</c:v>
                </c:pt>
                <c:pt idx="502">
                  <c:v>21.060474072715607</c:v>
                </c:pt>
                <c:pt idx="503">
                  <c:v>21.22438219247169</c:v>
                </c:pt>
                <c:pt idx="504">
                  <c:v>21.391958186236302</c:v>
                </c:pt>
                <c:pt idx="505">
                  <c:v>21.555866305992392</c:v>
                </c:pt>
                <c:pt idx="506">
                  <c:v>21.723442299757004</c:v>
                </c:pt>
                <c:pt idx="507">
                  <c:v>21.894915409655678</c:v>
                </c:pt>
                <c:pt idx="508">
                  <c:v>22.062720645545827</c:v>
                </c:pt>
                <c:pt idx="509">
                  <c:v>22.245885103846685</c:v>
                </c:pt>
                <c:pt idx="510">
                  <c:v>22.429278804273071</c:v>
                </c:pt>
                <c:pt idx="511">
                  <c:v>22.612443262573933</c:v>
                </c:pt>
                <c:pt idx="512">
                  <c:v>22.799734079134385</c:v>
                </c:pt>
                <c:pt idx="513">
                  <c:v>22.986107927192702</c:v>
                </c:pt>
                <c:pt idx="514">
                  <c:v>23.169501627619095</c:v>
                </c:pt>
                <c:pt idx="515">
                  <c:v>23.352895328045484</c:v>
                </c:pt>
                <c:pt idx="516">
                  <c:v>23.540873870982534</c:v>
                </c:pt>
                <c:pt idx="517">
                  <c:v>23.724267571408927</c:v>
                </c:pt>
                <c:pt idx="518">
                  <c:v>23.909953693090642</c:v>
                </c:pt>
                <c:pt idx="519">
                  <c:v>24.102517078538355</c:v>
                </c:pt>
                <c:pt idx="520">
                  <c:v>24.288203200220075</c:v>
                </c:pt>
                <c:pt idx="521">
                  <c:v>24.492228691944437</c:v>
                </c:pt>
                <c:pt idx="522">
                  <c:v>24.682499656136816</c:v>
                </c:pt>
                <c:pt idx="523">
                  <c:v>24.875063041584522</c:v>
                </c:pt>
                <c:pt idx="524">
                  <c:v>25.065334005776904</c:v>
                </c:pt>
                <c:pt idx="525">
                  <c:v>25.260189812479947</c:v>
                </c:pt>
                <c:pt idx="526">
                  <c:v>25.455045619182986</c:v>
                </c:pt>
                <c:pt idx="527">
                  <c:v>25.649901425886025</c:v>
                </c:pt>
                <c:pt idx="528">
                  <c:v>25.860804181376366</c:v>
                </c:pt>
                <c:pt idx="529">
                  <c:v>26.055659988079409</c:v>
                </c:pt>
                <c:pt idx="530">
                  <c:v>26.271147586080421</c:v>
                </c:pt>
                <c:pt idx="531">
                  <c:v>26.484342762826095</c:v>
                </c:pt>
                <c:pt idx="532">
                  <c:v>26.690660675805788</c:v>
                </c:pt>
                <c:pt idx="533">
                  <c:v>26.901563431296136</c:v>
                </c:pt>
                <c:pt idx="534">
                  <c:v>27.112466186786488</c:v>
                </c:pt>
                <c:pt idx="535">
                  <c:v>27.323368942276836</c:v>
                </c:pt>
                <c:pt idx="536">
                  <c:v>27.534271697767185</c:v>
                </c:pt>
                <c:pt idx="537">
                  <c:v>27.756636559534179</c:v>
                </c:pt>
                <c:pt idx="538">
                  <c:v>27.981293842556507</c:v>
                </c:pt>
                <c:pt idx="539">
                  <c:v>28.203658704323509</c:v>
                </c:pt>
                <c:pt idx="540">
                  <c:v>28.435193251111826</c:v>
                </c:pt>
                <c:pt idx="541">
                  <c:v>28.659850534134158</c:v>
                </c:pt>
                <c:pt idx="542">
                  <c:v>28.886800238411809</c:v>
                </c:pt>
                <c:pt idx="543">
                  <c:v>29.11374994268947</c:v>
                </c:pt>
                <c:pt idx="544">
                  <c:v>29.338407225711798</c:v>
                </c:pt>
                <c:pt idx="545">
                  <c:v>29.565356929989456</c:v>
                </c:pt>
                <c:pt idx="546">
                  <c:v>29.792306634267113</c:v>
                </c:pt>
                <c:pt idx="547">
                  <c:v>30.016963917289448</c:v>
                </c:pt>
                <c:pt idx="548">
                  <c:v>30.262252991609738</c:v>
                </c:pt>
                <c:pt idx="549">
                  <c:v>30.509834487185369</c:v>
                </c:pt>
                <c:pt idx="550">
                  <c:v>30.75053871899501</c:v>
                </c:pt>
                <c:pt idx="551">
                  <c:v>30.98895052954931</c:v>
                </c:pt>
                <c:pt idx="552">
                  <c:v>31.24570171014626</c:v>
                </c:pt>
                <c:pt idx="553">
                  <c:v>31.495575626977217</c:v>
                </c:pt>
                <c:pt idx="554">
                  <c:v>31.745449543808174</c:v>
                </c:pt>
                <c:pt idx="555">
                  <c:v>31.997615881894458</c:v>
                </c:pt>
                <c:pt idx="556">
                  <c:v>32.252074641236078</c:v>
                </c:pt>
                <c:pt idx="557">
                  <c:v>32.501948558067028</c:v>
                </c:pt>
                <c:pt idx="558">
                  <c:v>32.754114896153318</c:v>
                </c:pt>
                <c:pt idx="559">
                  <c:v>33.008573655494942</c:v>
                </c:pt>
                <c:pt idx="560">
                  <c:v>33.276786942368531</c:v>
                </c:pt>
                <c:pt idx="561">
                  <c:v>33.547292650497461</c:v>
                </c:pt>
                <c:pt idx="562">
                  <c:v>33.810921094860397</c:v>
                </c:pt>
                <c:pt idx="563">
                  <c:v>34.072257117968</c:v>
                </c:pt>
                <c:pt idx="564">
                  <c:v>34.33817798358627</c:v>
                </c:pt>
                <c:pt idx="565">
                  <c:v>34.606391270459859</c:v>
                </c:pt>
                <c:pt idx="566">
                  <c:v>34.872312136078129</c:v>
                </c:pt>
                <c:pt idx="567">
                  <c:v>35.138233001696392</c:v>
                </c:pt>
                <c:pt idx="568">
                  <c:v>35.422493237357301</c:v>
                </c:pt>
                <c:pt idx="569">
                  <c:v>35.706753473018196</c:v>
                </c:pt>
                <c:pt idx="570">
                  <c:v>35.984136444913119</c:v>
                </c:pt>
                <c:pt idx="571">
                  <c:v>36.263811838063368</c:v>
                </c:pt>
                <c:pt idx="572">
                  <c:v>36.545779652468944</c:v>
                </c:pt>
                <c:pt idx="573">
                  <c:v>36.834624730640499</c:v>
                </c:pt>
                <c:pt idx="574">
                  <c:v>37.118884966301408</c:v>
                </c:pt>
                <c:pt idx="575">
                  <c:v>37.419192150749623</c:v>
                </c:pt>
                <c:pt idx="576">
                  <c:v>37.721791756453172</c:v>
                </c:pt>
                <c:pt idx="577">
                  <c:v>38.010636834624727</c:v>
                </c:pt>
                <c:pt idx="578">
                  <c:v>38.320113704094268</c:v>
                </c:pt>
                <c:pt idx="579">
                  <c:v>38.62271330979781</c:v>
                </c:pt>
                <c:pt idx="580">
                  <c:v>38.932190179267344</c:v>
                </c:pt>
                <c:pt idx="581">
                  <c:v>39.234789784970886</c:v>
                </c:pt>
                <c:pt idx="582">
                  <c:v>39.539681811929761</c:v>
                </c:pt>
                <c:pt idx="583">
                  <c:v>39.856035945165281</c:v>
                </c:pt>
                <c:pt idx="584">
                  <c:v>40.174682499656143</c:v>
                </c:pt>
                <c:pt idx="585">
                  <c:v>40.491036632891664</c:v>
                </c:pt>
                <c:pt idx="586">
                  <c:v>40.802805923616532</c:v>
                </c:pt>
                <c:pt idx="587">
                  <c:v>41.126037320618039</c:v>
                </c:pt>
                <c:pt idx="588">
                  <c:v>41.458438402640873</c:v>
                </c:pt>
                <c:pt idx="589">
                  <c:v>41.781669799642387</c:v>
                </c:pt>
                <c:pt idx="590">
                  <c:v>42.104901196643894</c:v>
                </c:pt>
                <c:pt idx="591">
                  <c:v>42.444179542432721</c:v>
                </c:pt>
                <c:pt idx="592">
                  <c:v>42.783457888221541</c:v>
                </c:pt>
                <c:pt idx="593">
                  <c:v>43.111274127733715</c:v>
                </c:pt>
                <c:pt idx="594">
                  <c:v>43.445967631011882</c:v>
                </c:pt>
                <c:pt idx="595">
                  <c:v>43.785245976800702</c:v>
                </c:pt>
                <c:pt idx="596">
                  <c:v>44.124524322589522</c:v>
                </c:pt>
                <c:pt idx="597">
                  <c:v>44.472972353399662</c:v>
                </c:pt>
                <c:pt idx="598">
                  <c:v>44.819127962954475</c:v>
                </c:pt>
                <c:pt idx="599">
                  <c:v>45.162991151253955</c:v>
                </c:pt>
                <c:pt idx="600">
                  <c:v>45.525193709596081</c:v>
                </c:pt>
                <c:pt idx="601">
                  <c:v>45.875934161661547</c:v>
                </c:pt>
                <c:pt idx="602">
                  <c:v>46.23125945623768</c:v>
                </c:pt>
                <c:pt idx="603">
                  <c:v>46.588877172069139</c:v>
                </c:pt>
                <c:pt idx="604">
                  <c:v>46.955664572921926</c:v>
                </c:pt>
                <c:pt idx="605">
                  <c:v>47.294942918710746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11-4E5F-A276-BA0CB03309DB}"/>
            </c:ext>
          </c:extLst>
        </c:ser>
        <c:ser>
          <c:idx val="2"/>
          <c:order val="1"/>
          <c:tx>
            <c:strRef>
              <c:f>{"A11-2"}</c:f>
              <c:strCache>
                <c:ptCount val="1"/>
                <c:pt idx="0">
                  <c:v>A11-2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'A11-4'!$C$2:$C$715</c:f>
              <c:numCache>
                <c:formatCode>0.00</c:formatCode>
                <c:ptCount val="714"/>
                <c:pt idx="0">
                  <c:v>1.1166999999999999E-4</c:v>
                </c:pt>
                <c:pt idx="1">
                  <c:v>6.5605999999999998E-3</c:v>
                </c:pt>
                <c:pt idx="2">
                  <c:v>6.6163999999999997E-3</c:v>
                </c:pt>
                <c:pt idx="3">
                  <c:v>6.6722000000000005E-3</c:v>
                </c:pt>
                <c:pt idx="4">
                  <c:v>6.7279999999999996E-3</c:v>
                </c:pt>
                <c:pt idx="5">
                  <c:v>6.7840000000000001E-3</c:v>
                </c:pt>
                <c:pt idx="6">
                  <c:v>6.8379999999999995E-3</c:v>
                </c:pt>
                <c:pt idx="7">
                  <c:v>6.8955999999999991E-3</c:v>
                </c:pt>
                <c:pt idx="8">
                  <c:v>6.9496000000000002E-3</c:v>
                </c:pt>
                <c:pt idx="9">
                  <c:v>7.0071999999999999E-3</c:v>
                </c:pt>
                <c:pt idx="10">
                  <c:v>7.0612000000000001E-3</c:v>
                </c:pt>
                <c:pt idx="11">
                  <c:v>7.1189999999999995E-3</c:v>
                </c:pt>
                <c:pt idx="12">
                  <c:v>7.1730000000000006E-3</c:v>
                </c:pt>
                <c:pt idx="13">
                  <c:v>7.2287999999999996E-3</c:v>
                </c:pt>
                <c:pt idx="14">
                  <c:v>7.2845999999999996E-3</c:v>
                </c:pt>
                <c:pt idx="15">
                  <c:v>7.3663999999999995E-3</c:v>
                </c:pt>
                <c:pt idx="16">
                  <c:v>7.4224E-3</c:v>
                </c:pt>
                <c:pt idx="17">
                  <c:v>7.5060000000000005E-3</c:v>
                </c:pt>
                <c:pt idx="18">
                  <c:v>7.5880000000000001E-3</c:v>
                </c:pt>
                <c:pt idx="19">
                  <c:v>7.6455999999999998E-3</c:v>
                </c:pt>
                <c:pt idx="20">
                  <c:v>7.7276000000000003E-3</c:v>
                </c:pt>
                <c:pt idx="21">
                  <c:v>7.8112000000000008E-3</c:v>
                </c:pt>
                <c:pt idx="22">
                  <c:v>7.8931999999999995E-3</c:v>
                </c:pt>
                <c:pt idx="23">
                  <c:v>7.9769999999999997E-3</c:v>
                </c:pt>
                <c:pt idx="24">
                  <c:v>8.0625999999999996E-3</c:v>
                </c:pt>
                <c:pt idx="25">
                  <c:v>8.1444000000000013E-3</c:v>
                </c:pt>
                <c:pt idx="26">
                  <c:v>8.2281999999999998E-3</c:v>
                </c:pt>
                <c:pt idx="27">
                  <c:v>8.3099999999999997E-3</c:v>
                </c:pt>
                <c:pt idx="28">
                  <c:v>8.3937999999999999E-3</c:v>
                </c:pt>
                <c:pt idx="29">
                  <c:v>8.4776000000000001E-3</c:v>
                </c:pt>
                <c:pt idx="30">
                  <c:v>8.5614000000000003E-3</c:v>
                </c:pt>
                <c:pt idx="31">
                  <c:v>8.6449999999999999E-3</c:v>
                </c:pt>
                <c:pt idx="32">
                  <c:v>8.7288000000000001E-3</c:v>
                </c:pt>
                <c:pt idx="33">
                  <c:v>8.8088000000000003E-3</c:v>
                </c:pt>
                <c:pt idx="34">
                  <c:v>8.8944000000000002E-3</c:v>
                </c:pt>
                <c:pt idx="35">
                  <c:v>8.9781999999999987E-3</c:v>
                </c:pt>
                <c:pt idx="36">
                  <c:v>9.0620000000000006E-3</c:v>
                </c:pt>
                <c:pt idx="37">
                  <c:v>9.1438000000000005E-3</c:v>
                </c:pt>
                <c:pt idx="38">
                  <c:v>9.2276000000000007E-3</c:v>
                </c:pt>
                <c:pt idx="39">
                  <c:v>9.3113999999999992E-3</c:v>
                </c:pt>
                <c:pt idx="40">
                  <c:v>9.3951999999999994E-3</c:v>
                </c:pt>
                <c:pt idx="41">
                  <c:v>9.478799999999999E-3</c:v>
                </c:pt>
                <c:pt idx="42">
                  <c:v>9.5608000000000012E-3</c:v>
                </c:pt>
                <c:pt idx="43">
                  <c:v>9.6445999999999997E-3</c:v>
                </c:pt>
                <c:pt idx="44">
                  <c:v>9.7263999999999996E-3</c:v>
                </c:pt>
                <c:pt idx="45">
                  <c:v>9.8119999999999995E-3</c:v>
                </c:pt>
                <c:pt idx="46">
                  <c:v>9.894E-3</c:v>
                </c:pt>
                <c:pt idx="47">
                  <c:v>9.9775999999999997E-3</c:v>
                </c:pt>
                <c:pt idx="48">
                  <c:v>1.00596E-2</c:v>
                </c:pt>
                <c:pt idx="49">
                  <c:v>1.01434E-2</c:v>
                </c:pt>
                <c:pt idx="50">
                  <c:v>1.0227E-2</c:v>
                </c:pt>
                <c:pt idx="51">
                  <c:v>1.03108E-2</c:v>
                </c:pt>
                <c:pt idx="52">
                  <c:v>1.03946E-2</c:v>
                </c:pt>
                <c:pt idx="53">
                  <c:v>1.0476399999999999E-2</c:v>
                </c:pt>
                <c:pt idx="54">
                  <c:v>1.0560199999999999E-2</c:v>
                </c:pt>
                <c:pt idx="55">
                  <c:v>1.0644000000000001E-2</c:v>
                </c:pt>
                <c:pt idx="56">
                  <c:v>1.0727800000000001E-2</c:v>
                </c:pt>
                <c:pt idx="57">
                  <c:v>1.0811400000000001E-2</c:v>
                </c:pt>
                <c:pt idx="58">
                  <c:v>1.0895200000000001E-2</c:v>
                </c:pt>
                <c:pt idx="59">
                  <c:v>1.1006999999999999E-2</c:v>
                </c:pt>
                <c:pt idx="60">
                  <c:v>1.11168E-2</c:v>
                </c:pt>
                <c:pt idx="61">
                  <c:v>1.1228400000000001E-2</c:v>
                </c:pt>
                <c:pt idx="62">
                  <c:v>1.1339999999999999E-2</c:v>
                </c:pt>
                <c:pt idx="63">
                  <c:v>1.1449800000000001E-2</c:v>
                </c:pt>
                <c:pt idx="64">
                  <c:v>1.15616E-2</c:v>
                </c:pt>
                <c:pt idx="65">
                  <c:v>1.16732E-2</c:v>
                </c:pt>
                <c:pt idx="66">
                  <c:v>1.1782999999999998E-2</c:v>
                </c:pt>
                <c:pt idx="67">
                  <c:v>1.18946E-2</c:v>
                </c:pt>
                <c:pt idx="68">
                  <c:v>1.2006399999999999E-2</c:v>
                </c:pt>
                <c:pt idx="69">
                  <c:v>1.2116199999999999E-2</c:v>
                </c:pt>
                <c:pt idx="70">
                  <c:v>1.2225999999999999E-2</c:v>
                </c:pt>
                <c:pt idx="71">
                  <c:v>1.2337599999999999E-2</c:v>
                </c:pt>
                <c:pt idx="72">
                  <c:v>1.2449200000000001E-2</c:v>
                </c:pt>
                <c:pt idx="73">
                  <c:v>1.2560999999999999E-2</c:v>
                </c:pt>
                <c:pt idx="74">
                  <c:v>1.2672600000000001E-2</c:v>
                </c:pt>
                <c:pt idx="75">
                  <c:v>1.27844E-2</c:v>
                </c:pt>
                <c:pt idx="76">
                  <c:v>1.2896000000000001E-2</c:v>
                </c:pt>
                <c:pt idx="77">
                  <c:v>1.3005800000000001E-2</c:v>
                </c:pt>
                <c:pt idx="78">
                  <c:v>1.31174E-2</c:v>
                </c:pt>
                <c:pt idx="79">
                  <c:v>1.3229200000000002E-2</c:v>
                </c:pt>
                <c:pt idx="80">
                  <c:v>1.3339E-2</c:v>
                </c:pt>
                <c:pt idx="81">
                  <c:v>1.34488E-2</c:v>
                </c:pt>
                <c:pt idx="82">
                  <c:v>1.3560399999999998E-2</c:v>
                </c:pt>
                <c:pt idx="83">
                  <c:v>1.3672E-2</c:v>
                </c:pt>
                <c:pt idx="84">
                  <c:v>1.37818E-2</c:v>
                </c:pt>
                <c:pt idx="85">
                  <c:v>1.3893599999999999E-2</c:v>
                </c:pt>
                <c:pt idx="86">
                  <c:v>1.4005200000000001E-2</c:v>
                </c:pt>
                <c:pt idx="87">
                  <c:v>1.4116800000000001E-2</c:v>
                </c:pt>
                <c:pt idx="88">
                  <c:v>1.4228600000000001E-2</c:v>
                </c:pt>
                <c:pt idx="89">
                  <c:v>1.4340200000000001E-2</c:v>
                </c:pt>
                <c:pt idx="90">
                  <c:v>1.4478E-2</c:v>
                </c:pt>
                <c:pt idx="91">
                  <c:v>1.4589600000000001E-2</c:v>
                </c:pt>
                <c:pt idx="92">
                  <c:v>1.47274E-2</c:v>
                </c:pt>
                <c:pt idx="93">
                  <c:v>1.4866999999999998E-2</c:v>
                </c:pt>
                <c:pt idx="94">
                  <c:v>1.50046E-2</c:v>
                </c:pt>
                <c:pt idx="95">
                  <c:v>1.5144200000000002E-2</c:v>
                </c:pt>
                <c:pt idx="96">
                  <c:v>1.52838E-2</c:v>
                </c:pt>
                <c:pt idx="97">
                  <c:v>1.5421600000000001E-2</c:v>
                </c:pt>
                <c:pt idx="98">
                  <c:v>1.5561199999999999E-2</c:v>
                </c:pt>
                <c:pt idx="99">
                  <c:v>1.5700800000000001E-2</c:v>
                </c:pt>
                <c:pt idx="100">
                  <c:v>1.5838399999999999E-2</c:v>
                </c:pt>
                <c:pt idx="101">
                  <c:v>1.5978000000000003E-2</c:v>
                </c:pt>
                <c:pt idx="102">
                  <c:v>1.6117599999999999E-2</c:v>
                </c:pt>
                <c:pt idx="103">
                  <c:v>1.62536E-2</c:v>
                </c:pt>
                <c:pt idx="104">
                  <c:v>1.6395E-2</c:v>
                </c:pt>
                <c:pt idx="105">
                  <c:v>1.65346E-2</c:v>
                </c:pt>
                <c:pt idx="106">
                  <c:v>1.6672199999999998E-2</c:v>
                </c:pt>
                <c:pt idx="107">
                  <c:v>1.6811799999999998E-2</c:v>
                </c:pt>
                <c:pt idx="108">
                  <c:v>1.6949599999999999E-2</c:v>
                </c:pt>
                <c:pt idx="109">
                  <c:v>1.7089199999999999E-2</c:v>
                </c:pt>
                <c:pt idx="110">
                  <c:v>1.7228799999999999E-2</c:v>
                </c:pt>
                <c:pt idx="111">
                  <c:v>1.7366400000000001E-2</c:v>
                </c:pt>
                <c:pt idx="112">
                  <c:v>1.7504200000000001E-2</c:v>
                </c:pt>
                <c:pt idx="113">
                  <c:v>1.7643800000000001E-2</c:v>
                </c:pt>
                <c:pt idx="114">
                  <c:v>1.7783400000000001E-2</c:v>
                </c:pt>
                <c:pt idx="115">
                  <c:v>1.7921199999999998E-2</c:v>
                </c:pt>
                <c:pt idx="116">
                  <c:v>1.8062599999999998E-2</c:v>
                </c:pt>
                <c:pt idx="117">
                  <c:v>1.82282E-2</c:v>
                </c:pt>
                <c:pt idx="118">
                  <c:v>1.83958E-2</c:v>
                </c:pt>
                <c:pt idx="119">
                  <c:v>1.8561399999999999E-2</c:v>
                </c:pt>
                <c:pt idx="120">
                  <c:v>1.8727000000000001E-2</c:v>
                </c:pt>
                <c:pt idx="121">
                  <c:v>1.8894399999999999E-2</c:v>
                </c:pt>
                <c:pt idx="122">
                  <c:v>1.9060199999999999E-2</c:v>
                </c:pt>
                <c:pt idx="123">
                  <c:v>1.9227600000000001E-2</c:v>
                </c:pt>
                <c:pt idx="124">
                  <c:v>1.9395199999999998E-2</c:v>
                </c:pt>
                <c:pt idx="125">
                  <c:v>1.95608E-2</c:v>
                </c:pt>
                <c:pt idx="126">
                  <c:v>1.9728200000000001E-2</c:v>
                </c:pt>
                <c:pt idx="127">
                  <c:v>1.9894000000000002E-2</c:v>
                </c:pt>
                <c:pt idx="128">
                  <c:v>2.0062000000000003E-2</c:v>
                </c:pt>
                <c:pt idx="129">
                  <c:v>2.0228000000000003E-2</c:v>
                </c:pt>
                <c:pt idx="130">
                  <c:v>2.0394000000000002E-2</c:v>
                </c:pt>
                <c:pt idx="131">
                  <c:v>2.0562E-2</c:v>
                </c:pt>
                <c:pt idx="132">
                  <c:v>2.0728E-2</c:v>
                </c:pt>
                <c:pt idx="133">
                  <c:v>2.0893999999999999E-2</c:v>
                </c:pt>
                <c:pt idx="134">
                  <c:v>2.1059999999999999E-2</c:v>
                </c:pt>
                <c:pt idx="135">
                  <c:v>2.1225999999999998E-2</c:v>
                </c:pt>
                <c:pt idx="136">
                  <c:v>2.1394000000000003E-2</c:v>
                </c:pt>
                <c:pt idx="137">
                  <c:v>2.1562000000000001E-2</c:v>
                </c:pt>
                <c:pt idx="138">
                  <c:v>2.1756000000000001E-2</c:v>
                </c:pt>
                <c:pt idx="139">
                  <c:v>2.1949999999999997E-2</c:v>
                </c:pt>
                <c:pt idx="140">
                  <c:v>2.2144E-2</c:v>
                </c:pt>
                <c:pt idx="141">
                  <c:v>2.2339999999999999E-2</c:v>
                </c:pt>
                <c:pt idx="142">
                  <c:v>2.2534000000000002E-2</c:v>
                </c:pt>
                <c:pt idx="143">
                  <c:v>2.2728000000000002E-2</c:v>
                </c:pt>
                <c:pt idx="144">
                  <c:v>2.2921999999999998E-2</c:v>
                </c:pt>
                <c:pt idx="145">
                  <c:v>2.3118E-2</c:v>
                </c:pt>
                <c:pt idx="146">
                  <c:v>2.3311999999999999E-2</c:v>
                </c:pt>
                <c:pt idx="147">
                  <c:v>2.3504000000000001E-2</c:v>
                </c:pt>
                <c:pt idx="148">
                  <c:v>2.3698E-2</c:v>
                </c:pt>
                <c:pt idx="149">
                  <c:v>2.3894000000000002E-2</c:v>
                </c:pt>
                <c:pt idx="150">
                  <c:v>2.4087999999999998E-2</c:v>
                </c:pt>
                <c:pt idx="151">
                  <c:v>2.4284E-2</c:v>
                </c:pt>
                <c:pt idx="152">
                  <c:v>2.4478E-2</c:v>
                </c:pt>
                <c:pt idx="153">
                  <c:v>2.4671999999999999E-2</c:v>
                </c:pt>
                <c:pt idx="154">
                  <c:v>2.4866000000000003E-2</c:v>
                </c:pt>
                <c:pt idx="155">
                  <c:v>2.5006E-2</c:v>
                </c:pt>
                <c:pt idx="156">
                  <c:v>2.52E-2</c:v>
                </c:pt>
                <c:pt idx="157">
                  <c:v>2.5424000000000002E-2</c:v>
                </c:pt>
                <c:pt idx="158">
                  <c:v>2.5644E-2</c:v>
                </c:pt>
                <c:pt idx="159">
                  <c:v>2.5865999999999997E-2</c:v>
                </c:pt>
                <c:pt idx="160">
                  <c:v>2.6088E-2</c:v>
                </c:pt>
                <c:pt idx="161">
                  <c:v>2.6312000000000002E-2</c:v>
                </c:pt>
                <c:pt idx="162">
                  <c:v>2.6532E-2</c:v>
                </c:pt>
                <c:pt idx="163">
                  <c:v>2.6756000000000002E-2</c:v>
                </c:pt>
                <c:pt idx="164">
                  <c:v>2.6977999999999999E-2</c:v>
                </c:pt>
                <c:pt idx="165">
                  <c:v>2.7200000000000002E-2</c:v>
                </c:pt>
                <c:pt idx="166">
                  <c:v>2.742E-2</c:v>
                </c:pt>
                <c:pt idx="167">
                  <c:v>2.7646E-2</c:v>
                </c:pt>
                <c:pt idx="168">
                  <c:v>2.7868E-2</c:v>
                </c:pt>
                <c:pt idx="169">
                  <c:v>2.8088000000000002E-2</c:v>
                </c:pt>
                <c:pt idx="170">
                  <c:v>2.8312E-2</c:v>
                </c:pt>
                <c:pt idx="171">
                  <c:v>2.8534E-2</c:v>
                </c:pt>
                <c:pt idx="172">
                  <c:v>2.8753999999999998E-2</c:v>
                </c:pt>
                <c:pt idx="173">
                  <c:v>2.9005999999999997E-2</c:v>
                </c:pt>
                <c:pt idx="174">
                  <c:v>2.9256000000000001E-2</c:v>
                </c:pt>
                <c:pt idx="175">
                  <c:v>2.9506000000000001E-2</c:v>
                </c:pt>
                <c:pt idx="176">
                  <c:v>2.9756000000000001E-2</c:v>
                </c:pt>
                <c:pt idx="177">
                  <c:v>3.0005999999999998E-2</c:v>
                </c:pt>
                <c:pt idx="178">
                  <c:v>3.0255999999999998E-2</c:v>
                </c:pt>
                <c:pt idx="179">
                  <c:v>3.0506000000000002E-2</c:v>
                </c:pt>
                <c:pt idx="180">
                  <c:v>3.0756000000000002E-2</c:v>
                </c:pt>
                <c:pt idx="181">
                  <c:v>3.1005999999999999E-2</c:v>
                </c:pt>
                <c:pt idx="182">
                  <c:v>3.1253999999999997E-2</c:v>
                </c:pt>
                <c:pt idx="183">
                  <c:v>3.1505999999999999E-2</c:v>
                </c:pt>
                <c:pt idx="184">
                  <c:v>3.1756E-2</c:v>
                </c:pt>
                <c:pt idx="185">
                  <c:v>3.2006E-2</c:v>
                </c:pt>
                <c:pt idx="186">
                  <c:v>3.2256E-2</c:v>
                </c:pt>
                <c:pt idx="187">
                  <c:v>3.2534E-2</c:v>
                </c:pt>
                <c:pt idx="188">
                  <c:v>3.2809999999999999E-2</c:v>
                </c:pt>
                <c:pt idx="189">
                  <c:v>3.3090000000000001E-2</c:v>
                </c:pt>
                <c:pt idx="190">
                  <c:v>3.3366E-2</c:v>
                </c:pt>
                <c:pt idx="191">
                  <c:v>3.3644E-2</c:v>
                </c:pt>
                <c:pt idx="192">
                  <c:v>3.3922000000000001E-2</c:v>
                </c:pt>
                <c:pt idx="193">
                  <c:v>3.4200000000000001E-2</c:v>
                </c:pt>
                <c:pt idx="194">
                  <c:v>3.4478000000000002E-2</c:v>
                </c:pt>
                <c:pt idx="195">
                  <c:v>3.4644000000000001E-2</c:v>
                </c:pt>
                <c:pt idx="196">
                  <c:v>3.4894000000000001E-2</c:v>
                </c:pt>
                <c:pt idx="197">
                  <c:v>3.517E-2</c:v>
                </c:pt>
                <c:pt idx="198">
                  <c:v>3.5450000000000002E-2</c:v>
                </c:pt>
                <c:pt idx="199">
                  <c:v>3.5728000000000003E-2</c:v>
                </c:pt>
                <c:pt idx="200">
                  <c:v>3.6006000000000003E-2</c:v>
                </c:pt>
                <c:pt idx="201">
                  <c:v>3.6312000000000004E-2</c:v>
                </c:pt>
                <c:pt idx="202">
                  <c:v>3.6616000000000003E-2</c:v>
                </c:pt>
                <c:pt idx="203">
                  <c:v>3.6922000000000003E-2</c:v>
                </c:pt>
                <c:pt idx="204">
                  <c:v>3.7226000000000002E-2</c:v>
                </c:pt>
                <c:pt idx="205">
                  <c:v>3.7533999999999998E-2</c:v>
                </c:pt>
                <c:pt idx="206">
                  <c:v>3.7839999999999999E-2</c:v>
                </c:pt>
                <c:pt idx="207">
                  <c:v>3.8143999999999997E-2</c:v>
                </c:pt>
                <c:pt idx="208">
                  <c:v>3.8450000000000005E-2</c:v>
                </c:pt>
                <c:pt idx="209">
                  <c:v>3.8755999999999999E-2</c:v>
                </c:pt>
                <c:pt idx="210">
                  <c:v>3.8977999999999999E-2</c:v>
                </c:pt>
                <c:pt idx="211">
                  <c:v>3.9283999999999999E-2</c:v>
                </c:pt>
                <c:pt idx="212">
                  <c:v>3.9587999999999998E-2</c:v>
                </c:pt>
                <c:pt idx="213">
                  <c:v>3.9809999999999998E-2</c:v>
                </c:pt>
                <c:pt idx="214">
                  <c:v>4.0115999999999999E-2</c:v>
                </c:pt>
                <c:pt idx="215">
                  <c:v>4.0422E-2</c:v>
                </c:pt>
                <c:pt idx="216">
                  <c:v>4.0646000000000002E-2</c:v>
                </c:pt>
                <c:pt idx="217">
                  <c:v>4.0866E-2</c:v>
                </c:pt>
                <c:pt idx="218">
                  <c:v>4.1031999999999999E-2</c:v>
                </c:pt>
                <c:pt idx="219">
                  <c:v>4.1200000000000001E-2</c:v>
                </c:pt>
                <c:pt idx="220">
                  <c:v>4.1365999999999993E-2</c:v>
                </c:pt>
                <c:pt idx="221">
                  <c:v>4.1534000000000001E-2</c:v>
                </c:pt>
                <c:pt idx="222">
                  <c:v>4.1672000000000001E-2</c:v>
                </c:pt>
                <c:pt idx="223">
                  <c:v>4.1838E-2</c:v>
                </c:pt>
                <c:pt idx="224">
                  <c:v>4.2004E-2</c:v>
                </c:pt>
                <c:pt idx="225">
                  <c:v>4.2144000000000001E-2</c:v>
                </c:pt>
                <c:pt idx="226">
                  <c:v>4.231E-2</c:v>
                </c:pt>
                <c:pt idx="227">
                  <c:v>4.2450000000000002E-2</c:v>
                </c:pt>
                <c:pt idx="228">
                  <c:v>4.2588000000000001E-2</c:v>
                </c:pt>
                <c:pt idx="229">
                  <c:v>4.2754E-2</c:v>
                </c:pt>
                <c:pt idx="230">
                  <c:v>4.2893999999999995E-2</c:v>
                </c:pt>
                <c:pt idx="231">
                  <c:v>4.3033999999999996E-2</c:v>
                </c:pt>
                <c:pt idx="232">
                  <c:v>4.3174000000000004E-2</c:v>
                </c:pt>
                <c:pt idx="233">
                  <c:v>4.3311999999999996E-2</c:v>
                </c:pt>
                <c:pt idx="234">
                  <c:v>4.3449999999999996E-2</c:v>
                </c:pt>
                <c:pt idx="235">
                  <c:v>4.3589999999999997E-2</c:v>
                </c:pt>
                <c:pt idx="236">
                  <c:v>4.3727999999999996E-2</c:v>
                </c:pt>
                <c:pt idx="237">
                  <c:v>4.3895999999999998E-2</c:v>
                </c:pt>
                <c:pt idx="238">
                  <c:v>4.4062000000000004E-2</c:v>
                </c:pt>
                <c:pt idx="239">
                  <c:v>4.4198000000000001E-2</c:v>
                </c:pt>
                <c:pt idx="240">
                  <c:v>4.4366000000000003E-2</c:v>
                </c:pt>
                <c:pt idx="241">
                  <c:v>4.4534000000000004E-2</c:v>
                </c:pt>
                <c:pt idx="242">
                  <c:v>4.4699999999999997E-2</c:v>
                </c:pt>
                <c:pt idx="243">
                  <c:v>4.4839999999999998E-2</c:v>
                </c:pt>
                <c:pt idx="244">
                  <c:v>4.4950000000000004E-2</c:v>
                </c:pt>
                <c:pt idx="245">
                  <c:v>4.5087999999999996E-2</c:v>
                </c:pt>
                <c:pt idx="246">
                  <c:v>4.5199999999999997E-2</c:v>
                </c:pt>
                <c:pt idx="247">
                  <c:v>4.5339999999999998E-2</c:v>
                </c:pt>
                <c:pt idx="248">
                  <c:v>4.5449999999999997E-2</c:v>
                </c:pt>
                <c:pt idx="249">
                  <c:v>4.5589999999999999E-2</c:v>
                </c:pt>
                <c:pt idx="250">
                  <c:v>4.5700000000000005E-2</c:v>
                </c:pt>
                <c:pt idx="251">
                  <c:v>4.5810000000000003E-2</c:v>
                </c:pt>
                <c:pt idx="252">
                  <c:v>4.5949999999999998E-2</c:v>
                </c:pt>
                <c:pt idx="253">
                  <c:v>4.6059999999999997E-2</c:v>
                </c:pt>
                <c:pt idx="254">
                  <c:v>4.6199999999999998E-2</c:v>
                </c:pt>
                <c:pt idx="255">
                  <c:v>4.6311999999999999E-2</c:v>
                </c:pt>
                <c:pt idx="256">
                  <c:v>4.6421999999999998E-2</c:v>
                </c:pt>
                <c:pt idx="257">
                  <c:v>4.6559999999999997E-2</c:v>
                </c:pt>
                <c:pt idx="258">
                  <c:v>4.6669999999999996E-2</c:v>
                </c:pt>
                <c:pt idx="259">
                  <c:v>4.6783999999999999E-2</c:v>
                </c:pt>
                <c:pt idx="260">
                  <c:v>4.6896000000000007E-2</c:v>
                </c:pt>
                <c:pt idx="261">
                  <c:v>4.7033999999999999E-2</c:v>
                </c:pt>
                <c:pt idx="262">
                  <c:v>4.7146E-2</c:v>
                </c:pt>
                <c:pt idx="263">
                  <c:v>4.7253999999999997E-2</c:v>
                </c:pt>
                <c:pt idx="264">
                  <c:v>4.7337999999999998E-2</c:v>
                </c:pt>
                <c:pt idx="265">
                  <c:v>4.7449999999999999E-2</c:v>
                </c:pt>
                <c:pt idx="266">
                  <c:v>4.7560000000000005E-2</c:v>
                </c:pt>
                <c:pt idx="267">
                  <c:v>4.7671999999999999E-2</c:v>
                </c:pt>
                <c:pt idx="268">
                  <c:v>4.7784000000000007E-2</c:v>
                </c:pt>
                <c:pt idx="269">
                  <c:v>4.7893999999999999E-2</c:v>
                </c:pt>
                <c:pt idx="270">
                  <c:v>4.8006E-2</c:v>
                </c:pt>
                <c:pt idx="271">
                  <c:v>4.8087999999999999E-2</c:v>
                </c:pt>
                <c:pt idx="272">
                  <c:v>4.8197999999999998E-2</c:v>
                </c:pt>
                <c:pt idx="273">
                  <c:v>4.8284000000000001E-2</c:v>
                </c:pt>
                <c:pt idx="274">
                  <c:v>4.8394000000000006E-2</c:v>
                </c:pt>
                <c:pt idx="275">
                  <c:v>4.8478E-2</c:v>
                </c:pt>
                <c:pt idx="276">
                  <c:v>4.8590000000000001E-2</c:v>
                </c:pt>
                <c:pt idx="277">
                  <c:v>4.8672000000000007E-2</c:v>
                </c:pt>
                <c:pt idx="278">
                  <c:v>4.8781999999999999E-2</c:v>
                </c:pt>
                <c:pt idx="279">
                  <c:v>4.8894E-2</c:v>
                </c:pt>
                <c:pt idx="280">
                  <c:v>4.8978000000000001E-2</c:v>
                </c:pt>
                <c:pt idx="281">
                  <c:v>4.9062000000000001E-2</c:v>
                </c:pt>
                <c:pt idx="282">
                  <c:v>4.9172E-2</c:v>
                </c:pt>
                <c:pt idx="283">
                  <c:v>4.9284000000000001E-2</c:v>
                </c:pt>
                <c:pt idx="284">
                  <c:v>4.9367999999999995E-2</c:v>
                </c:pt>
                <c:pt idx="285">
                  <c:v>4.9450000000000001E-2</c:v>
                </c:pt>
                <c:pt idx="286">
                  <c:v>4.9560000000000007E-2</c:v>
                </c:pt>
                <c:pt idx="287">
                  <c:v>4.9672000000000001E-2</c:v>
                </c:pt>
                <c:pt idx="288">
                  <c:v>4.9753999999999993E-2</c:v>
                </c:pt>
                <c:pt idx="289">
                  <c:v>4.9837999999999993E-2</c:v>
                </c:pt>
                <c:pt idx="290">
                  <c:v>4.9950000000000001E-2</c:v>
                </c:pt>
                <c:pt idx="291">
                  <c:v>5.006E-2</c:v>
                </c:pt>
                <c:pt idx="292">
                  <c:v>5.0172000000000001E-2</c:v>
                </c:pt>
                <c:pt idx="293">
                  <c:v>5.0282E-2</c:v>
                </c:pt>
                <c:pt idx="294">
                  <c:v>5.0364000000000006E-2</c:v>
                </c:pt>
                <c:pt idx="295">
                  <c:v>5.0450000000000002E-2</c:v>
                </c:pt>
                <c:pt idx="296">
                  <c:v>5.0533999999999996E-2</c:v>
                </c:pt>
                <c:pt idx="297">
                  <c:v>5.0617999999999996E-2</c:v>
                </c:pt>
                <c:pt idx="298">
                  <c:v>5.0728000000000002E-2</c:v>
                </c:pt>
                <c:pt idx="299">
                  <c:v>5.0811999999999996E-2</c:v>
                </c:pt>
                <c:pt idx="300">
                  <c:v>5.0894000000000002E-2</c:v>
                </c:pt>
                <c:pt idx="301">
                  <c:v>5.0978000000000002E-2</c:v>
                </c:pt>
                <c:pt idx="302">
                  <c:v>5.1062000000000003E-2</c:v>
                </c:pt>
                <c:pt idx="303">
                  <c:v>5.1143999999999995E-2</c:v>
                </c:pt>
                <c:pt idx="304">
                  <c:v>5.1256000000000003E-2</c:v>
                </c:pt>
                <c:pt idx="305">
                  <c:v>5.1338000000000002E-2</c:v>
                </c:pt>
                <c:pt idx="306">
                  <c:v>5.1421999999999995E-2</c:v>
                </c:pt>
                <c:pt idx="307">
                  <c:v>5.1505999999999996E-2</c:v>
                </c:pt>
                <c:pt idx="308">
                  <c:v>5.1589999999999997E-2</c:v>
                </c:pt>
                <c:pt idx="309">
                  <c:v>5.1673999999999998E-2</c:v>
                </c:pt>
                <c:pt idx="310">
                  <c:v>5.1756000000000003E-2</c:v>
                </c:pt>
                <c:pt idx="311">
                  <c:v>5.1837999999999995E-2</c:v>
                </c:pt>
                <c:pt idx="312">
                  <c:v>5.1920000000000001E-2</c:v>
                </c:pt>
                <c:pt idx="313">
                  <c:v>5.2005999999999997E-2</c:v>
                </c:pt>
                <c:pt idx="314">
                  <c:v>5.2088000000000002E-2</c:v>
                </c:pt>
                <c:pt idx="315">
                  <c:v>5.2172000000000003E-2</c:v>
                </c:pt>
                <c:pt idx="316">
                  <c:v>5.2255999999999997E-2</c:v>
                </c:pt>
                <c:pt idx="317">
                  <c:v>5.2337999999999996E-2</c:v>
                </c:pt>
                <c:pt idx="318">
                  <c:v>5.2423999999999998E-2</c:v>
                </c:pt>
                <c:pt idx="319">
                  <c:v>5.2506000000000004E-2</c:v>
                </c:pt>
                <c:pt idx="320">
                  <c:v>5.2587999999999996E-2</c:v>
                </c:pt>
                <c:pt idx="321">
                  <c:v>5.2671999999999997E-2</c:v>
                </c:pt>
                <c:pt idx="322">
                  <c:v>5.2754000000000002E-2</c:v>
                </c:pt>
                <c:pt idx="323">
                  <c:v>5.2838000000000003E-2</c:v>
                </c:pt>
                <c:pt idx="324">
                  <c:v>5.2922000000000004E-2</c:v>
                </c:pt>
                <c:pt idx="325">
                  <c:v>5.3006000000000005E-2</c:v>
                </c:pt>
                <c:pt idx="326">
                  <c:v>5.3089999999999998E-2</c:v>
                </c:pt>
                <c:pt idx="327">
                  <c:v>5.3171999999999997E-2</c:v>
                </c:pt>
                <c:pt idx="328">
                  <c:v>5.3255999999999998E-2</c:v>
                </c:pt>
                <c:pt idx="329">
                  <c:v>5.3338000000000003E-2</c:v>
                </c:pt>
                <c:pt idx="330">
                  <c:v>5.3421999999999997E-2</c:v>
                </c:pt>
                <c:pt idx="331">
                  <c:v>5.3503999999999996E-2</c:v>
                </c:pt>
                <c:pt idx="332">
                  <c:v>5.3587999999999997E-2</c:v>
                </c:pt>
                <c:pt idx="333">
                  <c:v>5.3672000000000004E-2</c:v>
                </c:pt>
                <c:pt idx="334">
                  <c:v>5.3756000000000005E-2</c:v>
                </c:pt>
                <c:pt idx="335">
                  <c:v>5.3840000000000006E-2</c:v>
                </c:pt>
                <c:pt idx="336">
                  <c:v>5.3921999999999998E-2</c:v>
                </c:pt>
                <c:pt idx="337">
                  <c:v>5.4005999999999998E-2</c:v>
                </c:pt>
                <c:pt idx="338">
                  <c:v>5.4088000000000004E-2</c:v>
                </c:pt>
                <c:pt idx="339">
                  <c:v>5.4172000000000005E-2</c:v>
                </c:pt>
                <c:pt idx="340">
                  <c:v>5.4255999999999999E-2</c:v>
                </c:pt>
                <c:pt idx="341">
                  <c:v>5.4337999999999997E-2</c:v>
                </c:pt>
                <c:pt idx="342">
                  <c:v>5.4420000000000003E-2</c:v>
                </c:pt>
                <c:pt idx="343">
                  <c:v>5.4477999999999999E-2</c:v>
                </c:pt>
                <c:pt idx="344">
                  <c:v>5.4561999999999999E-2</c:v>
                </c:pt>
                <c:pt idx="345">
                  <c:v>5.4646E-2</c:v>
                </c:pt>
                <c:pt idx="346">
                  <c:v>5.4728000000000006E-2</c:v>
                </c:pt>
                <c:pt idx="347">
                  <c:v>5.4812E-2</c:v>
                </c:pt>
                <c:pt idx="348">
                  <c:v>5.4865999999999998E-2</c:v>
                </c:pt>
                <c:pt idx="349">
                  <c:v>5.4949999999999999E-2</c:v>
                </c:pt>
                <c:pt idx="350">
                  <c:v>5.5031999999999998E-2</c:v>
                </c:pt>
                <c:pt idx="351">
                  <c:v>5.5115999999999998E-2</c:v>
                </c:pt>
                <c:pt idx="352">
                  <c:v>5.5199999999999999E-2</c:v>
                </c:pt>
                <c:pt idx="353">
                  <c:v>5.5284000000000007E-2</c:v>
                </c:pt>
                <c:pt idx="354">
                  <c:v>5.5365999999999999E-2</c:v>
                </c:pt>
                <c:pt idx="355">
                  <c:v>5.5424000000000001E-2</c:v>
                </c:pt>
                <c:pt idx="356">
                  <c:v>5.5507999999999995E-2</c:v>
                </c:pt>
                <c:pt idx="357">
                  <c:v>5.5590000000000001E-2</c:v>
                </c:pt>
                <c:pt idx="358">
                  <c:v>5.5671999999999999E-2</c:v>
                </c:pt>
                <c:pt idx="359">
                  <c:v>5.5753999999999998E-2</c:v>
                </c:pt>
                <c:pt idx="360">
                  <c:v>5.5837999999999999E-2</c:v>
                </c:pt>
                <c:pt idx="361">
                  <c:v>5.5921999999999999E-2</c:v>
                </c:pt>
                <c:pt idx="362">
                  <c:v>5.6006E-2</c:v>
                </c:pt>
                <c:pt idx="363">
                  <c:v>5.6090000000000001E-2</c:v>
                </c:pt>
                <c:pt idx="364">
                  <c:v>5.62E-2</c:v>
                </c:pt>
                <c:pt idx="365">
                  <c:v>5.6312000000000001E-2</c:v>
                </c:pt>
                <c:pt idx="366">
                  <c:v>5.6422E-2</c:v>
                </c:pt>
                <c:pt idx="367">
                  <c:v>5.6534000000000001E-2</c:v>
                </c:pt>
                <c:pt idx="368">
                  <c:v>5.6644E-2</c:v>
                </c:pt>
                <c:pt idx="369">
                  <c:v>5.6756000000000001E-2</c:v>
                </c:pt>
                <c:pt idx="370">
                  <c:v>5.6866E-2</c:v>
                </c:pt>
                <c:pt idx="371">
                  <c:v>5.6978000000000001E-2</c:v>
                </c:pt>
                <c:pt idx="372">
                  <c:v>5.7089999999999995E-2</c:v>
                </c:pt>
                <c:pt idx="373">
                  <c:v>5.7172000000000001E-2</c:v>
                </c:pt>
                <c:pt idx="374">
                  <c:v>5.7282E-2</c:v>
                </c:pt>
                <c:pt idx="375">
                  <c:v>5.7394000000000001E-2</c:v>
                </c:pt>
                <c:pt idx="376">
                  <c:v>5.7504E-2</c:v>
                </c:pt>
                <c:pt idx="377">
                  <c:v>5.7615999999999994E-2</c:v>
                </c:pt>
                <c:pt idx="378">
                  <c:v>5.7728000000000002E-2</c:v>
                </c:pt>
                <c:pt idx="379">
                  <c:v>5.7838000000000001E-2</c:v>
                </c:pt>
                <c:pt idx="380">
                  <c:v>5.7950000000000002E-2</c:v>
                </c:pt>
                <c:pt idx="381">
                  <c:v>5.806E-2</c:v>
                </c:pt>
                <c:pt idx="382">
                  <c:v>5.8141999999999999E-2</c:v>
                </c:pt>
                <c:pt idx="383">
                  <c:v>5.8255999999999995E-2</c:v>
                </c:pt>
                <c:pt idx="384">
                  <c:v>5.8338000000000001E-2</c:v>
                </c:pt>
                <c:pt idx="385">
                  <c:v>5.8449999999999995E-2</c:v>
                </c:pt>
                <c:pt idx="386">
                  <c:v>5.8533999999999996E-2</c:v>
                </c:pt>
                <c:pt idx="387">
                  <c:v>5.8644000000000002E-2</c:v>
                </c:pt>
                <c:pt idx="388">
                  <c:v>5.8727999999999995E-2</c:v>
                </c:pt>
                <c:pt idx="389">
                  <c:v>5.8838000000000001E-2</c:v>
                </c:pt>
                <c:pt idx="390">
                  <c:v>5.8922000000000002E-2</c:v>
                </c:pt>
                <c:pt idx="391">
                  <c:v>5.9005999999999996E-2</c:v>
                </c:pt>
                <c:pt idx="392">
                  <c:v>5.9118000000000004E-2</c:v>
                </c:pt>
                <c:pt idx="393">
                  <c:v>5.9202000000000005E-2</c:v>
                </c:pt>
                <c:pt idx="394">
                  <c:v>5.9311999999999997E-2</c:v>
                </c:pt>
                <c:pt idx="395">
                  <c:v>5.9396000000000004E-2</c:v>
                </c:pt>
                <c:pt idx="396">
                  <c:v>5.9505999999999996E-2</c:v>
                </c:pt>
                <c:pt idx="397">
                  <c:v>5.9588000000000002E-2</c:v>
                </c:pt>
                <c:pt idx="398">
                  <c:v>5.9698000000000001E-2</c:v>
                </c:pt>
                <c:pt idx="399">
                  <c:v>5.9782000000000002E-2</c:v>
                </c:pt>
                <c:pt idx="400">
                  <c:v>5.9866000000000003E-2</c:v>
                </c:pt>
                <c:pt idx="401">
                  <c:v>5.9950000000000003E-2</c:v>
                </c:pt>
                <c:pt idx="402">
                  <c:v>6.0034000000000004E-2</c:v>
                </c:pt>
                <c:pt idx="403">
                  <c:v>6.0145999999999998E-2</c:v>
                </c:pt>
                <c:pt idx="404">
                  <c:v>6.0255999999999997E-2</c:v>
                </c:pt>
                <c:pt idx="405">
                  <c:v>6.0366000000000003E-2</c:v>
                </c:pt>
                <c:pt idx="406">
                  <c:v>6.0477999999999997E-2</c:v>
                </c:pt>
                <c:pt idx="407">
                  <c:v>6.0587999999999996E-2</c:v>
                </c:pt>
                <c:pt idx="408">
                  <c:v>6.0700000000000004E-2</c:v>
                </c:pt>
                <c:pt idx="409">
                  <c:v>6.0811999999999998E-2</c:v>
                </c:pt>
                <c:pt idx="410">
                  <c:v>6.0922000000000004E-2</c:v>
                </c:pt>
                <c:pt idx="411">
                  <c:v>6.1033999999999998E-2</c:v>
                </c:pt>
                <c:pt idx="412">
                  <c:v>6.1143999999999997E-2</c:v>
                </c:pt>
                <c:pt idx="413">
                  <c:v>6.1256000000000005E-2</c:v>
                </c:pt>
                <c:pt idx="414">
                  <c:v>6.1365999999999997E-2</c:v>
                </c:pt>
                <c:pt idx="415">
                  <c:v>6.1478000000000005E-2</c:v>
                </c:pt>
                <c:pt idx="416">
                  <c:v>6.1589999999999999E-2</c:v>
                </c:pt>
                <c:pt idx="417">
                  <c:v>6.1702000000000007E-2</c:v>
                </c:pt>
                <c:pt idx="418">
                  <c:v>6.1810000000000004E-2</c:v>
                </c:pt>
                <c:pt idx="419">
                  <c:v>6.1921999999999998E-2</c:v>
                </c:pt>
                <c:pt idx="420">
                  <c:v>6.2034000000000006E-2</c:v>
                </c:pt>
                <c:pt idx="421">
                  <c:v>6.2144000000000005E-2</c:v>
                </c:pt>
                <c:pt idx="422">
                  <c:v>6.2255999999999999E-2</c:v>
                </c:pt>
                <c:pt idx="423">
                  <c:v>6.2366000000000005E-2</c:v>
                </c:pt>
                <c:pt idx="424">
                  <c:v>6.2476000000000004E-2</c:v>
                </c:pt>
                <c:pt idx="425">
                  <c:v>6.2588000000000005E-2</c:v>
                </c:pt>
                <c:pt idx="426">
                  <c:v>6.2699999999999992E-2</c:v>
                </c:pt>
                <c:pt idx="427">
                  <c:v>6.2809999999999991E-2</c:v>
                </c:pt>
                <c:pt idx="428">
                  <c:v>6.2923999999999994E-2</c:v>
                </c:pt>
                <c:pt idx="429">
                  <c:v>6.3033999999999993E-2</c:v>
                </c:pt>
                <c:pt idx="430">
                  <c:v>6.3146000000000008E-2</c:v>
                </c:pt>
                <c:pt idx="431">
                  <c:v>6.3255999999999993E-2</c:v>
                </c:pt>
                <c:pt idx="432">
                  <c:v>6.3365999999999992E-2</c:v>
                </c:pt>
                <c:pt idx="433">
                  <c:v>6.3503999999999991E-2</c:v>
                </c:pt>
                <c:pt idx="434">
                  <c:v>6.3643999999999992E-2</c:v>
                </c:pt>
                <c:pt idx="435">
                  <c:v>6.3756000000000007E-2</c:v>
                </c:pt>
                <c:pt idx="436">
                  <c:v>6.3867999999999994E-2</c:v>
                </c:pt>
                <c:pt idx="437">
                  <c:v>6.3979999999999995E-2</c:v>
                </c:pt>
                <c:pt idx="438">
                  <c:v>6.4089999999999994E-2</c:v>
                </c:pt>
                <c:pt idx="439">
                  <c:v>6.4199999999999993E-2</c:v>
                </c:pt>
                <c:pt idx="440">
                  <c:v>6.4310000000000006E-2</c:v>
                </c:pt>
                <c:pt idx="441">
                  <c:v>6.4421999999999993E-2</c:v>
                </c:pt>
                <c:pt idx="442">
                  <c:v>6.4534000000000008E-2</c:v>
                </c:pt>
                <c:pt idx="443">
                  <c:v>6.4644000000000007E-2</c:v>
                </c:pt>
                <c:pt idx="444">
                  <c:v>6.4755999999999994E-2</c:v>
                </c:pt>
                <c:pt idx="445">
                  <c:v>6.4867999999999995E-2</c:v>
                </c:pt>
                <c:pt idx="446">
                  <c:v>6.4977999999999994E-2</c:v>
                </c:pt>
                <c:pt idx="447">
                  <c:v>6.5087999999999993E-2</c:v>
                </c:pt>
                <c:pt idx="448">
                  <c:v>6.5199999999999994E-2</c:v>
                </c:pt>
                <c:pt idx="449">
                  <c:v>6.5311999999999995E-2</c:v>
                </c:pt>
                <c:pt idx="450">
                  <c:v>6.5422000000000008E-2</c:v>
                </c:pt>
                <c:pt idx="451">
                  <c:v>6.5533999999999995E-2</c:v>
                </c:pt>
                <c:pt idx="452">
                  <c:v>6.5643999999999994E-2</c:v>
                </c:pt>
                <c:pt idx="453">
                  <c:v>6.5755999999999995E-2</c:v>
                </c:pt>
                <c:pt idx="454">
                  <c:v>6.5865999999999994E-2</c:v>
                </c:pt>
                <c:pt idx="455">
                  <c:v>6.5978000000000009E-2</c:v>
                </c:pt>
                <c:pt idx="456">
                  <c:v>6.6087999999999994E-2</c:v>
                </c:pt>
                <c:pt idx="457">
                  <c:v>6.6197999999999993E-2</c:v>
                </c:pt>
                <c:pt idx="458">
                  <c:v>6.634000000000001E-2</c:v>
                </c:pt>
                <c:pt idx="459">
                  <c:v>6.6475999999999993E-2</c:v>
                </c:pt>
                <c:pt idx="460">
                  <c:v>6.6615999999999995E-2</c:v>
                </c:pt>
                <c:pt idx="461">
                  <c:v>6.6755999999999996E-2</c:v>
                </c:pt>
                <c:pt idx="462">
                  <c:v>6.6896000000000011E-2</c:v>
                </c:pt>
                <c:pt idx="463">
                  <c:v>6.7033999999999996E-2</c:v>
                </c:pt>
                <c:pt idx="464">
                  <c:v>6.7171999999999996E-2</c:v>
                </c:pt>
                <c:pt idx="465">
                  <c:v>6.7309999999999995E-2</c:v>
                </c:pt>
                <c:pt idx="466">
                  <c:v>6.7447999999999994E-2</c:v>
                </c:pt>
                <c:pt idx="467">
                  <c:v>6.7587999999999995E-2</c:v>
                </c:pt>
                <c:pt idx="468">
                  <c:v>6.7727999999999997E-2</c:v>
                </c:pt>
                <c:pt idx="469">
                  <c:v>6.7865999999999996E-2</c:v>
                </c:pt>
                <c:pt idx="470">
                  <c:v>6.8003999999999995E-2</c:v>
                </c:pt>
                <c:pt idx="471">
                  <c:v>6.8143999999999996E-2</c:v>
                </c:pt>
                <c:pt idx="472">
                  <c:v>6.8281999999999995E-2</c:v>
                </c:pt>
                <c:pt idx="473">
                  <c:v>6.8421999999999997E-2</c:v>
                </c:pt>
                <c:pt idx="474">
                  <c:v>6.8561999999999998E-2</c:v>
                </c:pt>
                <c:pt idx="475">
                  <c:v>6.8701999999999999E-2</c:v>
                </c:pt>
                <c:pt idx="476">
                  <c:v>6.8837999999999996E-2</c:v>
                </c:pt>
                <c:pt idx="477">
                  <c:v>6.8975999999999996E-2</c:v>
                </c:pt>
                <c:pt idx="478">
                  <c:v>6.9143999999999997E-2</c:v>
                </c:pt>
                <c:pt idx="479">
                  <c:v>6.928200000000001E-2</c:v>
                </c:pt>
                <c:pt idx="480">
                  <c:v>6.9452E-2</c:v>
                </c:pt>
                <c:pt idx="481">
                  <c:v>6.9587999999999997E-2</c:v>
                </c:pt>
                <c:pt idx="482">
                  <c:v>6.9725999999999996E-2</c:v>
                </c:pt>
                <c:pt idx="483">
                  <c:v>6.9893999999999998E-2</c:v>
                </c:pt>
                <c:pt idx="484">
                  <c:v>7.0033999999999999E-2</c:v>
                </c:pt>
                <c:pt idx="485">
                  <c:v>7.0199999999999999E-2</c:v>
                </c:pt>
                <c:pt idx="486">
                  <c:v>7.0337999999999998E-2</c:v>
                </c:pt>
                <c:pt idx="487">
                  <c:v>7.0477999999999999E-2</c:v>
                </c:pt>
                <c:pt idx="488">
                  <c:v>7.0643999999999998E-2</c:v>
                </c:pt>
                <c:pt idx="489">
                  <c:v>7.0784E-2</c:v>
                </c:pt>
                <c:pt idx="490">
                  <c:v>7.0924000000000001E-2</c:v>
                </c:pt>
                <c:pt idx="491">
                  <c:v>7.1059999999999998E-2</c:v>
                </c:pt>
                <c:pt idx="492">
                  <c:v>7.1199999999999999E-2</c:v>
                </c:pt>
                <c:pt idx="493">
                  <c:v>7.1340000000000001E-2</c:v>
                </c:pt>
                <c:pt idx="494">
                  <c:v>7.1475999999999998E-2</c:v>
                </c:pt>
                <c:pt idx="495">
                  <c:v>7.1646000000000001E-2</c:v>
                </c:pt>
                <c:pt idx="496">
                  <c:v>7.1809999999999999E-2</c:v>
                </c:pt>
                <c:pt idx="497">
                  <c:v>7.1975999999999998E-2</c:v>
                </c:pt>
                <c:pt idx="498">
                  <c:v>7.2144E-2</c:v>
                </c:pt>
                <c:pt idx="499">
                  <c:v>7.2312000000000001E-2</c:v>
                </c:pt>
                <c:pt idx="500">
                  <c:v>7.2480000000000003E-2</c:v>
                </c:pt>
                <c:pt idx="501">
                  <c:v>7.2644E-2</c:v>
                </c:pt>
                <c:pt idx="502">
                  <c:v>7.2784000000000001E-2</c:v>
                </c:pt>
                <c:pt idx="503">
                  <c:v>7.2922000000000001E-2</c:v>
                </c:pt>
                <c:pt idx="504">
                  <c:v>7.3062000000000002E-2</c:v>
                </c:pt>
                <c:pt idx="505">
                  <c:v>7.3202000000000003E-2</c:v>
                </c:pt>
                <c:pt idx="506">
                  <c:v>7.3338E-2</c:v>
                </c:pt>
                <c:pt idx="507">
                  <c:v>7.3478000000000002E-2</c:v>
                </c:pt>
                <c:pt idx="508">
                  <c:v>7.3616000000000001E-2</c:v>
                </c:pt>
                <c:pt idx="509">
                  <c:v>7.3756000000000002E-2</c:v>
                </c:pt>
                <c:pt idx="510">
                  <c:v>7.3896000000000003E-2</c:v>
                </c:pt>
                <c:pt idx="511">
                  <c:v>7.4062000000000003E-2</c:v>
                </c:pt>
                <c:pt idx="512">
                  <c:v>7.4228000000000002E-2</c:v>
                </c:pt>
                <c:pt idx="513">
                  <c:v>7.4394000000000002E-2</c:v>
                </c:pt>
                <c:pt idx="514">
                  <c:v>7.4560000000000001E-2</c:v>
                </c:pt>
                <c:pt idx="515">
                  <c:v>7.4728000000000003E-2</c:v>
                </c:pt>
                <c:pt idx="516">
                  <c:v>7.4894000000000002E-2</c:v>
                </c:pt>
                <c:pt idx="517">
                  <c:v>7.5062000000000004E-2</c:v>
                </c:pt>
                <c:pt idx="518">
                  <c:v>7.5228000000000003E-2</c:v>
                </c:pt>
                <c:pt idx="519">
                  <c:v>7.5394000000000003E-2</c:v>
                </c:pt>
                <c:pt idx="520">
                  <c:v>7.556199999999999E-2</c:v>
                </c:pt>
                <c:pt idx="521">
                  <c:v>7.5726000000000002E-2</c:v>
                </c:pt>
                <c:pt idx="522">
                  <c:v>7.5894000000000003E-2</c:v>
                </c:pt>
                <c:pt idx="523">
                  <c:v>7.6062000000000005E-2</c:v>
                </c:pt>
                <c:pt idx="524">
                  <c:v>7.6228000000000004E-2</c:v>
                </c:pt>
                <c:pt idx="525">
                  <c:v>7.6395999999999992E-2</c:v>
                </c:pt>
                <c:pt idx="526">
                  <c:v>7.6560000000000003E-2</c:v>
                </c:pt>
                <c:pt idx="527">
                  <c:v>7.6726000000000003E-2</c:v>
                </c:pt>
                <c:pt idx="528">
                  <c:v>7.6894000000000004E-2</c:v>
                </c:pt>
                <c:pt idx="529">
                  <c:v>7.7060000000000003E-2</c:v>
                </c:pt>
                <c:pt idx="530">
                  <c:v>7.7226000000000003E-2</c:v>
                </c:pt>
                <c:pt idx="531">
                  <c:v>7.7394000000000004E-2</c:v>
                </c:pt>
                <c:pt idx="532">
                  <c:v>7.7560000000000004E-2</c:v>
                </c:pt>
                <c:pt idx="533">
                  <c:v>7.7728000000000005E-2</c:v>
                </c:pt>
                <c:pt idx="534">
                  <c:v>7.7896000000000007E-2</c:v>
                </c:pt>
                <c:pt idx="535">
                  <c:v>7.8061999999999993E-2</c:v>
                </c:pt>
                <c:pt idx="536">
                  <c:v>7.8228000000000006E-2</c:v>
                </c:pt>
                <c:pt idx="537">
                  <c:v>7.8422000000000006E-2</c:v>
                </c:pt>
                <c:pt idx="538">
                  <c:v>7.8616000000000005E-2</c:v>
                </c:pt>
                <c:pt idx="539">
                  <c:v>7.8810000000000005E-2</c:v>
                </c:pt>
                <c:pt idx="540">
                  <c:v>7.9005999999999993E-2</c:v>
                </c:pt>
                <c:pt idx="541">
                  <c:v>7.9199999999999993E-2</c:v>
                </c:pt>
                <c:pt idx="542">
                  <c:v>7.9396000000000008E-2</c:v>
                </c:pt>
                <c:pt idx="543">
                  <c:v>7.9588000000000006E-2</c:v>
                </c:pt>
                <c:pt idx="544">
                  <c:v>7.9783999999999994E-2</c:v>
                </c:pt>
                <c:pt idx="545">
                  <c:v>7.9977999999999994E-2</c:v>
                </c:pt>
                <c:pt idx="546">
                  <c:v>8.0172000000000007E-2</c:v>
                </c:pt>
                <c:pt idx="547">
                  <c:v>8.0364000000000005E-2</c:v>
                </c:pt>
                <c:pt idx="548">
                  <c:v>8.0559999999999993E-2</c:v>
                </c:pt>
                <c:pt idx="549">
                  <c:v>8.0755999999999994E-2</c:v>
                </c:pt>
                <c:pt idx="550">
                  <c:v>8.0950000000000008E-2</c:v>
                </c:pt>
                <c:pt idx="551">
                  <c:v>8.1143999999999994E-2</c:v>
                </c:pt>
                <c:pt idx="552">
                  <c:v>8.134000000000001E-2</c:v>
                </c:pt>
                <c:pt idx="553">
                  <c:v>8.1533999999999995E-2</c:v>
                </c:pt>
                <c:pt idx="554">
                  <c:v>8.1729999999999997E-2</c:v>
                </c:pt>
                <c:pt idx="555">
                  <c:v>8.1920000000000007E-2</c:v>
                </c:pt>
                <c:pt idx="556">
                  <c:v>8.2116000000000008E-2</c:v>
                </c:pt>
                <c:pt idx="557">
                  <c:v>8.2309999999999994E-2</c:v>
                </c:pt>
                <c:pt idx="558">
                  <c:v>8.250600000000001E-2</c:v>
                </c:pt>
                <c:pt idx="559">
                  <c:v>8.2699999999999996E-2</c:v>
                </c:pt>
                <c:pt idx="560">
                  <c:v>8.2894000000000009E-2</c:v>
                </c:pt>
                <c:pt idx="561">
                  <c:v>8.3089999999999997E-2</c:v>
                </c:pt>
                <c:pt idx="562">
                  <c:v>8.3283999999999997E-2</c:v>
                </c:pt>
                <c:pt idx="563">
                  <c:v>8.3477999999999997E-2</c:v>
                </c:pt>
                <c:pt idx="564">
                  <c:v>8.367200000000001E-2</c:v>
                </c:pt>
                <c:pt idx="565">
                  <c:v>8.3865999999999996E-2</c:v>
                </c:pt>
                <c:pt idx="566">
                  <c:v>8.4061999999999998E-2</c:v>
                </c:pt>
                <c:pt idx="567">
                  <c:v>8.428200000000001E-2</c:v>
                </c:pt>
                <c:pt idx="568">
                  <c:v>8.4503999999999996E-2</c:v>
                </c:pt>
                <c:pt idx="569">
                  <c:v>8.4700000000000011E-2</c:v>
                </c:pt>
                <c:pt idx="570">
                  <c:v>8.4893999999999997E-2</c:v>
                </c:pt>
                <c:pt idx="571">
                  <c:v>8.5088000000000011E-2</c:v>
                </c:pt>
                <c:pt idx="572">
                  <c:v>8.5283999999999999E-2</c:v>
                </c:pt>
                <c:pt idx="573">
                  <c:v>8.548E-2</c:v>
                </c:pt>
                <c:pt idx="574">
                  <c:v>8.5671999999999998E-2</c:v>
                </c:pt>
                <c:pt idx="575">
                  <c:v>8.5866000000000012E-2</c:v>
                </c:pt>
                <c:pt idx="576">
                  <c:v>8.609E-2</c:v>
                </c:pt>
                <c:pt idx="577">
                  <c:v>8.6312E-2</c:v>
                </c:pt>
                <c:pt idx="578">
                  <c:v>8.6531999999999998E-2</c:v>
                </c:pt>
                <c:pt idx="579">
                  <c:v>8.6756E-2</c:v>
                </c:pt>
                <c:pt idx="580">
                  <c:v>8.6975999999999998E-2</c:v>
                </c:pt>
                <c:pt idx="581">
                  <c:v>8.72E-2</c:v>
                </c:pt>
                <c:pt idx="582">
                  <c:v>8.7422E-2</c:v>
                </c:pt>
                <c:pt idx="583">
                  <c:v>8.7646000000000002E-2</c:v>
                </c:pt>
                <c:pt idx="584">
                  <c:v>8.7868000000000002E-2</c:v>
                </c:pt>
                <c:pt idx="585">
                  <c:v>8.8088E-2</c:v>
                </c:pt>
                <c:pt idx="586">
                  <c:v>8.831E-2</c:v>
                </c:pt>
                <c:pt idx="587">
                  <c:v>8.8532E-2</c:v>
                </c:pt>
                <c:pt idx="588">
                  <c:v>8.8754000000000013E-2</c:v>
                </c:pt>
                <c:pt idx="589">
                  <c:v>8.8978000000000002E-2</c:v>
                </c:pt>
                <c:pt idx="590">
                  <c:v>8.920199999999999E-2</c:v>
                </c:pt>
                <c:pt idx="591">
                  <c:v>8.942399999999999E-2</c:v>
                </c:pt>
                <c:pt idx="592">
                  <c:v>8.967E-2</c:v>
                </c:pt>
                <c:pt idx="593">
                  <c:v>8.9894000000000002E-2</c:v>
                </c:pt>
                <c:pt idx="594">
                  <c:v>9.011799999999999E-2</c:v>
                </c:pt>
                <c:pt idx="595">
                  <c:v>9.0337999999999988E-2</c:v>
                </c:pt>
                <c:pt idx="596">
                  <c:v>9.0562000000000004E-2</c:v>
                </c:pt>
                <c:pt idx="597">
                  <c:v>9.0810000000000002E-2</c:v>
                </c:pt>
                <c:pt idx="598">
                  <c:v>9.1060000000000002E-2</c:v>
                </c:pt>
                <c:pt idx="599">
                  <c:v>9.1310000000000002E-2</c:v>
                </c:pt>
                <c:pt idx="600">
                  <c:v>9.1562000000000004E-2</c:v>
                </c:pt>
                <c:pt idx="601">
                  <c:v>9.1812000000000005E-2</c:v>
                </c:pt>
                <c:pt idx="602">
                  <c:v>9.2059999999999989E-2</c:v>
                </c:pt>
                <c:pt idx="603">
                  <c:v>9.2311999999999991E-2</c:v>
                </c:pt>
                <c:pt idx="604">
                  <c:v>9.2560000000000003E-2</c:v>
                </c:pt>
                <c:pt idx="605">
                  <c:v>9.2812000000000006E-2</c:v>
                </c:pt>
                <c:pt idx="606">
                  <c:v>9.3062000000000006E-2</c:v>
                </c:pt>
                <c:pt idx="607">
                  <c:v>9.3312000000000006E-2</c:v>
                </c:pt>
                <c:pt idx="608">
                  <c:v>9.3561999999999992E-2</c:v>
                </c:pt>
                <c:pt idx="609">
                  <c:v>9.3810000000000004E-2</c:v>
                </c:pt>
                <c:pt idx="610">
                  <c:v>9.4062000000000007E-2</c:v>
                </c:pt>
                <c:pt idx="611">
                  <c:v>9.4309999999999991E-2</c:v>
                </c:pt>
                <c:pt idx="612">
                  <c:v>9.4562000000000007E-2</c:v>
                </c:pt>
                <c:pt idx="613">
                  <c:v>9.4811999999999994E-2</c:v>
                </c:pt>
                <c:pt idx="614">
                  <c:v>9.5060000000000006E-2</c:v>
                </c:pt>
                <c:pt idx="615">
                  <c:v>9.5312000000000008E-2</c:v>
                </c:pt>
                <c:pt idx="616">
                  <c:v>9.5562000000000008E-2</c:v>
                </c:pt>
                <c:pt idx="617">
                  <c:v>9.5809999999999992E-2</c:v>
                </c:pt>
                <c:pt idx="618">
                  <c:v>9.6061999999999995E-2</c:v>
                </c:pt>
                <c:pt idx="619">
                  <c:v>9.6340000000000009E-2</c:v>
                </c:pt>
                <c:pt idx="620">
                  <c:v>9.6615999999999994E-2</c:v>
                </c:pt>
                <c:pt idx="621">
                  <c:v>9.6893999999999994E-2</c:v>
                </c:pt>
                <c:pt idx="622">
                  <c:v>9.7173999999999996E-2</c:v>
                </c:pt>
                <c:pt idx="623">
                  <c:v>9.7449999999999995E-2</c:v>
                </c:pt>
                <c:pt idx="624">
                  <c:v>9.7727999999999995E-2</c:v>
                </c:pt>
                <c:pt idx="625">
                  <c:v>9.8005999999999996E-2</c:v>
                </c:pt>
                <c:pt idx="626">
                  <c:v>9.8282000000000008E-2</c:v>
                </c:pt>
                <c:pt idx="627">
                  <c:v>9.8559999999999995E-2</c:v>
                </c:pt>
                <c:pt idx="628">
                  <c:v>9.8838000000000009E-2</c:v>
                </c:pt>
                <c:pt idx="629">
                  <c:v>9.9115999999999996E-2</c:v>
                </c:pt>
                <c:pt idx="630">
                  <c:v>9.9423999999999998E-2</c:v>
                </c:pt>
                <c:pt idx="631">
                  <c:v>9.9727999999999997E-2</c:v>
                </c:pt>
                <c:pt idx="632">
                  <c:v>0.100034</c:v>
                </c:pt>
                <c:pt idx="633">
                  <c:v>0.100338</c:v>
                </c:pt>
                <c:pt idx="634">
                  <c:v>0.100644</c:v>
                </c:pt>
                <c:pt idx="635">
                  <c:v>0.10095000000000001</c:v>
                </c:pt>
                <c:pt idx="636">
                  <c:v>0.10125400000000001</c:v>
                </c:pt>
                <c:pt idx="637">
                  <c:v>0.10156000000000001</c:v>
                </c:pt>
                <c:pt idx="638">
                  <c:v>0.101866</c:v>
                </c:pt>
                <c:pt idx="639">
                  <c:v>0.102172</c:v>
                </c:pt>
                <c:pt idx="640">
                  <c:v>0.102478</c:v>
                </c:pt>
                <c:pt idx="641">
                  <c:v>0.102782</c:v>
                </c:pt>
                <c:pt idx="642">
                  <c:v>0.103088</c:v>
                </c:pt>
                <c:pt idx="643">
                  <c:v>0.103394</c:v>
                </c:pt>
                <c:pt idx="644">
                  <c:v>0.10369999999999999</c:v>
                </c:pt>
                <c:pt idx="645">
                  <c:v>0.104034</c:v>
                </c:pt>
                <c:pt idx="646">
                  <c:v>0.104366</c:v>
                </c:pt>
                <c:pt idx="647">
                  <c:v>0.104672</c:v>
                </c:pt>
                <c:pt idx="648">
                  <c:v>0.105006</c:v>
                </c:pt>
                <c:pt idx="649">
                  <c:v>0.10534</c:v>
                </c:pt>
                <c:pt idx="650">
                  <c:v>0.105672</c:v>
                </c:pt>
                <c:pt idx="651">
                  <c:v>0.106004</c:v>
                </c:pt>
                <c:pt idx="652">
                  <c:v>0.10634</c:v>
                </c:pt>
                <c:pt idx="653">
                  <c:v>0.10667199999999999</c:v>
                </c:pt>
                <c:pt idx="654">
                  <c:v>0.10700599999999999</c:v>
                </c:pt>
                <c:pt idx="655">
                  <c:v>0.107338</c:v>
                </c:pt>
                <c:pt idx="656">
                  <c:v>0.10770200000000001</c:v>
                </c:pt>
                <c:pt idx="657">
                  <c:v>0.10805999999999999</c:v>
                </c:pt>
                <c:pt idx="658">
                  <c:v>0.108422</c:v>
                </c:pt>
                <c:pt idx="659">
                  <c:v>0.10878199999999999</c:v>
                </c:pt>
                <c:pt idx="660">
                  <c:v>0.109144</c:v>
                </c:pt>
                <c:pt idx="661">
                  <c:v>0.10950599999999999</c:v>
                </c:pt>
                <c:pt idx="662">
                  <c:v>0.10986599999999999</c:v>
                </c:pt>
                <c:pt idx="663">
                  <c:v>0.11022800000000001</c:v>
                </c:pt>
                <c:pt idx="664">
                  <c:v>0.11058999999999999</c:v>
                </c:pt>
                <c:pt idx="665">
                  <c:v>0.11097799999999999</c:v>
                </c:pt>
                <c:pt idx="666">
                  <c:v>0.11136799999999999</c:v>
                </c:pt>
                <c:pt idx="667">
                  <c:v>0.11175599999999999</c:v>
                </c:pt>
                <c:pt idx="668">
                  <c:v>0.11214399999999999</c:v>
                </c:pt>
                <c:pt idx="669">
                  <c:v>0.112534</c:v>
                </c:pt>
                <c:pt idx="670">
                  <c:v>0.11292199999999999</c:v>
                </c:pt>
                <c:pt idx="671">
                  <c:v>0.113284</c:v>
                </c:pt>
                <c:pt idx="672">
                  <c:v>0.11367200000000001</c:v>
                </c:pt>
                <c:pt idx="673">
                  <c:v>0.114062</c:v>
                </c:pt>
                <c:pt idx="674">
                  <c:v>0.11445</c:v>
                </c:pt>
                <c:pt idx="675">
                  <c:v>0.11484</c:v>
                </c:pt>
                <c:pt idx="676">
                  <c:v>0.115228</c:v>
                </c:pt>
                <c:pt idx="677">
                  <c:v>0.115618</c:v>
                </c:pt>
                <c:pt idx="678">
                  <c:v>0.116006</c:v>
                </c:pt>
                <c:pt idx="679">
                  <c:v>0.11642200000000001</c:v>
                </c:pt>
                <c:pt idx="680">
                  <c:v>0.11684</c:v>
                </c:pt>
                <c:pt idx="681">
                  <c:v>0.11725400000000001</c:v>
                </c:pt>
                <c:pt idx="682">
                  <c:v>0.11767200000000001</c:v>
                </c:pt>
                <c:pt idx="683">
                  <c:v>0.118088</c:v>
                </c:pt>
                <c:pt idx="684">
                  <c:v>0.118506</c:v>
                </c:pt>
                <c:pt idx="685">
                  <c:v>0.11895</c:v>
                </c:pt>
                <c:pt idx="686">
                  <c:v>0.119396</c:v>
                </c:pt>
                <c:pt idx="687">
                  <c:v>0.119838</c:v>
                </c:pt>
                <c:pt idx="688">
                  <c:v>0.120284</c:v>
                </c:pt>
                <c:pt idx="689">
                  <c:v>0.120728</c:v>
                </c:pt>
                <c:pt idx="690">
                  <c:v>0.12119999999999999</c:v>
                </c:pt>
                <c:pt idx="691">
                  <c:v>0.121674</c:v>
                </c:pt>
                <c:pt idx="692">
                  <c:v>0.12214399999999999</c:v>
                </c:pt>
                <c:pt idx="693">
                  <c:v>0.122616</c:v>
                </c:pt>
                <c:pt idx="694">
                  <c:v>0.12308999999999999</c:v>
                </c:pt>
                <c:pt idx="695">
                  <c:v>0.12356</c:v>
                </c:pt>
                <c:pt idx="696">
                  <c:v>0.12403399999999999</c:v>
                </c:pt>
                <c:pt idx="697">
                  <c:v>0.124504</c:v>
                </c:pt>
                <c:pt idx="698">
                  <c:v>0.12497799999999999</c:v>
                </c:pt>
                <c:pt idx="699">
                  <c:v>0.12545000000000001</c:v>
                </c:pt>
                <c:pt idx="700">
                  <c:v>0.12595000000000001</c:v>
                </c:pt>
                <c:pt idx="701">
                  <c:v>0.12645000000000001</c:v>
                </c:pt>
                <c:pt idx="702">
                  <c:v>0.12695000000000001</c:v>
                </c:pt>
                <c:pt idx="703">
                  <c:v>0.12747800000000001</c:v>
                </c:pt>
                <c:pt idx="704">
                  <c:v>0.12800599999999998</c:v>
                </c:pt>
                <c:pt idx="705">
                  <c:v>0.12853199999999998</c:v>
                </c:pt>
                <c:pt idx="706">
                  <c:v>0.12909000000000001</c:v>
                </c:pt>
                <c:pt idx="707">
                  <c:v>0.12964399999999998</c:v>
                </c:pt>
                <c:pt idx="708">
                  <c:v>0.13019999999999998</c:v>
                </c:pt>
                <c:pt idx="709">
                  <c:v>0.13078400000000001</c:v>
                </c:pt>
                <c:pt idx="710">
                  <c:v>0.13136599999999998</c:v>
                </c:pt>
                <c:pt idx="711">
                  <c:v>0.13194800000000001</c:v>
                </c:pt>
                <c:pt idx="712">
                  <c:v>0.13258800000000001</c:v>
                </c:pt>
                <c:pt idx="713">
                  <c:v>0.13328400000000001</c:v>
                </c:pt>
              </c:numCache>
            </c:numRef>
          </c:cat>
          <c:val>
            <c:numRef>
              <c:f>'A11-2'!$F$2:$F$715</c:f>
              <c:numCache>
                <c:formatCode>0.00</c:formatCode>
                <c:ptCount val="714"/>
                <c:pt idx="0">
                  <c:v>3.95098089314002E-3</c:v>
                </c:pt>
                <c:pt idx="1">
                  <c:v>7.1117656076520361E-2</c:v>
                </c:pt>
                <c:pt idx="2">
                  <c:v>8.2970598755940414E-2</c:v>
                </c:pt>
                <c:pt idx="3">
                  <c:v>9.0872560542220454E-2</c:v>
                </c:pt>
                <c:pt idx="4">
                  <c:v>0.10272550322164052</c:v>
                </c:pt>
                <c:pt idx="5">
                  <c:v>0.11062746500792056</c:v>
                </c:pt>
                <c:pt idx="6">
                  <c:v>0.11457844590106057</c:v>
                </c:pt>
                <c:pt idx="7">
                  <c:v>0.1185294267942006</c:v>
                </c:pt>
                <c:pt idx="8">
                  <c:v>0.1185294267942006</c:v>
                </c:pt>
                <c:pt idx="9">
                  <c:v>0.1185294267942006</c:v>
                </c:pt>
                <c:pt idx="10">
                  <c:v>0.1185294267942006</c:v>
                </c:pt>
                <c:pt idx="11">
                  <c:v>0.1185294267942006</c:v>
                </c:pt>
                <c:pt idx="12">
                  <c:v>0.12248040768734063</c:v>
                </c:pt>
                <c:pt idx="13">
                  <c:v>0.12248040768734063</c:v>
                </c:pt>
                <c:pt idx="14">
                  <c:v>0.1185294267942006</c:v>
                </c:pt>
                <c:pt idx="15">
                  <c:v>0.1185294267942006</c:v>
                </c:pt>
                <c:pt idx="16">
                  <c:v>0.1185294267942006</c:v>
                </c:pt>
                <c:pt idx="17">
                  <c:v>0.1185294267942006</c:v>
                </c:pt>
                <c:pt idx="18">
                  <c:v>0.1185294267942006</c:v>
                </c:pt>
                <c:pt idx="19">
                  <c:v>0.1185294267942006</c:v>
                </c:pt>
                <c:pt idx="20">
                  <c:v>0.12248040768734063</c:v>
                </c:pt>
                <c:pt idx="21">
                  <c:v>0.12248040768734063</c:v>
                </c:pt>
                <c:pt idx="22">
                  <c:v>0.12248040768734063</c:v>
                </c:pt>
                <c:pt idx="23">
                  <c:v>0.12248040768734063</c:v>
                </c:pt>
                <c:pt idx="24">
                  <c:v>0.12248040768734063</c:v>
                </c:pt>
                <c:pt idx="25">
                  <c:v>0.12248040768734063</c:v>
                </c:pt>
                <c:pt idx="26">
                  <c:v>0.12248040768734063</c:v>
                </c:pt>
                <c:pt idx="27">
                  <c:v>0.12248040768734063</c:v>
                </c:pt>
                <c:pt idx="28">
                  <c:v>0.12248040768734063</c:v>
                </c:pt>
                <c:pt idx="29">
                  <c:v>0.12643138858048064</c:v>
                </c:pt>
                <c:pt idx="30">
                  <c:v>0.12643138858048064</c:v>
                </c:pt>
                <c:pt idx="31">
                  <c:v>0.12643138858048064</c:v>
                </c:pt>
                <c:pt idx="32">
                  <c:v>0.12643138858048064</c:v>
                </c:pt>
                <c:pt idx="33">
                  <c:v>0.12643138858048064</c:v>
                </c:pt>
                <c:pt idx="34">
                  <c:v>0.13038236947362064</c:v>
                </c:pt>
                <c:pt idx="35">
                  <c:v>0.14223531215304072</c:v>
                </c:pt>
                <c:pt idx="36">
                  <c:v>0.15408825483246077</c:v>
                </c:pt>
                <c:pt idx="37">
                  <c:v>0.1619902166187408</c:v>
                </c:pt>
                <c:pt idx="38">
                  <c:v>0.16594119751188083</c:v>
                </c:pt>
                <c:pt idx="39">
                  <c:v>0.16594119751188083</c:v>
                </c:pt>
                <c:pt idx="40">
                  <c:v>0.16988985566493084</c:v>
                </c:pt>
                <c:pt idx="41">
                  <c:v>0.16988985566493084</c:v>
                </c:pt>
                <c:pt idx="42">
                  <c:v>0.16988985566493084</c:v>
                </c:pt>
                <c:pt idx="43">
                  <c:v>0.16988985566493084</c:v>
                </c:pt>
                <c:pt idx="44">
                  <c:v>0.16988985566493084</c:v>
                </c:pt>
                <c:pt idx="45">
                  <c:v>0.16988985566493084</c:v>
                </c:pt>
                <c:pt idx="46">
                  <c:v>0.16988985566493084</c:v>
                </c:pt>
                <c:pt idx="47">
                  <c:v>0.16988985566493084</c:v>
                </c:pt>
                <c:pt idx="48">
                  <c:v>0.16988985566493084</c:v>
                </c:pt>
                <c:pt idx="49">
                  <c:v>0.16988985566493084</c:v>
                </c:pt>
                <c:pt idx="50">
                  <c:v>0.16988985566493084</c:v>
                </c:pt>
                <c:pt idx="51">
                  <c:v>0.16988985566493084</c:v>
                </c:pt>
                <c:pt idx="52">
                  <c:v>0.16988985566493084</c:v>
                </c:pt>
                <c:pt idx="53">
                  <c:v>0.16988985566493084</c:v>
                </c:pt>
                <c:pt idx="54">
                  <c:v>0.16988985566493084</c:v>
                </c:pt>
                <c:pt idx="55">
                  <c:v>0.17384083655807084</c:v>
                </c:pt>
                <c:pt idx="56">
                  <c:v>0.16988985566493084</c:v>
                </c:pt>
                <c:pt idx="57">
                  <c:v>0.17384083655807084</c:v>
                </c:pt>
                <c:pt idx="58">
                  <c:v>0.17384083655807084</c:v>
                </c:pt>
                <c:pt idx="59">
                  <c:v>0.17384083655807084</c:v>
                </c:pt>
                <c:pt idx="60">
                  <c:v>0.17384083655807084</c:v>
                </c:pt>
                <c:pt idx="61">
                  <c:v>0.17384083655807084</c:v>
                </c:pt>
                <c:pt idx="62">
                  <c:v>0.17384083655807084</c:v>
                </c:pt>
                <c:pt idx="63">
                  <c:v>0.17384083655807084</c:v>
                </c:pt>
                <c:pt idx="64">
                  <c:v>0.17384083655807084</c:v>
                </c:pt>
                <c:pt idx="65">
                  <c:v>0.17384083655807084</c:v>
                </c:pt>
                <c:pt idx="66">
                  <c:v>0.17384083655807084</c:v>
                </c:pt>
                <c:pt idx="67">
                  <c:v>0.17384083655807084</c:v>
                </c:pt>
                <c:pt idx="68">
                  <c:v>0.17384083655807084</c:v>
                </c:pt>
                <c:pt idx="69">
                  <c:v>0.17779181745121087</c:v>
                </c:pt>
                <c:pt idx="70">
                  <c:v>0.17779181745121087</c:v>
                </c:pt>
                <c:pt idx="71">
                  <c:v>0.17779181745121087</c:v>
                </c:pt>
                <c:pt idx="72">
                  <c:v>0.17779181745121087</c:v>
                </c:pt>
                <c:pt idx="73">
                  <c:v>0.17779181745121087</c:v>
                </c:pt>
                <c:pt idx="74">
                  <c:v>0.17779181745121087</c:v>
                </c:pt>
                <c:pt idx="75">
                  <c:v>0.18174279834435089</c:v>
                </c:pt>
                <c:pt idx="76">
                  <c:v>0.18174279834435089</c:v>
                </c:pt>
                <c:pt idx="77">
                  <c:v>0.18174279834435089</c:v>
                </c:pt>
                <c:pt idx="78">
                  <c:v>0.18569377923749089</c:v>
                </c:pt>
                <c:pt idx="79">
                  <c:v>0.18569377923749089</c:v>
                </c:pt>
                <c:pt idx="80">
                  <c:v>0.18964476013063092</c:v>
                </c:pt>
                <c:pt idx="81">
                  <c:v>0.19359574102377095</c:v>
                </c:pt>
                <c:pt idx="82">
                  <c:v>0.19754672191691097</c:v>
                </c:pt>
                <c:pt idx="83">
                  <c:v>0.20544868370319103</c:v>
                </c:pt>
                <c:pt idx="84">
                  <c:v>0.21730162638261105</c:v>
                </c:pt>
                <c:pt idx="85">
                  <c:v>0.23311019543535119</c:v>
                </c:pt>
                <c:pt idx="86">
                  <c:v>0.24890482804755115</c:v>
                </c:pt>
                <c:pt idx="87">
                  <c:v>0.26472268806065141</c:v>
                </c:pt>
                <c:pt idx="88">
                  <c:v>0.2805173206728514</c:v>
                </c:pt>
                <c:pt idx="89">
                  <c:v>0.29631195328505133</c:v>
                </c:pt>
                <c:pt idx="90">
                  <c:v>0.31212981329815159</c:v>
                </c:pt>
                <c:pt idx="91">
                  <c:v>0.32792444591035158</c:v>
                </c:pt>
                <c:pt idx="92">
                  <c:v>0.33582176221645155</c:v>
                </c:pt>
                <c:pt idx="93">
                  <c:v>0.35163962222955181</c:v>
                </c:pt>
                <c:pt idx="94">
                  <c:v>0.36348559668870178</c:v>
                </c:pt>
                <c:pt idx="95">
                  <c:v>0.37928022930090177</c:v>
                </c:pt>
                <c:pt idx="96">
                  <c:v>0.39509808931400203</c:v>
                </c:pt>
                <c:pt idx="97">
                  <c:v>0.41484138007925192</c:v>
                </c:pt>
                <c:pt idx="98">
                  <c:v>0.43065924009235218</c:v>
                </c:pt>
                <c:pt idx="99">
                  <c:v>0.45040253085760212</c:v>
                </c:pt>
                <c:pt idx="100">
                  <c:v>0.46622039087070238</c:v>
                </c:pt>
                <c:pt idx="101">
                  <c:v>0.48201502348290232</c:v>
                </c:pt>
                <c:pt idx="102">
                  <c:v>0.4978096560951023</c:v>
                </c:pt>
                <c:pt idx="103">
                  <c:v>0.51362751610820256</c:v>
                </c:pt>
                <c:pt idx="104">
                  <c:v>0.5294221487204025</c:v>
                </c:pt>
                <c:pt idx="105">
                  <c:v>0.54524000873350287</c:v>
                </c:pt>
                <c:pt idx="106">
                  <c:v>0.5610346413457028</c:v>
                </c:pt>
                <c:pt idx="107">
                  <c:v>0.57682927395790273</c:v>
                </c:pt>
                <c:pt idx="108">
                  <c:v>0.59264713397100299</c:v>
                </c:pt>
                <c:pt idx="109">
                  <c:v>0.60844176658320304</c:v>
                </c:pt>
                <c:pt idx="110">
                  <c:v>0.62425962659630319</c:v>
                </c:pt>
                <c:pt idx="111">
                  <c:v>0.64005425920850323</c:v>
                </c:pt>
                <c:pt idx="112">
                  <c:v>0.65584889182070316</c:v>
                </c:pt>
                <c:pt idx="113">
                  <c:v>0.67166675183380342</c:v>
                </c:pt>
                <c:pt idx="114">
                  <c:v>0.68746138444600335</c:v>
                </c:pt>
                <c:pt idx="115">
                  <c:v>0.70327924445910361</c:v>
                </c:pt>
                <c:pt idx="116">
                  <c:v>0.71907387707130355</c:v>
                </c:pt>
                <c:pt idx="117">
                  <c:v>0.73486850968350359</c:v>
                </c:pt>
                <c:pt idx="118">
                  <c:v>0.75068636969660385</c:v>
                </c:pt>
                <c:pt idx="119">
                  <c:v>0.76648100230880389</c:v>
                </c:pt>
                <c:pt idx="120">
                  <c:v>0.78229886232190404</c:v>
                </c:pt>
                <c:pt idx="121">
                  <c:v>0.79809349493410386</c:v>
                </c:pt>
                <c:pt idx="122">
                  <c:v>0.81388812754630391</c:v>
                </c:pt>
                <c:pt idx="123">
                  <c:v>0.82970598755940406</c:v>
                </c:pt>
                <c:pt idx="124">
                  <c:v>0.84550062017160421</c:v>
                </c:pt>
                <c:pt idx="125">
                  <c:v>0.86131848018470436</c:v>
                </c:pt>
                <c:pt idx="126">
                  <c:v>0.8771131127969044</c:v>
                </c:pt>
                <c:pt idx="127">
                  <c:v>0.89290774540910423</c:v>
                </c:pt>
                <c:pt idx="128">
                  <c:v>0.90872560542220449</c:v>
                </c:pt>
                <c:pt idx="129">
                  <c:v>0.92452023803440442</c:v>
                </c:pt>
                <c:pt idx="130">
                  <c:v>0.94033809804750479</c:v>
                </c:pt>
                <c:pt idx="131">
                  <c:v>0.95613273065970472</c:v>
                </c:pt>
                <c:pt idx="132">
                  <c:v>0.97192736327190477</c:v>
                </c:pt>
                <c:pt idx="133">
                  <c:v>0.98774522328500491</c:v>
                </c:pt>
                <c:pt idx="134">
                  <c:v>1.0035398558972048</c:v>
                </c:pt>
                <c:pt idx="135">
                  <c:v>1.0193344885094049</c:v>
                </c:pt>
                <c:pt idx="136">
                  <c:v>1.0351523485225052</c:v>
                </c:pt>
                <c:pt idx="137">
                  <c:v>1.0509469811347052</c:v>
                </c:pt>
                <c:pt idx="138">
                  <c:v>1.0667648411478052</c:v>
                </c:pt>
                <c:pt idx="139">
                  <c:v>1.0825594737600053</c:v>
                </c:pt>
                <c:pt idx="140">
                  <c:v>1.0983541063722053</c:v>
                </c:pt>
                <c:pt idx="141">
                  <c:v>1.1141719663853056</c:v>
                </c:pt>
                <c:pt idx="142">
                  <c:v>1.1299665989975056</c:v>
                </c:pt>
                <c:pt idx="143">
                  <c:v>1.1457844590106057</c:v>
                </c:pt>
                <c:pt idx="144">
                  <c:v>1.1615790916228057</c:v>
                </c:pt>
                <c:pt idx="145">
                  <c:v>1.1773737242350057</c:v>
                </c:pt>
                <c:pt idx="146">
                  <c:v>1.193191584248106</c:v>
                </c:pt>
                <c:pt idx="147">
                  <c:v>1.2089862168603058</c:v>
                </c:pt>
                <c:pt idx="148">
                  <c:v>1.2248040768734063</c:v>
                </c:pt>
                <c:pt idx="149">
                  <c:v>1.2405987094856061</c:v>
                </c:pt>
                <c:pt idx="150">
                  <c:v>1.256393342097806</c:v>
                </c:pt>
                <c:pt idx="151">
                  <c:v>1.2722112021109064</c:v>
                </c:pt>
                <c:pt idx="152">
                  <c:v>1.2880058347231063</c:v>
                </c:pt>
                <c:pt idx="153">
                  <c:v>1.3038236947362067</c:v>
                </c:pt>
                <c:pt idx="154">
                  <c:v>1.3196183273484066</c:v>
                </c:pt>
                <c:pt idx="155">
                  <c:v>1.3354129599606066</c:v>
                </c:pt>
                <c:pt idx="156">
                  <c:v>1.3512308199737066</c:v>
                </c:pt>
                <c:pt idx="157">
                  <c:v>1.3670254525859067</c:v>
                </c:pt>
                <c:pt idx="158">
                  <c:v>1.3828433125990067</c:v>
                </c:pt>
                <c:pt idx="159">
                  <c:v>1.398637945211207</c:v>
                </c:pt>
                <c:pt idx="160">
                  <c:v>1.414432577823407</c:v>
                </c:pt>
                <c:pt idx="161">
                  <c:v>1.4302504378365071</c:v>
                </c:pt>
                <c:pt idx="162">
                  <c:v>1.4460450704487071</c:v>
                </c:pt>
                <c:pt idx="163">
                  <c:v>1.4618629304618074</c:v>
                </c:pt>
                <c:pt idx="164">
                  <c:v>1.4776575630740072</c:v>
                </c:pt>
                <c:pt idx="165">
                  <c:v>1.4974008538392574</c:v>
                </c:pt>
                <c:pt idx="166">
                  <c:v>1.5132187138523574</c:v>
                </c:pt>
                <c:pt idx="167">
                  <c:v>1.5290133464645577</c:v>
                </c:pt>
                <c:pt idx="168">
                  <c:v>1.5448312064776577</c:v>
                </c:pt>
                <c:pt idx="169">
                  <c:v>1.5606258390898577</c:v>
                </c:pt>
                <c:pt idx="170">
                  <c:v>1.5764204717020576</c:v>
                </c:pt>
                <c:pt idx="171">
                  <c:v>1.5922383317151581</c:v>
                </c:pt>
                <c:pt idx="172">
                  <c:v>1.6080329643273579</c:v>
                </c:pt>
                <c:pt idx="173">
                  <c:v>1.6238508243404584</c:v>
                </c:pt>
                <c:pt idx="174">
                  <c:v>1.639645456952658</c:v>
                </c:pt>
                <c:pt idx="175">
                  <c:v>1.6593887477179081</c:v>
                </c:pt>
                <c:pt idx="176">
                  <c:v>1.6752066077310082</c:v>
                </c:pt>
                <c:pt idx="177">
                  <c:v>1.6910012403432084</c:v>
                </c:pt>
                <c:pt idx="178">
                  <c:v>1.7107677585093586</c:v>
                </c:pt>
                <c:pt idx="179">
                  <c:v>1.7265623911215584</c:v>
                </c:pt>
                <c:pt idx="180">
                  <c:v>1.7423802511346587</c:v>
                </c:pt>
                <c:pt idx="181">
                  <c:v>1.7621235418999088</c:v>
                </c:pt>
                <c:pt idx="182">
                  <c:v>1.781890060066059</c:v>
                </c:pt>
                <c:pt idx="183">
                  <c:v>1.7976846926782588</c:v>
                </c:pt>
                <c:pt idx="184">
                  <c:v>1.8134793252904591</c:v>
                </c:pt>
                <c:pt idx="185">
                  <c:v>1.8292971853035591</c:v>
                </c:pt>
                <c:pt idx="186">
                  <c:v>1.8450918179157594</c:v>
                </c:pt>
                <c:pt idx="187">
                  <c:v>1.8609096779288594</c:v>
                </c:pt>
                <c:pt idx="188">
                  <c:v>1.876704310541059</c:v>
                </c:pt>
                <c:pt idx="189">
                  <c:v>1.8964476013063094</c:v>
                </c:pt>
                <c:pt idx="190">
                  <c:v>1.9122654613194094</c:v>
                </c:pt>
                <c:pt idx="191">
                  <c:v>1.9280600939316093</c:v>
                </c:pt>
                <c:pt idx="192">
                  <c:v>1.9438779539447095</c:v>
                </c:pt>
                <c:pt idx="193">
                  <c:v>1.9596725865569096</c:v>
                </c:pt>
                <c:pt idx="194">
                  <c:v>1.9754672191691098</c:v>
                </c:pt>
                <c:pt idx="195">
                  <c:v>1.9912850791822099</c:v>
                </c:pt>
                <c:pt idx="196">
                  <c:v>2.0070797117944097</c:v>
                </c:pt>
                <c:pt idx="197">
                  <c:v>2.0228975718075102</c:v>
                </c:pt>
                <c:pt idx="198">
                  <c:v>2.0386922044197102</c:v>
                </c:pt>
                <c:pt idx="199">
                  <c:v>2.0544868370319098</c:v>
                </c:pt>
                <c:pt idx="200">
                  <c:v>2.0703046970450103</c:v>
                </c:pt>
                <c:pt idx="201">
                  <c:v>2.0860993296572103</c:v>
                </c:pt>
                <c:pt idx="202">
                  <c:v>2.1019171896703104</c:v>
                </c:pt>
                <c:pt idx="203">
                  <c:v>2.1177118222825104</c:v>
                </c:pt>
                <c:pt idx="204">
                  <c:v>2.1374551130477606</c:v>
                </c:pt>
                <c:pt idx="205">
                  <c:v>2.1532729730608606</c:v>
                </c:pt>
                <c:pt idx="206">
                  <c:v>2.1690676056730607</c:v>
                </c:pt>
                <c:pt idx="207">
                  <c:v>2.1848854656861612</c:v>
                </c:pt>
                <c:pt idx="208">
                  <c:v>2.2046287564514113</c:v>
                </c:pt>
                <c:pt idx="209">
                  <c:v>2.2204466164645109</c:v>
                </c:pt>
                <c:pt idx="210">
                  <c:v>2.236241249076711</c:v>
                </c:pt>
                <c:pt idx="211">
                  <c:v>2.252035881688911</c:v>
                </c:pt>
                <c:pt idx="212">
                  <c:v>2.2678537417020115</c:v>
                </c:pt>
                <c:pt idx="213">
                  <c:v>2.2875970324672608</c:v>
                </c:pt>
                <c:pt idx="214">
                  <c:v>2.3034148924803617</c:v>
                </c:pt>
                <c:pt idx="215">
                  <c:v>2.3192095250925613</c:v>
                </c:pt>
                <c:pt idx="216">
                  <c:v>2.3389992706596119</c:v>
                </c:pt>
                <c:pt idx="217">
                  <c:v>2.3547939032718119</c:v>
                </c:pt>
                <c:pt idx="218">
                  <c:v>2.370588535884012</c:v>
                </c:pt>
                <c:pt idx="219">
                  <c:v>2.3903318266492617</c:v>
                </c:pt>
                <c:pt idx="220">
                  <c:v>2.4061264592614622</c:v>
                </c:pt>
                <c:pt idx="221">
                  <c:v>2.4258697500267119</c:v>
                </c:pt>
                <c:pt idx="222">
                  <c:v>2.4416643826389115</c:v>
                </c:pt>
                <c:pt idx="223">
                  <c:v>2.4614076734041617</c:v>
                </c:pt>
                <c:pt idx="224">
                  <c:v>2.4772023060163617</c:v>
                </c:pt>
                <c:pt idx="225">
                  <c:v>2.4969455967816114</c:v>
                </c:pt>
                <c:pt idx="226">
                  <c:v>2.5127402293938119</c:v>
                </c:pt>
                <c:pt idx="227">
                  <c:v>2.5324835201590616</c:v>
                </c:pt>
                <c:pt idx="228">
                  <c:v>2.5482781527712617</c:v>
                </c:pt>
                <c:pt idx="229">
                  <c:v>2.5640727853834617</c:v>
                </c:pt>
                <c:pt idx="230">
                  <c:v>2.5798674179956609</c:v>
                </c:pt>
                <c:pt idx="231">
                  <c:v>2.5998429827699145</c:v>
                </c:pt>
                <c:pt idx="232">
                  <c:v>2.6195862735351643</c:v>
                </c:pt>
                <c:pt idx="233">
                  <c:v>2.6353809061473639</c:v>
                </c:pt>
                <c:pt idx="234">
                  <c:v>2.6511755387595639</c:v>
                </c:pt>
                <c:pt idx="235">
                  <c:v>2.666970171371764</c:v>
                </c:pt>
                <c:pt idx="236">
                  <c:v>2.682764803983964</c:v>
                </c:pt>
                <c:pt idx="237">
                  <c:v>2.7025080947492142</c:v>
                </c:pt>
                <c:pt idx="238">
                  <c:v>2.7222513855144643</c:v>
                </c:pt>
                <c:pt idx="239">
                  <c:v>2.741994676279714</c:v>
                </c:pt>
                <c:pt idx="240">
                  <c:v>2.7617379670449638</c:v>
                </c:pt>
                <c:pt idx="241">
                  <c:v>2.7814812578102139</c:v>
                </c:pt>
                <c:pt idx="242">
                  <c:v>2.8012245485754637</c:v>
                </c:pt>
                <c:pt idx="243">
                  <c:v>2.8170191811876637</c:v>
                </c:pt>
                <c:pt idx="244">
                  <c:v>2.8328138137998637</c:v>
                </c:pt>
                <c:pt idx="245">
                  <c:v>2.8525571045651139</c:v>
                </c:pt>
                <c:pt idx="246">
                  <c:v>2.8723003953303636</c:v>
                </c:pt>
                <c:pt idx="247">
                  <c:v>2.8920436860956134</c:v>
                </c:pt>
                <c:pt idx="248">
                  <c:v>2.9078383187078134</c:v>
                </c:pt>
                <c:pt idx="249">
                  <c:v>2.9236329513200134</c:v>
                </c:pt>
                <c:pt idx="250">
                  <c:v>2.9433762420852636</c:v>
                </c:pt>
                <c:pt idx="251">
                  <c:v>2.9631195328505133</c:v>
                </c:pt>
                <c:pt idx="252">
                  <c:v>2.982862823615763</c:v>
                </c:pt>
                <c:pt idx="253">
                  <c:v>2.9986574562279635</c:v>
                </c:pt>
                <c:pt idx="254">
                  <c:v>3.0146843628491662</c:v>
                </c:pt>
                <c:pt idx="255">
                  <c:v>3.0344276536144159</c:v>
                </c:pt>
                <c:pt idx="256">
                  <c:v>3.0620682606857668</c:v>
                </c:pt>
                <c:pt idx="257">
                  <c:v>3.0897088677571163</c:v>
                </c:pt>
                <c:pt idx="258">
                  <c:v>3.1134008166754157</c:v>
                </c:pt>
                <c:pt idx="259">
                  <c:v>3.137092765593716</c:v>
                </c:pt>
                <c:pt idx="260">
                  <c:v>3.1647333726650659</c:v>
                </c:pt>
                <c:pt idx="261">
                  <c:v>3.1923739797364155</c:v>
                </c:pt>
                <c:pt idx="262">
                  <c:v>3.2200145868077654</c:v>
                </c:pt>
                <c:pt idx="263">
                  <c:v>3.2437065357260657</c:v>
                </c:pt>
                <c:pt idx="264">
                  <c:v>3.2673984846443656</c:v>
                </c:pt>
                <c:pt idx="265">
                  <c:v>3.295039091715716</c:v>
                </c:pt>
                <c:pt idx="266">
                  <c:v>3.3187310406340154</c:v>
                </c:pt>
                <c:pt idx="267">
                  <c:v>3.3424229895523156</c:v>
                </c:pt>
                <c:pt idx="268">
                  <c:v>3.366114938470615</c:v>
                </c:pt>
                <c:pt idx="269">
                  <c:v>3.3898068873889153</c:v>
                </c:pt>
                <c:pt idx="270">
                  <c:v>3.4137311103162182</c:v>
                </c:pt>
                <c:pt idx="271">
                  <c:v>3.4413717173875682</c:v>
                </c:pt>
                <c:pt idx="272">
                  <c:v>3.4650636663058685</c:v>
                </c:pt>
                <c:pt idx="273">
                  <c:v>3.4927042733772184</c:v>
                </c:pt>
                <c:pt idx="274">
                  <c:v>3.5163962222955174</c:v>
                </c:pt>
                <c:pt idx="275">
                  <c:v>3.5400881712138177</c:v>
                </c:pt>
                <c:pt idx="276">
                  <c:v>3.563780120132118</c:v>
                </c:pt>
                <c:pt idx="277">
                  <c:v>3.5914207272034679</c:v>
                </c:pt>
                <c:pt idx="278">
                  <c:v>3.6151126761217678</c:v>
                </c:pt>
                <c:pt idx="279">
                  <c:v>3.6388046250400676</c:v>
                </c:pt>
                <c:pt idx="280">
                  <c:v>3.6624965739583675</c:v>
                </c:pt>
                <c:pt idx="281">
                  <c:v>3.6901371810297174</c:v>
                </c:pt>
                <c:pt idx="282">
                  <c:v>3.7138291299480173</c:v>
                </c:pt>
                <c:pt idx="283">
                  <c:v>3.7375210788663176</c:v>
                </c:pt>
                <c:pt idx="284">
                  <c:v>3.7612130277846174</c:v>
                </c:pt>
                <c:pt idx="285">
                  <c:v>3.7849049767029168</c:v>
                </c:pt>
                <c:pt idx="286">
                  <c:v>3.8127778577832707</c:v>
                </c:pt>
                <c:pt idx="287">
                  <c:v>3.8364698067015697</c:v>
                </c:pt>
                <c:pt idx="288">
                  <c:v>3.86016175561987</c:v>
                </c:pt>
                <c:pt idx="289">
                  <c:v>3.8838537045381702</c:v>
                </c:pt>
                <c:pt idx="290">
                  <c:v>3.9075456534564696</c:v>
                </c:pt>
                <c:pt idx="291">
                  <c:v>3.9351862605278196</c:v>
                </c:pt>
                <c:pt idx="292">
                  <c:v>3.9588782094461195</c:v>
                </c:pt>
                <c:pt idx="293">
                  <c:v>3.9825701583644197</c:v>
                </c:pt>
                <c:pt idx="294">
                  <c:v>4.0102107654357697</c:v>
                </c:pt>
                <c:pt idx="295">
                  <c:v>4.0339027143540696</c:v>
                </c:pt>
                <c:pt idx="296">
                  <c:v>4.0575946632723694</c:v>
                </c:pt>
                <c:pt idx="297">
                  <c:v>4.0931325866498192</c:v>
                </c:pt>
                <c:pt idx="298">
                  <c:v>4.1247218518742201</c:v>
                </c:pt>
                <c:pt idx="299">
                  <c:v>4.1563111170986193</c:v>
                </c:pt>
                <c:pt idx="300">
                  <c:v>4.1918490404760691</c:v>
                </c:pt>
                <c:pt idx="301">
                  <c:v>4.2236705797094718</c:v>
                </c:pt>
                <c:pt idx="302">
                  <c:v>4.2592085030869216</c:v>
                </c:pt>
                <c:pt idx="303">
                  <c:v>4.2907977683113216</c:v>
                </c:pt>
                <c:pt idx="304">
                  <c:v>4.3263356916887714</c:v>
                </c:pt>
                <c:pt idx="305">
                  <c:v>4.3618736150662221</c:v>
                </c:pt>
                <c:pt idx="306">
                  <c:v>4.3974115384436718</c:v>
                </c:pt>
                <c:pt idx="307">
                  <c:v>4.4290008036680719</c:v>
                </c:pt>
                <c:pt idx="308">
                  <c:v>4.4645387270455217</c:v>
                </c:pt>
                <c:pt idx="309">
                  <c:v>4.5000766504229714</c:v>
                </c:pt>
                <c:pt idx="310">
                  <c:v>4.5356145738004212</c:v>
                </c:pt>
                <c:pt idx="311">
                  <c:v>4.5711524971778719</c:v>
                </c:pt>
                <c:pt idx="312">
                  <c:v>4.6069226945643242</c:v>
                </c:pt>
                <c:pt idx="313">
                  <c:v>4.6385119597887234</c:v>
                </c:pt>
                <c:pt idx="314">
                  <c:v>4.6740498831661732</c:v>
                </c:pt>
                <c:pt idx="315">
                  <c:v>4.7095878065436239</c:v>
                </c:pt>
                <c:pt idx="316">
                  <c:v>4.7451257299210736</c:v>
                </c:pt>
                <c:pt idx="317">
                  <c:v>4.7806636532985234</c:v>
                </c:pt>
                <c:pt idx="318">
                  <c:v>4.816201576675974</c:v>
                </c:pt>
                <c:pt idx="319">
                  <c:v>4.8477908419003741</c:v>
                </c:pt>
                <c:pt idx="320">
                  <c:v>4.8872774234308727</c:v>
                </c:pt>
                <c:pt idx="321">
                  <c:v>4.9228153468083233</c:v>
                </c:pt>
                <c:pt idx="322">
                  <c:v>4.9583532701857731</c:v>
                </c:pt>
                <c:pt idx="323">
                  <c:v>4.9938911935632229</c:v>
                </c:pt>
                <c:pt idx="324">
                  <c:v>5.0296613909496761</c:v>
                </c:pt>
                <c:pt idx="325">
                  <c:v>5.065199314327125</c:v>
                </c:pt>
                <c:pt idx="326">
                  <c:v>5.1046858958576262</c:v>
                </c:pt>
                <c:pt idx="327">
                  <c:v>5.1481211355411753</c:v>
                </c:pt>
                <c:pt idx="328">
                  <c:v>5.1876077170716757</c:v>
                </c:pt>
                <c:pt idx="329">
                  <c:v>5.2349916149082754</c:v>
                </c:pt>
                <c:pt idx="330">
                  <c:v>5.2784268545918254</c:v>
                </c:pt>
                <c:pt idx="331">
                  <c:v>5.3179134361223248</c:v>
                </c:pt>
                <c:pt idx="332">
                  <c:v>5.3652973339589254</c:v>
                </c:pt>
                <c:pt idx="333">
                  <c:v>5.4129135058045277</c:v>
                </c:pt>
                <c:pt idx="334">
                  <c:v>5.4602974036411283</c:v>
                </c:pt>
                <c:pt idx="335">
                  <c:v>5.5076813014777288</c:v>
                </c:pt>
                <c:pt idx="336">
                  <c:v>5.5550651993143276</c:v>
                </c:pt>
                <c:pt idx="337">
                  <c:v>5.594551780844828</c:v>
                </c:pt>
                <c:pt idx="338">
                  <c:v>5.6340383623753274</c:v>
                </c:pt>
                <c:pt idx="339">
                  <c:v>5.6814222602119271</c:v>
                </c:pt>
                <c:pt idx="340">
                  <c:v>5.7209088417424283</c:v>
                </c:pt>
                <c:pt idx="341">
                  <c:v>5.7603954232729269</c:v>
                </c:pt>
                <c:pt idx="342">
                  <c:v>5.8001142788124298</c:v>
                </c:pt>
                <c:pt idx="343">
                  <c:v>5.8396008603429301</c:v>
                </c:pt>
                <c:pt idx="344">
                  <c:v>5.8790874418734305</c:v>
                </c:pt>
                <c:pt idx="345">
                  <c:v>5.9185740234039299</c:v>
                </c:pt>
                <c:pt idx="346">
                  <c:v>5.9580606049344293</c:v>
                </c:pt>
                <c:pt idx="347">
                  <c:v>5.9975471864649288</c:v>
                </c:pt>
                <c:pt idx="348">
                  <c:v>6.0409824261484788</c:v>
                </c:pt>
                <c:pt idx="349">
                  <c:v>6.0804690076789791</c:v>
                </c:pt>
                <c:pt idx="350">
                  <c:v>6.1318015636686294</c:v>
                </c:pt>
                <c:pt idx="351">
                  <c:v>6.1791854615052291</c:v>
                </c:pt>
                <c:pt idx="352">
                  <c:v>6.2307502915038819</c:v>
                </c:pt>
                <c:pt idx="353">
                  <c:v>6.2820828474935313</c:v>
                </c:pt>
                <c:pt idx="354">
                  <c:v>6.3294667453301319</c:v>
                </c:pt>
                <c:pt idx="355">
                  <c:v>6.3807993013197803</c:v>
                </c:pt>
                <c:pt idx="356">
                  <c:v>6.4321318573094315</c:v>
                </c:pt>
                <c:pt idx="357">
                  <c:v>6.4834644132990809</c:v>
                </c:pt>
                <c:pt idx="358">
                  <c:v>6.5347969692887311</c:v>
                </c:pt>
                <c:pt idx="359">
                  <c:v>6.5821808671253317</c:v>
                </c:pt>
                <c:pt idx="360">
                  <c:v>6.6376943552770333</c:v>
                </c:pt>
                <c:pt idx="361">
                  <c:v>6.6890269112666845</c:v>
                </c:pt>
                <c:pt idx="362">
                  <c:v>6.7403594672563338</c:v>
                </c:pt>
                <c:pt idx="363">
                  <c:v>6.7916920232459832</c:v>
                </c:pt>
                <c:pt idx="364">
                  <c:v>6.8430245792356335</c:v>
                </c:pt>
                <c:pt idx="365">
                  <c:v>6.8983057933783334</c:v>
                </c:pt>
                <c:pt idx="366">
                  <c:v>6.9535870075210333</c:v>
                </c:pt>
                <c:pt idx="367">
                  <c:v>7.009100495672735</c:v>
                </c:pt>
                <c:pt idx="368">
                  <c:v>7.0604330516623861</c:v>
                </c:pt>
                <c:pt idx="369">
                  <c:v>7.1078169494989858</c:v>
                </c:pt>
                <c:pt idx="370">
                  <c:v>7.1630981636416857</c:v>
                </c:pt>
                <c:pt idx="371">
                  <c:v>7.2183793777843857</c:v>
                </c:pt>
                <c:pt idx="372">
                  <c:v>7.2736605919270847</c:v>
                </c:pt>
                <c:pt idx="373">
                  <c:v>7.3368391223758849</c:v>
                </c:pt>
                <c:pt idx="374">
                  <c:v>7.3921203365185848</c:v>
                </c:pt>
                <c:pt idx="375">
                  <c:v>7.4476338246702873</c:v>
                </c:pt>
                <c:pt idx="376">
                  <c:v>7.5029150388129873</c:v>
                </c:pt>
                <c:pt idx="377">
                  <c:v>7.5581962529556872</c:v>
                </c:pt>
                <c:pt idx="378">
                  <c:v>7.6174261252514377</c:v>
                </c:pt>
                <c:pt idx="379">
                  <c:v>7.6727073393941376</c:v>
                </c:pt>
                <c:pt idx="380">
                  <c:v>7.7319372116898872</c:v>
                </c:pt>
                <c:pt idx="381">
                  <c:v>7.7911670839856368</c:v>
                </c:pt>
                <c:pt idx="382">
                  <c:v>7.8466805721373403</c:v>
                </c:pt>
                <c:pt idx="383">
                  <c:v>7.9019617862800393</c:v>
                </c:pt>
                <c:pt idx="384">
                  <c:v>7.9611916585757898</c:v>
                </c:pt>
                <c:pt idx="385">
                  <c:v>8.0164728727184897</c:v>
                </c:pt>
                <c:pt idx="386">
                  <c:v>8.0717540868611888</c:v>
                </c:pt>
                <c:pt idx="387">
                  <c:v>8.1270353010038896</c:v>
                </c:pt>
                <c:pt idx="388">
                  <c:v>8.1983434217677917</c:v>
                </c:pt>
                <c:pt idx="389">
                  <c:v>8.2654706103696416</c:v>
                </c:pt>
                <c:pt idx="390">
                  <c:v>8.3325977989714914</c:v>
                </c:pt>
                <c:pt idx="391">
                  <c:v>8.4036736457263927</c:v>
                </c:pt>
                <c:pt idx="392">
                  <c:v>8.4708008343282408</c:v>
                </c:pt>
                <c:pt idx="393">
                  <c:v>8.5418766810831404</c:v>
                </c:pt>
                <c:pt idx="394">
                  <c:v>8.6131848018470443</c:v>
                </c:pt>
                <c:pt idx="395">
                  <c:v>8.6842606486019438</c:v>
                </c:pt>
                <c:pt idx="396">
                  <c:v>8.7553364953568433</c:v>
                </c:pt>
                <c:pt idx="397">
                  <c:v>8.8264123421117446</c:v>
                </c:pt>
                <c:pt idx="398">
                  <c:v>8.8974881888666424</c:v>
                </c:pt>
                <c:pt idx="399">
                  <c:v>8.9725126937745934</c:v>
                </c:pt>
                <c:pt idx="400">
                  <c:v>9.0438208145384955</c:v>
                </c:pt>
                <c:pt idx="401">
                  <c:v>9.1148966612933968</c:v>
                </c:pt>
                <c:pt idx="402">
                  <c:v>9.1859725080482963</c:v>
                </c:pt>
                <c:pt idx="403">
                  <c:v>9.2570483548031959</c:v>
                </c:pt>
                <c:pt idx="404">
                  <c:v>9.3320728597111433</c:v>
                </c:pt>
                <c:pt idx="405">
                  <c:v>9.4033809804750472</c:v>
                </c:pt>
                <c:pt idx="406">
                  <c:v>9.4784054853829982</c:v>
                </c:pt>
                <c:pt idx="407">
                  <c:v>9.5494813321378977</c:v>
                </c:pt>
                <c:pt idx="408">
                  <c:v>9.6245058370458487</c:v>
                </c:pt>
                <c:pt idx="409">
                  <c:v>9.6955816838007483</c:v>
                </c:pt>
                <c:pt idx="410">
                  <c:v>9.7706061887086957</c:v>
                </c:pt>
                <c:pt idx="411">
                  <c:v>9.8458629676256493</c:v>
                </c:pt>
                <c:pt idx="412">
                  <c:v>9.9208874725336003</c:v>
                </c:pt>
                <c:pt idx="413">
                  <c:v>9.9959119774415495</c:v>
                </c:pt>
                <c:pt idx="414">
                  <c:v>10.07488514050255</c:v>
                </c:pt>
                <c:pt idx="415">
                  <c:v>10.149909645410499</c:v>
                </c:pt>
                <c:pt idx="416">
                  <c:v>10.229115082480501</c:v>
                </c:pt>
                <c:pt idx="417">
                  <c:v>10.315985561847601</c:v>
                </c:pt>
                <c:pt idx="418">
                  <c:v>10.394958724908602</c:v>
                </c:pt>
                <c:pt idx="419">
                  <c:v>10.481829204275702</c:v>
                </c:pt>
                <c:pt idx="420">
                  <c:v>10.560802367336702</c:v>
                </c:pt>
                <c:pt idx="421">
                  <c:v>10.651853778865853</c:v>
                </c:pt>
                <c:pt idx="422">
                  <c:v>10.730826941926853</c:v>
                </c:pt>
                <c:pt idx="423">
                  <c:v>10.817697421293953</c:v>
                </c:pt>
                <c:pt idx="424">
                  <c:v>10.896670584354954</c:v>
                </c:pt>
                <c:pt idx="425">
                  <c:v>10.979592405569003</c:v>
                </c:pt>
                <c:pt idx="426">
                  <c:v>11.058797842639006</c:v>
                </c:pt>
                <c:pt idx="427">
                  <c:v>11.137771005700005</c:v>
                </c:pt>
                <c:pt idx="428">
                  <c:v>11.232538801373204</c:v>
                </c:pt>
                <c:pt idx="429">
                  <c:v>11.319409280740304</c:v>
                </c:pt>
                <c:pt idx="430">
                  <c:v>11.41440935042251</c:v>
                </c:pt>
                <c:pt idx="431">
                  <c:v>11.509177146095707</c:v>
                </c:pt>
                <c:pt idx="432">
                  <c:v>11.603944941768907</c:v>
                </c:pt>
                <c:pt idx="433">
                  <c:v>11.702661395595158</c:v>
                </c:pt>
                <c:pt idx="434">
                  <c:v>11.801610123430409</c:v>
                </c:pt>
                <c:pt idx="435">
                  <c:v>11.896377919103609</c:v>
                </c:pt>
                <c:pt idx="436">
                  <c:v>11.983248398470709</c:v>
                </c:pt>
                <c:pt idx="437">
                  <c:v>12.081964852296958</c:v>
                </c:pt>
                <c:pt idx="438">
                  <c:v>12.168835331664058</c:v>
                </c:pt>
                <c:pt idx="439">
                  <c:v>12.267784059499311</c:v>
                </c:pt>
                <c:pt idx="440">
                  <c:v>12.36650051332556</c:v>
                </c:pt>
                <c:pt idx="441">
                  <c:v>12.465216967151809</c:v>
                </c:pt>
                <c:pt idx="442">
                  <c:v>12.56393342097806</c:v>
                </c:pt>
                <c:pt idx="443">
                  <c:v>12.662882148813313</c:v>
                </c:pt>
                <c:pt idx="444">
                  <c:v>12.761598602639561</c:v>
                </c:pt>
                <c:pt idx="445">
                  <c:v>12.860315056465812</c:v>
                </c:pt>
                <c:pt idx="446">
                  <c:v>12.959031510292062</c:v>
                </c:pt>
                <c:pt idx="447">
                  <c:v>13.057980238127314</c:v>
                </c:pt>
                <c:pt idx="448">
                  <c:v>13.156696691953565</c:v>
                </c:pt>
                <c:pt idx="449">
                  <c:v>13.259361803932865</c:v>
                </c:pt>
                <c:pt idx="450">
                  <c:v>13.369924232218265</c:v>
                </c:pt>
                <c:pt idx="451">
                  <c:v>13.472821618206567</c:v>
                </c:pt>
                <c:pt idx="452">
                  <c:v>13.587332704645018</c:v>
                </c:pt>
                <c:pt idx="453">
                  <c:v>13.701843791083466</c:v>
                </c:pt>
                <c:pt idx="454">
                  <c:v>13.804741177071771</c:v>
                </c:pt>
                <c:pt idx="455">
                  <c:v>13.907406289051069</c:v>
                </c:pt>
                <c:pt idx="456">
                  <c:v>14.021917375489519</c:v>
                </c:pt>
                <c:pt idx="457">
                  <c:v>14.124582487468819</c:v>
                </c:pt>
                <c:pt idx="458">
                  <c:v>14.227479873457121</c:v>
                </c:pt>
                <c:pt idx="459">
                  <c:v>14.345939618048622</c:v>
                </c:pt>
                <c:pt idx="460">
                  <c:v>14.464399362640123</c:v>
                </c:pt>
                <c:pt idx="461">
                  <c:v>14.582859107231622</c:v>
                </c:pt>
                <c:pt idx="462">
                  <c:v>14.701551125832124</c:v>
                </c:pt>
                <c:pt idx="463">
                  <c:v>14.823959528576674</c:v>
                </c:pt>
                <c:pt idx="464">
                  <c:v>14.946367931321223</c:v>
                </c:pt>
                <c:pt idx="465">
                  <c:v>15.069008608074775</c:v>
                </c:pt>
                <c:pt idx="466">
                  <c:v>15.191417010819325</c:v>
                </c:pt>
                <c:pt idx="467">
                  <c:v>15.309876755410825</c:v>
                </c:pt>
                <c:pt idx="468">
                  <c:v>15.432517432164376</c:v>
                </c:pt>
                <c:pt idx="469">
                  <c:v>15.554925834908927</c:v>
                </c:pt>
                <c:pt idx="470">
                  <c:v>15.677334237653477</c:v>
                </c:pt>
                <c:pt idx="471">
                  <c:v>15.799974914407029</c:v>
                </c:pt>
                <c:pt idx="472">
                  <c:v>15.92238331715158</c:v>
                </c:pt>
                <c:pt idx="473">
                  <c:v>16.040843061743079</c:v>
                </c:pt>
                <c:pt idx="474">
                  <c:v>16.167200122640679</c:v>
                </c:pt>
                <c:pt idx="475">
                  <c:v>16.29378945754728</c:v>
                </c:pt>
                <c:pt idx="476">
                  <c:v>16.420146518444881</c:v>
                </c:pt>
                <c:pt idx="477">
                  <c:v>16.546503579342481</c:v>
                </c:pt>
                <c:pt idx="478">
                  <c:v>16.673092914249086</c:v>
                </c:pt>
                <c:pt idx="479">
                  <c:v>16.799449975146683</c:v>
                </c:pt>
                <c:pt idx="480">
                  <c:v>16.929755694197333</c:v>
                </c:pt>
                <c:pt idx="481">
                  <c:v>17.056345029103934</c:v>
                </c:pt>
                <c:pt idx="482">
                  <c:v>17.182702090001534</c:v>
                </c:pt>
                <c:pt idx="483">
                  <c:v>17.313007809052184</c:v>
                </c:pt>
                <c:pt idx="484">
                  <c:v>17.455391776570988</c:v>
                </c:pt>
                <c:pt idx="485">
                  <c:v>17.601492128233836</c:v>
                </c:pt>
                <c:pt idx="486">
                  <c:v>17.747592479896689</c:v>
                </c:pt>
                <c:pt idx="487">
                  <c:v>17.882079131109389</c:v>
                </c:pt>
                <c:pt idx="488">
                  <c:v>18.028179482772238</c:v>
                </c:pt>
                <c:pt idx="489">
                  <c:v>18.162433859975941</c:v>
                </c:pt>
                <c:pt idx="490">
                  <c:v>18.304817827494741</c:v>
                </c:pt>
                <c:pt idx="491">
                  <c:v>18.450918179157593</c:v>
                </c:pt>
                <c:pt idx="492">
                  <c:v>18.597250804829439</c:v>
                </c:pt>
                <c:pt idx="493">
                  <c:v>18.747299814645341</c:v>
                </c:pt>
                <c:pt idx="494">
                  <c:v>18.89340016630819</c:v>
                </c:pt>
                <c:pt idx="495">
                  <c:v>19.039732791980047</c:v>
                </c:pt>
                <c:pt idx="496">
                  <c:v>19.189781801795945</c:v>
                </c:pt>
                <c:pt idx="497">
                  <c:v>19.339830811611847</c:v>
                </c:pt>
                <c:pt idx="498">
                  <c:v>19.501958069895895</c:v>
                </c:pt>
                <c:pt idx="499">
                  <c:v>19.663853054170946</c:v>
                </c:pt>
                <c:pt idx="500">
                  <c:v>19.829928970608048</c:v>
                </c:pt>
                <c:pt idx="501">
                  <c:v>19.991823954883099</c:v>
                </c:pt>
                <c:pt idx="502">
                  <c:v>20.141872964698997</c:v>
                </c:pt>
                <c:pt idx="503">
                  <c:v>20.307948881136102</c:v>
                </c:pt>
                <c:pt idx="504">
                  <c:v>20.4737925235642</c:v>
                </c:pt>
                <c:pt idx="505">
                  <c:v>20.639868440001305</c:v>
                </c:pt>
                <c:pt idx="506">
                  <c:v>20.805712082429402</c:v>
                </c:pt>
                <c:pt idx="507">
                  <c:v>20.971555724857502</c:v>
                </c:pt>
                <c:pt idx="508">
                  <c:v>21.137631641294607</c:v>
                </c:pt>
                <c:pt idx="509">
                  <c:v>21.303475283722701</c:v>
                </c:pt>
                <c:pt idx="510">
                  <c:v>21.469551200159806</c:v>
                </c:pt>
                <c:pt idx="511">
                  <c:v>21.651189475200106</c:v>
                </c:pt>
                <c:pt idx="512">
                  <c:v>21.82911136609636</c:v>
                </c:pt>
                <c:pt idx="513">
                  <c:v>22.006800982983613</c:v>
                </c:pt>
                <c:pt idx="514">
                  <c:v>22.176593283564756</c:v>
                </c:pt>
                <c:pt idx="515">
                  <c:v>22.35451517446101</c:v>
                </c:pt>
                <c:pt idx="516">
                  <c:v>22.53220479134826</c:v>
                </c:pt>
                <c:pt idx="517">
                  <c:v>22.718023998550613</c:v>
                </c:pt>
                <c:pt idx="518">
                  <c:v>22.891764957284813</c:v>
                </c:pt>
                <c:pt idx="519">
                  <c:v>23.077584164487163</c:v>
                </c:pt>
                <c:pt idx="520">
                  <c:v>23.250628301194354</c:v>
                </c:pt>
                <c:pt idx="521">
                  <c:v>23.424833807946563</c:v>
                </c:pt>
                <c:pt idx="522">
                  <c:v>23.615298495328975</c:v>
                </c:pt>
                <c:pt idx="523">
                  <c:v>23.803440442621355</c:v>
                </c:pt>
                <c:pt idx="524">
                  <c:v>23.993905130003764</c:v>
                </c:pt>
                <c:pt idx="525">
                  <c:v>24.184369817386177</c:v>
                </c:pt>
                <c:pt idx="526">
                  <c:v>24.37018902458853</c:v>
                </c:pt>
                <c:pt idx="527">
                  <c:v>24.55833097188091</c:v>
                </c:pt>
                <c:pt idx="528">
                  <c:v>24.748795659263322</c:v>
                </c:pt>
                <c:pt idx="529">
                  <c:v>24.953196787185909</c:v>
                </c:pt>
                <c:pt idx="530">
                  <c:v>25.143661474568322</c:v>
                </c:pt>
                <c:pt idx="531">
                  <c:v>25.345739862400883</c:v>
                </c:pt>
                <c:pt idx="532">
                  <c:v>25.547818250233441</c:v>
                </c:pt>
                <c:pt idx="533">
                  <c:v>25.747573897975965</c:v>
                </c:pt>
                <c:pt idx="534">
                  <c:v>25.954297765988589</c:v>
                </c:pt>
                <c:pt idx="535">
                  <c:v>26.158698893911172</c:v>
                </c:pt>
                <c:pt idx="536">
                  <c:v>26.360777281743733</c:v>
                </c:pt>
                <c:pt idx="537">
                  <c:v>26.581437590296524</c:v>
                </c:pt>
                <c:pt idx="538">
                  <c:v>26.788161458309141</c:v>
                </c:pt>
                <c:pt idx="539">
                  <c:v>26.997208066411787</c:v>
                </c:pt>
                <c:pt idx="540">
                  <c:v>27.201609194334374</c:v>
                </c:pt>
                <c:pt idx="541">
                  <c:v>27.408333062346991</c:v>
                </c:pt>
                <c:pt idx="542">
                  <c:v>27.628993370899785</c:v>
                </c:pt>
                <c:pt idx="543">
                  <c:v>27.847330939362553</c:v>
                </c:pt>
                <c:pt idx="544">
                  <c:v>28.0726367280954</c:v>
                </c:pt>
                <c:pt idx="545">
                  <c:v>28.300265256918284</c:v>
                </c:pt>
                <c:pt idx="546">
                  <c:v>28.525571045651134</c:v>
                </c:pt>
                <c:pt idx="547">
                  <c:v>28.746231354203928</c:v>
                </c:pt>
                <c:pt idx="548">
                  <c:v>28.971537142936782</c:v>
                </c:pt>
                <c:pt idx="549">
                  <c:v>29.201488411849695</c:v>
                </c:pt>
                <c:pt idx="550">
                  <c:v>29.433762420852634</c:v>
                </c:pt>
                <c:pt idx="551">
                  <c:v>29.668359169945607</c:v>
                </c:pt>
                <c:pt idx="552">
                  <c:v>29.895987698768486</c:v>
                </c:pt>
                <c:pt idx="553">
                  <c:v>30.130584447861459</c:v>
                </c:pt>
                <c:pt idx="554">
                  <c:v>30.358212976684339</c:v>
                </c:pt>
                <c:pt idx="555">
                  <c:v>30.611391646497548</c:v>
                </c:pt>
                <c:pt idx="556">
                  <c:v>30.859924836130691</c:v>
                </c:pt>
                <c:pt idx="557">
                  <c:v>31.106135285673808</c:v>
                </c:pt>
                <c:pt idx="558">
                  <c:v>31.350022995126896</c:v>
                </c:pt>
                <c:pt idx="559">
                  <c:v>31.596233444670009</c:v>
                </c:pt>
                <c:pt idx="560">
                  <c:v>31.840121154123096</c:v>
                </c:pt>
                <c:pt idx="561">
                  <c:v>32.086331603666217</c:v>
                </c:pt>
                <c:pt idx="562">
                  <c:v>32.346478493749508</c:v>
                </c:pt>
                <c:pt idx="563">
                  <c:v>32.590366203202592</c:v>
                </c:pt>
                <c:pt idx="564">
                  <c:v>32.85283583337592</c:v>
                </c:pt>
                <c:pt idx="565">
                  <c:v>33.112982723459211</c:v>
                </c:pt>
                <c:pt idx="566">
                  <c:v>33.377775093722569</c:v>
                </c:pt>
                <c:pt idx="567">
                  <c:v>33.649535684256008</c:v>
                </c:pt>
                <c:pt idx="568">
                  <c:v>33.912005314429329</c:v>
                </c:pt>
                <c:pt idx="569">
                  <c:v>34.172152204512628</c:v>
                </c:pt>
                <c:pt idx="570">
                  <c:v>34.443912795046067</c:v>
                </c:pt>
                <c:pt idx="571">
                  <c:v>34.720318865759559</c:v>
                </c:pt>
                <c:pt idx="572">
                  <c:v>35.001370416653124</c:v>
                </c:pt>
                <c:pt idx="573">
                  <c:v>35.270808267096534</c:v>
                </c:pt>
                <c:pt idx="574">
                  <c:v>35.554182558080122</c:v>
                </c:pt>
                <c:pt idx="575">
                  <c:v>35.842202329243761</c:v>
                </c:pt>
                <c:pt idx="576">
                  <c:v>36.134867580587468</c:v>
                </c:pt>
                <c:pt idx="577">
                  <c:v>36.422887351751122</c:v>
                </c:pt>
                <c:pt idx="578">
                  <c:v>36.713229863004791</c:v>
                </c:pt>
                <c:pt idx="579">
                  <c:v>36.996604153988386</c:v>
                </c:pt>
                <c:pt idx="580">
                  <c:v>37.282301185061996</c:v>
                </c:pt>
                <c:pt idx="581">
                  <c:v>37.570320956225643</c:v>
                </c:pt>
                <c:pt idx="582">
                  <c:v>37.869954427839446</c:v>
                </c:pt>
                <c:pt idx="583">
                  <c:v>38.169587899453234</c:v>
                </c:pt>
                <c:pt idx="584">
                  <c:v>38.466898630976992</c:v>
                </c:pt>
                <c:pt idx="585">
                  <c:v>38.766532102590794</c:v>
                </c:pt>
                <c:pt idx="586">
                  <c:v>39.066165574204589</c:v>
                </c:pt>
                <c:pt idx="587">
                  <c:v>39.379735486358555</c:v>
                </c:pt>
                <c:pt idx="588">
                  <c:v>39.695628138602558</c:v>
                </c:pt>
                <c:pt idx="589">
                  <c:v>40.006875310666494</c:v>
                </c:pt>
                <c:pt idx="590">
                  <c:v>40.32044522282046</c:v>
                </c:pt>
                <c:pt idx="591">
                  <c:v>40.643306095334545</c:v>
                </c:pt>
                <c:pt idx="592">
                  <c:v>40.970812448028695</c:v>
                </c:pt>
                <c:pt idx="593">
                  <c:v>41.286705100272691</c:v>
                </c:pt>
                <c:pt idx="594">
                  <c:v>41.611888712876812</c:v>
                </c:pt>
                <c:pt idx="595">
                  <c:v>41.939395065570956</c:v>
                </c:pt>
                <c:pt idx="596">
                  <c:v>42.271546898445166</c:v>
                </c:pt>
                <c:pt idx="597">
                  <c:v>42.599053251139303</c:v>
                </c:pt>
                <c:pt idx="598">
                  <c:v>42.938173304283595</c:v>
                </c:pt>
                <c:pt idx="599">
                  <c:v>43.28193883760796</c:v>
                </c:pt>
                <c:pt idx="600">
                  <c:v>43.623381630842275</c:v>
                </c:pt>
                <c:pt idx="601">
                  <c:v>43.969469904256655</c:v>
                </c:pt>
                <c:pt idx="602">
                  <c:v>44.313235437581007</c:v>
                </c:pt>
                <c:pt idx="603">
                  <c:v>44.661646451085417</c:v>
                </c:pt>
                <c:pt idx="604">
                  <c:v>45.012380204679864</c:v>
                </c:pt>
                <c:pt idx="605">
                  <c:v>45.360791218184275</c:v>
                </c:pt>
                <c:pt idx="606">
                  <c:v>45.720815932138834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11-4E5F-A276-BA0CB03309DB}"/>
            </c:ext>
          </c:extLst>
        </c:ser>
        <c:ser>
          <c:idx val="3"/>
          <c:order val="2"/>
          <c:tx>
            <c:strRef>
              <c:f>{"A11-3"}</c:f>
              <c:strCache>
                <c:ptCount val="1"/>
                <c:pt idx="0">
                  <c:v>A11-3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'A11-4'!$C$2:$C$715</c:f>
              <c:numCache>
                <c:formatCode>0.00</c:formatCode>
                <c:ptCount val="714"/>
                <c:pt idx="0">
                  <c:v>1.1166999999999999E-4</c:v>
                </c:pt>
                <c:pt idx="1">
                  <c:v>6.5605999999999998E-3</c:v>
                </c:pt>
                <c:pt idx="2">
                  <c:v>6.6163999999999997E-3</c:v>
                </c:pt>
                <c:pt idx="3">
                  <c:v>6.6722000000000005E-3</c:v>
                </c:pt>
                <c:pt idx="4">
                  <c:v>6.7279999999999996E-3</c:v>
                </c:pt>
                <c:pt idx="5">
                  <c:v>6.7840000000000001E-3</c:v>
                </c:pt>
                <c:pt idx="6">
                  <c:v>6.8379999999999995E-3</c:v>
                </c:pt>
                <c:pt idx="7">
                  <c:v>6.8955999999999991E-3</c:v>
                </c:pt>
                <c:pt idx="8">
                  <c:v>6.9496000000000002E-3</c:v>
                </c:pt>
                <c:pt idx="9">
                  <c:v>7.0071999999999999E-3</c:v>
                </c:pt>
                <c:pt idx="10">
                  <c:v>7.0612000000000001E-3</c:v>
                </c:pt>
                <c:pt idx="11">
                  <c:v>7.1189999999999995E-3</c:v>
                </c:pt>
                <c:pt idx="12">
                  <c:v>7.1730000000000006E-3</c:v>
                </c:pt>
                <c:pt idx="13">
                  <c:v>7.2287999999999996E-3</c:v>
                </c:pt>
                <c:pt idx="14">
                  <c:v>7.2845999999999996E-3</c:v>
                </c:pt>
                <c:pt idx="15">
                  <c:v>7.3663999999999995E-3</c:v>
                </c:pt>
                <c:pt idx="16">
                  <c:v>7.4224E-3</c:v>
                </c:pt>
                <c:pt idx="17">
                  <c:v>7.5060000000000005E-3</c:v>
                </c:pt>
                <c:pt idx="18">
                  <c:v>7.5880000000000001E-3</c:v>
                </c:pt>
                <c:pt idx="19">
                  <c:v>7.6455999999999998E-3</c:v>
                </c:pt>
                <c:pt idx="20">
                  <c:v>7.7276000000000003E-3</c:v>
                </c:pt>
                <c:pt idx="21">
                  <c:v>7.8112000000000008E-3</c:v>
                </c:pt>
                <c:pt idx="22">
                  <c:v>7.8931999999999995E-3</c:v>
                </c:pt>
                <c:pt idx="23">
                  <c:v>7.9769999999999997E-3</c:v>
                </c:pt>
                <c:pt idx="24">
                  <c:v>8.0625999999999996E-3</c:v>
                </c:pt>
                <c:pt idx="25">
                  <c:v>8.1444000000000013E-3</c:v>
                </c:pt>
                <c:pt idx="26">
                  <c:v>8.2281999999999998E-3</c:v>
                </c:pt>
                <c:pt idx="27">
                  <c:v>8.3099999999999997E-3</c:v>
                </c:pt>
                <c:pt idx="28">
                  <c:v>8.3937999999999999E-3</c:v>
                </c:pt>
                <c:pt idx="29">
                  <c:v>8.4776000000000001E-3</c:v>
                </c:pt>
                <c:pt idx="30">
                  <c:v>8.5614000000000003E-3</c:v>
                </c:pt>
                <c:pt idx="31">
                  <c:v>8.6449999999999999E-3</c:v>
                </c:pt>
                <c:pt idx="32">
                  <c:v>8.7288000000000001E-3</c:v>
                </c:pt>
                <c:pt idx="33">
                  <c:v>8.8088000000000003E-3</c:v>
                </c:pt>
                <c:pt idx="34">
                  <c:v>8.8944000000000002E-3</c:v>
                </c:pt>
                <c:pt idx="35">
                  <c:v>8.9781999999999987E-3</c:v>
                </c:pt>
                <c:pt idx="36">
                  <c:v>9.0620000000000006E-3</c:v>
                </c:pt>
                <c:pt idx="37">
                  <c:v>9.1438000000000005E-3</c:v>
                </c:pt>
                <c:pt idx="38">
                  <c:v>9.2276000000000007E-3</c:v>
                </c:pt>
                <c:pt idx="39">
                  <c:v>9.3113999999999992E-3</c:v>
                </c:pt>
                <c:pt idx="40">
                  <c:v>9.3951999999999994E-3</c:v>
                </c:pt>
                <c:pt idx="41">
                  <c:v>9.478799999999999E-3</c:v>
                </c:pt>
                <c:pt idx="42">
                  <c:v>9.5608000000000012E-3</c:v>
                </c:pt>
                <c:pt idx="43">
                  <c:v>9.6445999999999997E-3</c:v>
                </c:pt>
                <c:pt idx="44">
                  <c:v>9.7263999999999996E-3</c:v>
                </c:pt>
                <c:pt idx="45">
                  <c:v>9.8119999999999995E-3</c:v>
                </c:pt>
                <c:pt idx="46">
                  <c:v>9.894E-3</c:v>
                </c:pt>
                <c:pt idx="47">
                  <c:v>9.9775999999999997E-3</c:v>
                </c:pt>
                <c:pt idx="48">
                  <c:v>1.00596E-2</c:v>
                </c:pt>
                <c:pt idx="49">
                  <c:v>1.01434E-2</c:v>
                </c:pt>
                <c:pt idx="50">
                  <c:v>1.0227E-2</c:v>
                </c:pt>
                <c:pt idx="51">
                  <c:v>1.03108E-2</c:v>
                </c:pt>
                <c:pt idx="52">
                  <c:v>1.03946E-2</c:v>
                </c:pt>
                <c:pt idx="53">
                  <c:v>1.0476399999999999E-2</c:v>
                </c:pt>
                <c:pt idx="54">
                  <c:v>1.0560199999999999E-2</c:v>
                </c:pt>
                <c:pt idx="55">
                  <c:v>1.0644000000000001E-2</c:v>
                </c:pt>
                <c:pt idx="56">
                  <c:v>1.0727800000000001E-2</c:v>
                </c:pt>
                <c:pt idx="57">
                  <c:v>1.0811400000000001E-2</c:v>
                </c:pt>
                <c:pt idx="58">
                  <c:v>1.0895200000000001E-2</c:v>
                </c:pt>
                <c:pt idx="59">
                  <c:v>1.1006999999999999E-2</c:v>
                </c:pt>
                <c:pt idx="60">
                  <c:v>1.11168E-2</c:v>
                </c:pt>
                <c:pt idx="61">
                  <c:v>1.1228400000000001E-2</c:v>
                </c:pt>
                <c:pt idx="62">
                  <c:v>1.1339999999999999E-2</c:v>
                </c:pt>
                <c:pt idx="63">
                  <c:v>1.1449800000000001E-2</c:v>
                </c:pt>
                <c:pt idx="64">
                  <c:v>1.15616E-2</c:v>
                </c:pt>
                <c:pt idx="65">
                  <c:v>1.16732E-2</c:v>
                </c:pt>
                <c:pt idx="66">
                  <c:v>1.1782999999999998E-2</c:v>
                </c:pt>
                <c:pt idx="67">
                  <c:v>1.18946E-2</c:v>
                </c:pt>
                <c:pt idx="68">
                  <c:v>1.2006399999999999E-2</c:v>
                </c:pt>
                <c:pt idx="69">
                  <c:v>1.2116199999999999E-2</c:v>
                </c:pt>
                <c:pt idx="70">
                  <c:v>1.2225999999999999E-2</c:v>
                </c:pt>
                <c:pt idx="71">
                  <c:v>1.2337599999999999E-2</c:v>
                </c:pt>
                <c:pt idx="72">
                  <c:v>1.2449200000000001E-2</c:v>
                </c:pt>
                <c:pt idx="73">
                  <c:v>1.2560999999999999E-2</c:v>
                </c:pt>
                <c:pt idx="74">
                  <c:v>1.2672600000000001E-2</c:v>
                </c:pt>
                <c:pt idx="75">
                  <c:v>1.27844E-2</c:v>
                </c:pt>
                <c:pt idx="76">
                  <c:v>1.2896000000000001E-2</c:v>
                </c:pt>
                <c:pt idx="77">
                  <c:v>1.3005800000000001E-2</c:v>
                </c:pt>
                <c:pt idx="78">
                  <c:v>1.31174E-2</c:v>
                </c:pt>
                <c:pt idx="79">
                  <c:v>1.3229200000000002E-2</c:v>
                </c:pt>
                <c:pt idx="80">
                  <c:v>1.3339E-2</c:v>
                </c:pt>
                <c:pt idx="81">
                  <c:v>1.34488E-2</c:v>
                </c:pt>
                <c:pt idx="82">
                  <c:v>1.3560399999999998E-2</c:v>
                </c:pt>
                <c:pt idx="83">
                  <c:v>1.3672E-2</c:v>
                </c:pt>
                <c:pt idx="84">
                  <c:v>1.37818E-2</c:v>
                </c:pt>
                <c:pt idx="85">
                  <c:v>1.3893599999999999E-2</c:v>
                </c:pt>
                <c:pt idx="86">
                  <c:v>1.4005200000000001E-2</c:v>
                </c:pt>
                <c:pt idx="87">
                  <c:v>1.4116800000000001E-2</c:v>
                </c:pt>
                <c:pt idx="88">
                  <c:v>1.4228600000000001E-2</c:v>
                </c:pt>
                <c:pt idx="89">
                  <c:v>1.4340200000000001E-2</c:v>
                </c:pt>
                <c:pt idx="90">
                  <c:v>1.4478E-2</c:v>
                </c:pt>
                <c:pt idx="91">
                  <c:v>1.4589600000000001E-2</c:v>
                </c:pt>
                <c:pt idx="92">
                  <c:v>1.47274E-2</c:v>
                </c:pt>
                <c:pt idx="93">
                  <c:v>1.4866999999999998E-2</c:v>
                </c:pt>
                <c:pt idx="94">
                  <c:v>1.50046E-2</c:v>
                </c:pt>
                <c:pt idx="95">
                  <c:v>1.5144200000000002E-2</c:v>
                </c:pt>
                <c:pt idx="96">
                  <c:v>1.52838E-2</c:v>
                </c:pt>
                <c:pt idx="97">
                  <c:v>1.5421600000000001E-2</c:v>
                </c:pt>
                <c:pt idx="98">
                  <c:v>1.5561199999999999E-2</c:v>
                </c:pt>
                <c:pt idx="99">
                  <c:v>1.5700800000000001E-2</c:v>
                </c:pt>
                <c:pt idx="100">
                  <c:v>1.5838399999999999E-2</c:v>
                </c:pt>
                <c:pt idx="101">
                  <c:v>1.5978000000000003E-2</c:v>
                </c:pt>
                <c:pt idx="102">
                  <c:v>1.6117599999999999E-2</c:v>
                </c:pt>
                <c:pt idx="103">
                  <c:v>1.62536E-2</c:v>
                </c:pt>
                <c:pt idx="104">
                  <c:v>1.6395E-2</c:v>
                </c:pt>
                <c:pt idx="105">
                  <c:v>1.65346E-2</c:v>
                </c:pt>
                <c:pt idx="106">
                  <c:v>1.6672199999999998E-2</c:v>
                </c:pt>
                <c:pt idx="107">
                  <c:v>1.6811799999999998E-2</c:v>
                </c:pt>
                <c:pt idx="108">
                  <c:v>1.6949599999999999E-2</c:v>
                </c:pt>
                <c:pt idx="109">
                  <c:v>1.7089199999999999E-2</c:v>
                </c:pt>
                <c:pt idx="110">
                  <c:v>1.7228799999999999E-2</c:v>
                </c:pt>
                <c:pt idx="111">
                  <c:v>1.7366400000000001E-2</c:v>
                </c:pt>
                <c:pt idx="112">
                  <c:v>1.7504200000000001E-2</c:v>
                </c:pt>
                <c:pt idx="113">
                  <c:v>1.7643800000000001E-2</c:v>
                </c:pt>
                <c:pt idx="114">
                  <c:v>1.7783400000000001E-2</c:v>
                </c:pt>
                <c:pt idx="115">
                  <c:v>1.7921199999999998E-2</c:v>
                </c:pt>
                <c:pt idx="116">
                  <c:v>1.8062599999999998E-2</c:v>
                </c:pt>
                <c:pt idx="117">
                  <c:v>1.82282E-2</c:v>
                </c:pt>
                <c:pt idx="118">
                  <c:v>1.83958E-2</c:v>
                </c:pt>
                <c:pt idx="119">
                  <c:v>1.8561399999999999E-2</c:v>
                </c:pt>
                <c:pt idx="120">
                  <c:v>1.8727000000000001E-2</c:v>
                </c:pt>
                <c:pt idx="121">
                  <c:v>1.8894399999999999E-2</c:v>
                </c:pt>
                <c:pt idx="122">
                  <c:v>1.9060199999999999E-2</c:v>
                </c:pt>
                <c:pt idx="123">
                  <c:v>1.9227600000000001E-2</c:v>
                </c:pt>
                <c:pt idx="124">
                  <c:v>1.9395199999999998E-2</c:v>
                </c:pt>
                <c:pt idx="125">
                  <c:v>1.95608E-2</c:v>
                </c:pt>
                <c:pt idx="126">
                  <c:v>1.9728200000000001E-2</c:v>
                </c:pt>
                <c:pt idx="127">
                  <c:v>1.9894000000000002E-2</c:v>
                </c:pt>
                <c:pt idx="128">
                  <c:v>2.0062000000000003E-2</c:v>
                </c:pt>
                <c:pt idx="129">
                  <c:v>2.0228000000000003E-2</c:v>
                </c:pt>
                <c:pt idx="130">
                  <c:v>2.0394000000000002E-2</c:v>
                </c:pt>
                <c:pt idx="131">
                  <c:v>2.0562E-2</c:v>
                </c:pt>
                <c:pt idx="132">
                  <c:v>2.0728E-2</c:v>
                </c:pt>
                <c:pt idx="133">
                  <c:v>2.0893999999999999E-2</c:v>
                </c:pt>
                <c:pt idx="134">
                  <c:v>2.1059999999999999E-2</c:v>
                </c:pt>
                <c:pt idx="135">
                  <c:v>2.1225999999999998E-2</c:v>
                </c:pt>
                <c:pt idx="136">
                  <c:v>2.1394000000000003E-2</c:v>
                </c:pt>
                <c:pt idx="137">
                  <c:v>2.1562000000000001E-2</c:v>
                </c:pt>
                <c:pt idx="138">
                  <c:v>2.1756000000000001E-2</c:v>
                </c:pt>
                <c:pt idx="139">
                  <c:v>2.1949999999999997E-2</c:v>
                </c:pt>
                <c:pt idx="140">
                  <c:v>2.2144E-2</c:v>
                </c:pt>
                <c:pt idx="141">
                  <c:v>2.2339999999999999E-2</c:v>
                </c:pt>
                <c:pt idx="142">
                  <c:v>2.2534000000000002E-2</c:v>
                </c:pt>
                <c:pt idx="143">
                  <c:v>2.2728000000000002E-2</c:v>
                </c:pt>
                <c:pt idx="144">
                  <c:v>2.2921999999999998E-2</c:v>
                </c:pt>
                <c:pt idx="145">
                  <c:v>2.3118E-2</c:v>
                </c:pt>
                <c:pt idx="146">
                  <c:v>2.3311999999999999E-2</c:v>
                </c:pt>
                <c:pt idx="147">
                  <c:v>2.3504000000000001E-2</c:v>
                </c:pt>
                <c:pt idx="148">
                  <c:v>2.3698E-2</c:v>
                </c:pt>
                <c:pt idx="149">
                  <c:v>2.3894000000000002E-2</c:v>
                </c:pt>
                <c:pt idx="150">
                  <c:v>2.4087999999999998E-2</c:v>
                </c:pt>
                <c:pt idx="151">
                  <c:v>2.4284E-2</c:v>
                </c:pt>
                <c:pt idx="152">
                  <c:v>2.4478E-2</c:v>
                </c:pt>
                <c:pt idx="153">
                  <c:v>2.4671999999999999E-2</c:v>
                </c:pt>
                <c:pt idx="154">
                  <c:v>2.4866000000000003E-2</c:v>
                </c:pt>
                <c:pt idx="155">
                  <c:v>2.5006E-2</c:v>
                </c:pt>
                <c:pt idx="156">
                  <c:v>2.52E-2</c:v>
                </c:pt>
                <c:pt idx="157">
                  <c:v>2.5424000000000002E-2</c:v>
                </c:pt>
                <c:pt idx="158">
                  <c:v>2.5644E-2</c:v>
                </c:pt>
                <c:pt idx="159">
                  <c:v>2.5865999999999997E-2</c:v>
                </c:pt>
                <c:pt idx="160">
                  <c:v>2.6088E-2</c:v>
                </c:pt>
                <c:pt idx="161">
                  <c:v>2.6312000000000002E-2</c:v>
                </c:pt>
                <c:pt idx="162">
                  <c:v>2.6532E-2</c:v>
                </c:pt>
                <c:pt idx="163">
                  <c:v>2.6756000000000002E-2</c:v>
                </c:pt>
                <c:pt idx="164">
                  <c:v>2.6977999999999999E-2</c:v>
                </c:pt>
                <c:pt idx="165">
                  <c:v>2.7200000000000002E-2</c:v>
                </c:pt>
                <c:pt idx="166">
                  <c:v>2.742E-2</c:v>
                </c:pt>
                <c:pt idx="167">
                  <c:v>2.7646E-2</c:v>
                </c:pt>
                <c:pt idx="168">
                  <c:v>2.7868E-2</c:v>
                </c:pt>
                <c:pt idx="169">
                  <c:v>2.8088000000000002E-2</c:v>
                </c:pt>
                <c:pt idx="170">
                  <c:v>2.8312E-2</c:v>
                </c:pt>
                <c:pt idx="171">
                  <c:v>2.8534E-2</c:v>
                </c:pt>
                <c:pt idx="172">
                  <c:v>2.8753999999999998E-2</c:v>
                </c:pt>
                <c:pt idx="173">
                  <c:v>2.9005999999999997E-2</c:v>
                </c:pt>
                <c:pt idx="174">
                  <c:v>2.9256000000000001E-2</c:v>
                </c:pt>
                <c:pt idx="175">
                  <c:v>2.9506000000000001E-2</c:v>
                </c:pt>
                <c:pt idx="176">
                  <c:v>2.9756000000000001E-2</c:v>
                </c:pt>
                <c:pt idx="177">
                  <c:v>3.0005999999999998E-2</c:v>
                </c:pt>
                <c:pt idx="178">
                  <c:v>3.0255999999999998E-2</c:v>
                </c:pt>
                <c:pt idx="179">
                  <c:v>3.0506000000000002E-2</c:v>
                </c:pt>
                <c:pt idx="180">
                  <c:v>3.0756000000000002E-2</c:v>
                </c:pt>
                <c:pt idx="181">
                  <c:v>3.1005999999999999E-2</c:v>
                </c:pt>
                <c:pt idx="182">
                  <c:v>3.1253999999999997E-2</c:v>
                </c:pt>
                <c:pt idx="183">
                  <c:v>3.1505999999999999E-2</c:v>
                </c:pt>
                <c:pt idx="184">
                  <c:v>3.1756E-2</c:v>
                </c:pt>
                <c:pt idx="185">
                  <c:v>3.2006E-2</c:v>
                </c:pt>
                <c:pt idx="186">
                  <c:v>3.2256E-2</c:v>
                </c:pt>
                <c:pt idx="187">
                  <c:v>3.2534E-2</c:v>
                </c:pt>
                <c:pt idx="188">
                  <c:v>3.2809999999999999E-2</c:v>
                </c:pt>
                <c:pt idx="189">
                  <c:v>3.3090000000000001E-2</c:v>
                </c:pt>
                <c:pt idx="190">
                  <c:v>3.3366E-2</c:v>
                </c:pt>
                <c:pt idx="191">
                  <c:v>3.3644E-2</c:v>
                </c:pt>
                <c:pt idx="192">
                  <c:v>3.3922000000000001E-2</c:v>
                </c:pt>
                <c:pt idx="193">
                  <c:v>3.4200000000000001E-2</c:v>
                </c:pt>
                <c:pt idx="194">
                  <c:v>3.4478000000000002E-2</c:v>
                </c:pt>
                <c:pt idx="195">
                  <c:v>3.4644000000000001E-2</c:v>
                </c:pt>
                <c:pt idx="196">
                  <c:v>3.4894000000000001E-2</c:v>
                </c:pt>
                <c:pt idx="197">
                  <c:v>3.517E-2</c:v>
                </c:pt>
                <c:pt idx="198">
                  <c:v>3.5450000000000002E-2</c:v>
                </c:pt>
                <c:pt idx="199">
                  <c:v>3.5728000000000003E-2</c:v>
                </c:pt>
                <c:pt idx="200">
                  <c:v>3.6006000000000003E-2</c:v>
                </c:pt>
                <c:pt idx="201">
                  <c:v>3.6312000000000004E-2</c:v>
                </c:pt>
                <c:pt idx="202">
                  <c:v>3.6616000000000003E-2</c:v>
                </c:pt>
                <c:pt idx="203">
                  <c:v>3.6922000000000003E-2</c:v>
                </c:pt>
                <c:pt idx="204">
                  <c:v>3.7226000000000002E-2</c:v>
                </c:pt>
                <c:pt idx="205">
                  <c:v>3.7533999999999998E-2</c:v>
                </c:pt>
                <c:pt idx="206">
                  <c:v>3.7839999999999999E-2</c:v>
                </c:pt>
                <c:pt idx="207">
                  <c:v>3.8143999999999997E-2</c:v>
                </c:pt>
                <c:pt idx="208">
                  <c:v>3.8450000000000005E-2</c:v>
                </c:pt>
                <c:pt idx="209">
                  <c:v>3.8755999999999999E-2</c:v>
                </c:pt>
                <c:pt idx="210">
                  <c:v>3.8977999999999999E-2</c:v>
                </c:pt>
                <c:pt idx="211">
                  <c:v>3.9283999999999999E-2</c:v>
                </c:pt>
                <c:pt idx="212">
                  <c:v>3.9587999999999998E-2</c:v>
                </c:pt>
                <c:pt idx="213">
                  <c:v>3.9809999999999998E-2</c:v>
                </c:pt>
                <c:pt idx="214">
                  <c:v>4.0115999999999999E-2</c:v>
                </c:pt>
                <c:pt idx="215">
                  <c:v>4.0422E-2</c:v>
                </c:pt>
                <c:pt idx="216">
                  <c:v>4.0646000000000002E-2</c:v>
                </c:pt>
                <c:pt idx="217">
                  <c:v>4.0866E-2</c:v>
                </c:pt>
                <c:pt idx="218">
                  <c:v>4.1031999999999999E-2</c:v>
                </c:pt>
                <c:pt idx="219">
                  <c:v>4.1200000000000001E-2</c:v>
                </c:pt>
                <c:pt idx="220">
                  <c:v>4.1365999999999993E-2</c:v>
                </c:pt>
                <c:pt idx="221">
                  <c:v>4.1534000000000001E-2</c:v>
                </c:pt>
                <c:pt idx="222">
                  <c:v>4.1672000000000001E-2</c:v>
                </c:pt>
                <c:pt idx="223">
                  <c:v>4.1838E-2</c:v>
                </c:pt>
                <c:pt idx="224">
                  <c:v>4.2004E-2</c:v>
                </c:pt>
                <c:pt idx="225">
                  <c:v>4.2144000000000001E-2</c:v>
                </c:pt>
                <c:pt idx="226">
                  <c:v>4.231E-2</c:v>
                </c:pt>
                <c:pt idx="227">
                  <c:v>4.2450000000000002E-2</c:v>
                </c:pt>
                <c:pt idx="228">
                  <c:v>4.2588000000000001E-2</c:v>
                </c:pt>
                <c:pt idx="229">
                  <c:v>4.2754E-2</c:v>
                </c:pt>
                <c:pt idx="230">
                  <c:v>4.2893999999999995E-2</c:v>
                </c:pt>
                <c:pt idx="231">
                  <c:v>4.3033999999999996E-2</c:v>
                </c:pt>
                <c:pt idx="232">
                  <c:v>4.3174000000000004E-2</c:v>
                </c:pt>
                <c:pt idx="233">
                  <c:v>4.3311999999999996E-2</c:v>
                </c:pt>
                <c:pt idx="234">
                  <c:v>4.3449999999999996E-2</c:v>
                </c:pt>
                <c:pt idx="235">
                  <c:v>4.3589999999999997E-2</c:v>
                </c:pt>
                <c:pt idx="236">
                  <c:v>4.3727999999999996E-2</c:v>
                </c:pt>
                <c:pt idx="237">
                  <c:v>4.3895999999999998E-2</c:v>
                </c:pt>
                <c:pt idx="238">
                  <c:v>4.4062000000000004E-2</c:v>
                </c:pt>
                <c:pt idx="239">
                  <c:v>4.4198000000000001E-2</c:v>
                </c:pt>
                <c:pt idx="240">
                  <c:v>4.4366000000000003E-2</c:v>
                </c:pt>
                <c:pt idx="241">
                  <c:v>4.4534000000000004E-2</c:v>
                </c:pt>
                <c:pt idx="242">
                  <c:v>4.4699999999999997E-2</c:v>
                </c:pt>
                <c:pt idx="243">
                  <c:v>4.4839999999999998E-2</c:v>
                </c:pt>
                <c:pt idx="244">
                  <c:v>4.4950000000000004E-2</c:v>
                </c:pt>
                <c:pt idx="245">
                  <c:v>4.5087999999999996E-2</c:v>
                </c:pt>
                <c:pt idx="246">
                  <c:v>4.5199999999999997E-2</c:v>
                </c:pt>
                <c:pt idx="247">
                  <c:v>4.5339999999999998E-2</c:v>
                </c:pt>
                <c:pt idx="248">
                  <c:v>4.5449999999999997E-2</c:v>
                </c:pt>
                <c:pt idx="249">
                  <c:v>4.5589999999999999E-2</c:v>
                </c:pt>
                <c:pt idx="250">
                  <c:v>4.5700000000000005E-2</c:v>
                </c:pt>
                <c:pt idx="251">
                  <c:v>4.5810000000000003E-2</c:v>
                </c:pt>
                <c:pt idx="252">
                  <c:v>4.5949999999999998E-2</c:v>
                </c:pt>
                <c:pt idx="253">
                  <c:v>4.6059999999999997E-2</c:v>
                </c:pt>
                <c:pt idx="254">
                  <c:v>4.6199999999999998E-2</c:v>
                </c:pt>
                <c:pt idx="255">
                  <c:v>4.6311999999999999E-2</c:v>
                </c:pt>
                <c:pt idx="256">
                  <c:v>4.6421999999999998E-2</c:v>
                </c:pt>
                <c:pt idx="257">
                  <c:v>4.6559999999999997E-2</c:v>
                </c:pt>
                <c:pt idx="258">
                  <c:v>4.6669999999999996E-2</c:v>
                </c:pt>
                <c:pt idx="259">
                  <c:v>4.6783999999999999E-2</c:v>
                </c:pt>
                <c:pt idx="260">
                  <c:v>4.6896000000000007E-2</c:v>
                </c:pt>
                <c:pt idx="261">
                  <c:v>4.7033999999999999E-2</c:v>
                </c:pt>
                <c:pt idx="262">
                  <c:v>4.7146E-2</c:v>
                </c:pt>
                <c:pt idx="263">
                  <c:v>4.7253999999999997E-2</c:v>
                </c:pt>
                <c:pt idx="264">
                  <c:v>4.7337999999999998E-2</c:v>
                </c:pt>
                <c:pt idx="265">
                  <c:v>4.7449999999999999E-2</c:v>
                </c:pt>
                <c:pt idx="266">
                  <c:v>4.7560000000000005E-2</c:v>
                </c:pt>
                <c:pt idx="267">
                  <c:v>4.7671999999999999E-2</c:v>
                </c:pt>
                <c:pt idx="268">
                  <c:v>4.7784000000000007E-2</c:v>
                </c:pt>
                <c:pt idx="269">
                  <c:v>4.7893999999999999E-2</c:v>
                </c:pt>
                <c:pt idx="270">
                  <c:v>4.8006E-2</c:v>
                </c:pt>
                <c:pt idx="271">
                  <c:v>4.8087999999999999E-2</c:v>
                </c:pt>
                <c:pt idx="272">
                  <c:v>4.8197999999999998E-2</c:v>
                </c:pt>
                <c:pt idx="273">
                  <c:v>4.8284000000000001E-2</c:v>
                </c:pt>
                <c:pt idx="274">
                  <c:v>4.8394000000000006E-2</c:v>
                </c:pt>
                <c:pt idx="275">
                  <c:v>4.8478E-2</c:v>
                </c:pt>
                <c:pt idx="276">
                  <c:v>4.8590000000000001E-2</c:v>
                </c:pt>
                <c:pt idx="277">
                  <c:v>4.8672000000000007E-2</c:v>
                </c:pt>
                <c:pt idx="278">
                  <c:v>4.8781999999999999E-2</c:v>
                </c:pt>
                <c:pt idx="279">
                  <c:v>4.8894E-2</c:v>
                </c:pt>
                <c:pt idx="280">
                  <c:v>4.8978000000000001E-2</c:v>
                </c:pt>
                <c:pt idx="281">
                  <c:v>4.9062000000000001E-2</c:v>
                </c:pt>
                <c:pt idx="282">
                  <c:v>4.9172E-2</c:v>
                </c:pt>
                <c:pt idx="283">
                  <c:v>4.9284000000000001E-2</c:v>
                </c:pt>
                <c:pt idx="284">
                  <c:v>4.9367999999999995E-2</c:v>
                </c:pt>
                <c:pt idx="285">
                  <c:v>4.9450000000000001E-2</c:v>
                </c:pt>
                <c:pt idx="286">
                  <c:v>4.9560000000000007E-2</c:v>
                </c:pt>
                <c:pt idx="287">
                  <c:v>4.9672000000000001E-2</c:v>
                </c:pt>
                <c:pt idx="288">
                  <c:v>4.9753999999999993E-2</c:v>
                </c:pt>
                <c:pt idx="289">
                  <c:v>4.9837999999999993E-2</c:v>
                </c:pt>
                <c:pt idx="290">
                  <c:v>4.9950000000000001E-2</c:v>
                </c:pt>
                <c:pt idx="291">
                  <c:v>5.006E-2</c:v>
                </c:pt>
                <c:pt idx="292">
                  <c:v>5.0172000000000001E-2</c:v>
                </c:pt>
                <c:pt idx="293">
                  <c:v>5.0282E-2</c:v>
                </c:pt>
                <c:pt idx="294">
                  <c:v>5.0364000000000006E-2</c:v>
                </c:pt>
                <c:pt idx="295">
                  <c:v>5.0450000000000002E-2</c:v>
                </c:pt>
                <c:pt idx="296">
                  <c:v>5.0533999999999996E-2</c:v>
                </c:pt>
                <c:pt idx="297">
                  <c:v>5.0617999999999996E-2</c:v>
                </c:pt>
                <c:pt idx="298">
                  <c:v>5.0728000000000002E-2</c:v>
                </c:pt>
                <c:pt idx="299">
                  <c:v>5.0811999999999996E-2</c:v>
                </c:pt>
                <c:pt idx="300">
                  <c:v>5.0894000000000002E-2</c:v>
                </c:pt>
                <c:pt idx="301">
                  <c:v>5.0978000000000002E-2</c:v>
                </c:pt>
                <c:pt idx="302">
                  <c:v>5.1062000000000003E-2</c:v>
                </c:pt>
                <c:pt idx="303">
                  <c:v>5.1143999999999995E-2</c:v>
                </c:pt>
                <c:pt idx="304">
                  <c:v>5.1256000000000003E-2</c:v>
                </c:pt>
                <c:pt idx="305">
                  <c:v>5.1338000000000002E-2</c:v>
                </c:pt>
                <c:pt idx="306">
                  <c:v>5.1421999999999995E-2</c:v>
                </c:pt>
                <c:pt idx="307">
                  <c:v>5.1505999999999996E-2</c:v>
                </c:pt>
                <c:pt idx="308">
                  <c:v>5.1589999999999997E-2</c:v>
                </c:pt>
                <c:pt idx="309">
                  <c:v>5.1673999999999998E-2</c:v>
                </c:pt>
                <c:pt idx="310">
                  <c:v>5.1756000000000003E-2</c:v>
                </c:pt>
                <c:pt idx="311">
                  <c:v>5.1837999999999995E-2</c:v>
                </c:pt>
                <c:pt idx="312">
                  <c:v>5.1920000000000001E-2</c:v>
                </c:pt>
                <c:pt idx="313">
                  <c:v>5.2005999999999997E-2</c:v>
                </c:pt>
                <c:pt idx="314">
                  <c:v>5.2088000000000002E-2</c:v>
                </c:pt>
                <c:pt idx="315">
                  <c:v>5.2172000000000003E-2</c:v>
                </c:pt>
                <c:pt idx="316">
                  <c:v>5.2255999999999997E-2</c:v>
                </c:pt>
                <c:pt idx="317">
                  <c:v>5.2337999999999996E-2</c:v>
                </c:pt>
                <c:pt idx="318">
                  <c:v>5.2423999999999998E-2</c:v>
                </c:pt>
                <c:pt idx="319">
                  <c:v>5.2506000000000004E-2</c:v>
                </c:pt>
                <c:pt idx="320">
                  <c:v>5.2587999999999996E-2</c:v>
                </c:pt>
                <c:pt idx="321">
                  <c:v>5.2671999999999997E-2</c:v>
                </c:pt>
                <c:pt idx="322">
                  <c:v>5.2754000000000002E-2</c:v>
                </c:pt>
                <c:pt idx="323">
                  <c:v>5.2838000000000003E-2</c:v>
                </c:pt>
                <c:pt idx="324">
                  <c:v>5.2922000000000004E-2</c:v>
                </c:pt>
                <c:pt idx="325">
                  <c:v>5.3006000000000005E-2</c:v>
                </c:pt>
                <c:pt idx="326">
                  <c:v>5.3089999999999998E-2</c:v>
                </c:pt>
                <c:pt idx="327">
                  <c:v>5.3171999999999997E-2</c:v>
                </c:pt>
                <c:pt idx="328">
                  <c:v>5.3255999999999998E-2</c:v>
                </c:pt>
                <c:pt idx="329">
                  <c:v>5.3338000000000003E-2</c:v>
                </c:pt>
                <c:pt idx="330">
                  <c:v>5.3421999999999997E-2</c:v>
                </c:pt>
                <c:pt idx="331">
                  <c:v>5.3503999999999996E-2</c:v>
                </c:pt>
                <c:pt idx="332">
                  <c:v>5.3587999999999997E-2</c:v>
                </c:pt>
                <c:pt idx="333">
                  <c:v>5.3672000000000004E-2</c:v>
                </c:pt>
                <c:pt idx="334">
                  <c:v>5.3756000000000005E-2</c:v>
                </c:pt>
                <c:pt idx="335">
                  <c:v>5.3840000000000006E-2</c:v>
                </c:pt>
                <c:pt idx="336">
                  <c:v>5.3921999999999998E-2</c:v>
                </c:pt>
                <c:pt idx="337">
                  <c:v>5.4005999999999998E-2</c:v>
                </c:pt>
                <c:pt idx="338">
                  <c:v>5.4088000000000004E-2</c:v>
                </c:pt>
                <c:pt idx="339">
                  <c:v>5.4172000000000005E-2</c:v>
                </c:pt>
                <c:pt idx="340">
                  <c:v>5.4255999999999999E-2</c:v>
                </c:pt>
                <c:pt idx="341">
                  <c:v>5.4337999999999997E-2</c:v>
                </c:pt>
                <c:pt idx="342">
                  <c:v>5.4420000000000003E-2</c:v>
                </c:pt>
                <c:pt idx="343">
                  <c:v>5.4477999999999999E-2</c:v>
                </c:pt>
                <c:pt idx="344">
                  <c:v>5.4561999999999999E-2</c:v>
                </c:pt>
                <c:pt idx="345">
                  <c:v>5.4646E-2</c:v>
                </c:pt>
                <c:pt idx="346">
                  <c:v>5.4728000000000006E-2</c:v>
                </c:pt>
                <c:pt idx="347">
                  <c:v>5.4812E-2</c:v>
                </c:pt>
                <c:pt idx="348">
                  <c:v>5.4865999999999998E-2</c:v>
                </c:pt>
                <c:pt idx="349">
                  <c:v>5.4949999999999999E-2</c:v>
                </c:pt>
                <c:pt idx="350">
                  <c:v>5.5031999999999998E-2</c:v>
                </c:pt>
                <c:pt idx="351">
                  <c:v>5.5115999999999998E-2</c:v>
                </c:pt>
                <c:pt idx="352">
                  <c:v>5.5199999999999999E-2</c:v>
                </c:pt>
                <c:pt idx="353">
                  <c:v>5.5284000000000007E-2</c:v>
                </c:pt>
                <c:pt idx="354">
                  <c:v>5.5365999999999999E-2</c:v>
                </c:pt>
                <c:pt idx="355">
                  <c:v>5.5424000000000001E-2</c:v>
                </c:pt>
                <c:pt idx="356">
                  <c:v>5.5507999999999995E-2</c:v>
                </c:pt>
                <c:pt idx="357">
                  <c:v>5.5590000000000001E-2</c:v>
                </c:pt>
                <c:pt idx="358">
                  <c:v>5.5671999999999999E-2</c:v>
                </c:pt>
                <c:pt idx="359">
                  <c:v>5.5753999999999998E-2</c:v>
                </c:pt>
                <c:pt idx="360">
                  <c:v>5.5837999999999999E-2</c:v>
                </c:pt>
                <c:pt idx="361">
                  <c:v>5.5921999999999999E-2</c:v>
                </c:pt>
                <c:pt idx="362">
                  <c:v>5.6006E-2</c:v>
                </c:pt>
                <c:pt idx="363">
                  <c:v>5.6090000000000001E-2</c:v>
                </c:pt>
                <c:pt idx="364">
                  <c:v>5.62E-2</c:v>
                </c:pt>
                <c:pt idx="365">
                  <c:v>5.6312000000000001E-2</c:v>
                </c:pt>
                <c:pt idx="366">
                  <c:v>5.6422E-2</c:v>
                </c:pt>
                <c:pt idx="367">
                  <c:v>5.6534000000000001E-2</c:v>
                </c:pt>
                <c:pt idx="368">
                  <c:v>5.6644E-2</c:v>
                </c:pt>
                <c:pt idx="369">
                  <c:v>5.6756000000000001E-2</c:v>
                </c:pt>
                <c:pt idx="370">
                  <c:v>5.6866E-2</c:v>
                </c:pt>
                <c:pt idx="371">
                  <c:v>5.6978000000000001E-2</c:v>
                </c:pt>
                <c:pt idx="372">
                  <c:v>5.7089999999999995E-2</c:v>
                </c:pt>
                <c:pt idx="373">
                  <c:v>5.7172000000000001E-2</c:v>
                </c:pt>
                <c:pt idx="374">
                  <c:v>5.7282E-2</c:v>
                </c:pt>
                <c:pt idx="375">
                  <c:v>5.7394000000000001E-2</c:v>
                </c:pt>
                <c:pt idx="376">
                  <c:v>5.7504E-2</c:v>
                </c:pt>
                <c:pt idx="377">
                  <c:v>5.7615999999999994E-2</c:v>
                </c:pt>
                <c:pt idx="378">
                  <c:v>5.7728000000000002E-2</c:v>
                </c:pt>
                <c:pt idx="379">
                  <c:v>5.7838000000000001E-2</c:v>
                </c:pt>
                <c:pt idx="380">
                  <c:v>5.7950000000000002E-2</c:v>
                </c:pt>
                <c:pt idx="381">
                  <c:v>5.806E-2</c:v>
                </c:pt>
                <c:pt idx="382">
                  <c:v>5.8141999999999999E-2</c:v>
                </c:pt>
                <c:pt idx="383">
                  <c:v>5.8255999999999995E-2</c:v>
                </c:pt>
                <c:pt idx="384">
                  <c:v>5.8338000000000001E-2</c:v>
                </c:pt>
                <c:pt idx="385">
                  <c:v>5.8449999999999995E-2</c:v>
                </c:pt>
                <c:pt idx="386">
                  <c:v>5.8533999999999996E-2</c:v>
                </c:pt>
                <c:pt idx="387">
                  <c:v>5.8644000000000002E-2</c:v>
                </c:pt>
                <c:pt idx="388">
                  <c:v>5.8727999999999995E-2</c:v>
                </c:pt>
                <c:pt idx="389">
                  <c:v>5.8838000000000001E-2</c:v>
                </c:pt>
                <c:pt idx="390">
                  <c:v>5.8922000000000002E-2</c:v>
                </c:pt>
                <c:pt idx="391">
                  <c:v>5.9005999999999996E-2</c:v>
                </c:pt>
                <c:pt idx="392">
                  <c:v>5.9118000000000004E-2</c:v>
                </c:pt>
                <c:pt idx="393">
                  <c:v>5.9202000000000005E-2</c:v>
                </c:pt>
                <c:pt idx="394">
                  <c:v>5.9311999999999997E-2</c:v>
                </c:pt>
                <c:pt idx="395">
                  <c:v>5.9396000000000004E-2</c:v>
                </c:pt>
                <c:pt idx="396">
                  <c:v>5.9505999999999996E-2</c:v>
                </c:pt>
                <c:pt idx="397">
                  <c:v>5.9588000000000002E-2</c:v>
                </c:pt>
                <c:pt idx="398">
                  <c:v>5.9698000000000001E-2</c:v>
                </c:pt>
                <c:pt idx="399">
                  <c:v>5.9782000000000002E-2</c:v>
                </c:pt>
                <c:pt idx="400">
                  <c:v>5.9866000000000003E-2</c:v>
                </c:pt>
                <c:pt idx="401">
                  <c:v>5.9950000000000003E-2</c:v>
                </c:pt>
                <c:pt idx="402">
                  <c:v>6.0034000000000004E-2</c:v>
                </c:pt>
                <c:pt idx="403">
                  <c:v>6.0145999999999998E-2</c:v>
                </c:pt>
                <c:pt idx="404">
                  <c:v>6.0255999999999997E-2</c:v>
                </c:pt>
                <c:pt idx="405">
                  <c:v>6.0366000000000003E-2</c:v>
                </c:pt>
                <c:pt idx="406">
                  <c:v>6.0477999999999997E-2</c:v>
                </c:pt>
                <c:pt idx="407">
                  <c:v>6.0587999999999996E-2</c:v>
                </c:pt>
                <c:pt idx="408">
                  <c:v>6.0700000000000004E-2</c:v>
                </c:pt>
                <c:pt idx="409">
                  <c:v>6.0811999999999998E-2</c:v>
                </c:pt>
                <c:pt idx="410">
                  <c:v>6.0922000000000004E-2</c:v>
                </c:pt>
                <c:pt idx="411">
                  <c:v>6.1033999999999998E-2</c:v>
                </c:pt>
                <c:pt idx="412">
                  <c:v>6.1143999999999997E-2</c:v>
                </c:pt>
                <c:pt idx="413">
                  <c:v>6.1256000000000005E-2</c:v>
                </c:pt>
                <c:pt idx="414">
                  <c:v>6.1365999999999997E-2</c:v>
                </c:pt>
                <c:pt idx="415">
                  <c:v>6.1478000000000005E-2</c:v>
                </c:pt>
                <c:pt idx="416">
                  <c:v>6.1589999999999999E-2</c:v>
                </c:pt>
                <c:pt idx="417">
                  <c:v>6.1702000000000007E-2</c:v>
                </c:pt>
                <c:pt idx="418">
                  <c:v>6.1810000000000004E-2</c:v>
                </c:pt>
                <c:pt idx="419">
                  <c:v>6.1921999999999998E-2</c:v>
                </c:pt>
                <c:pt idx="420">
                  <c:v>6.2034000000000006E-2</c:v>
                </c:pt>
                <c:pt idx="421">
                  <c:v>6.2144000000000005E-2</c:v>
                </c:pt>
                <c:pt idx="422">
                  <c:v>6.2255999999999999E-2</c:v>
                </c:pt>
                <c:pt idx="423">
                  <c:v>6.2366000000000005E-2</c:v>
                </c:pt>
                <c:pt idx="424">
                  <c:v>6.2476000000000004E-2</c:v>
                </c:pt>
                <c:pt idx="425">
                  <c:v>6.2588000000000005E-2</c:v>
                </c:pt>
                <c:pt idx="426">
                  <c:v>6.2699999999999992E-2</c:v>
                </c:pt>
                <c:pt idx="427">
                  <c:v>6.2809999999999991E-2</c:v>
                </c:pt>
                <c:pt idx="428">
                  <c:v>6.2923999999999994E-2</c:v>
                </c:pt>
                <c:pt idx="429">
                  <c:v>6.3033999999999993E-2</c:v>
                </c:pt>
                <c:pt idx="430">
                  <c:v>6.3146000000000008E-2</c:v>
                </c:pt>
                <c:pt idx="431">
                  <c:v>6.3255999999999993E-2</c:v>
                </c:pt>
                <c:pt idx="432">
                  <c:v>6.3365999999999992E-2</c:v>
                </c:pt>
                <c:pt idx="433">
                  <c:v>6.3503999999999991E-2</c:v>
                </c:pt>
                <c:pt idx="434">
                  <c:v>6.3643999999999992E-2</c:v>
                </c:pt>
                <c:pt idx="435">
                  <c:v>6.3756000000000007E-2</c:v>
                </c:pt>
                <c:pt idx="436">
                  <c:v>6.3867999999999994E-2</c:v>
                </c:pt>
                <c:pt idx="437">
                  <c:v>6.3979999999999995E-2</c:v>
                </c:pt>
                <c:pt idx="438">
                  <c:v>6.4089999999999994E-2</c:v>
                </c:pt>
                <c:pt idx="439">
                  <c:v>6.4199999999999993E-2</c:v>
                </c:pt>
                <c:pt idx="440">
                  <c:v>6.4310000000000006E-2</c:v>
                </c:pt>
                <c:pt idx="441">
                  <c:v>6.4421999999999993E-2</c:v>
                </c:pt>
                <c:pt idx="442">
                  <c:v>6.4534000000000008E-2</c:v>
                </c:pt>
                <c:pt idx="443">
                  <c:v>6.4644000000000007E-2</c:v>
                </c:pt>
                <c:pt idx="444">
                  <c:v>6.4755999999999994E-2</c:v>
                </c:pt>
                <c:pt idx="445">
                  <c:v>6.4867999999999995E-2</c:v>
                </c:pt>
                <c:pt idx="446">
                  <c:v>6.4977999999999994E-2</c:v>
                </c:pt>
                <c:pt idx="447">
                  <c:v>6.5087999999999993E-2</c:v>
                </c:pt>
                <c:pt idx="448">
                  <c:v>6.5199999999999994E-2</c:v>
                </c:pt>
                <c:pt idx="449">
                  <c:v>6.5311999999999995E-2</c:v>
                </c:pt>
                <c:pt idx="450">
                  <c:v>6.5422000000000008E-2</c:v>
                </c:pt>
                <c:pt idx="451">
                  <c:v>6.5533999999999995E-2</c:v>
                </c:pt>
                <c:pt idx="452">
                  <c:v>6.5643999999999994E-2</c:v>
                </c:pt>
                <c:pt idx="453">
                  <c:v>6.5755999999999995E-2</c:v>
                </c:pt>
                <c:pt idx="454">
                  <c:v>6.5865999999999994E-2</c:v>
                </c:pt>
                <c:pt idx="455">
                  <c:v>6.5978000000000009E-2</c:v>
                </c:pt>
                <c:pt idx="456">
                  <c:v>6.6087999999999994E-2</c:v>
                </c:pt>
                <c:pt idx="457">
                  <c:v>6.6197999999999993E-2</c:v>
                </c:pt>
                <c:pt idx="458">
                  <c:v>6.634000000000001E-2</c:v>
                </c:pt>
                <c:pt idx="459">
                  <c:v>6.6475999999999993E-2</c:v>
                </c:pt>
                <c:pt idx="460">
                  <c:v>6.6615999999999995E-2</c:v>
                </c:pt>
                <c:pt idx="461">
                  <c:v>6.6755999999999996E-2</c:v>
                </c:pt>
                <c:pt idx="462">
                  <c:v>6.6896000000000011E-2</c:v>
                </c:pt>
                <c:pt idx="463">
                  <c:v>6.7033999999999996E-2</c:v>
                </c:pt>
                <c:pt idx="464">
                  <c:v>6.7171999999999996E-2</c:v>
                </c:pt>
                <c:pt idx="465">
                  <c:v>6.7309999999999995E-2</c:v>
                </c:pt>
                <c:pt idx="466">
                  <c:v>6.7447999999999994E-2</c:v>
                </c:pt>
                <c:pt idx="467">
                  <c:v>6.7587999999999995E-2</c:v>
                </c:pt>
                <c:pt idx="468">
                  <c:v>6.7727999999999997E-2</c:v>
                </c:pt>
                <c:pt idx="469">
                  <c:v>6.7865999999999996E-2</c:v>
                </c:pt>
                <c:pt idx="470">
                  <c:v>6.8003999999999995E-2</c:v>
                </c:pt>
                <c:pt idx="471">
                  <c:v>6.8143999999999996E-2</c:v>
                </c:pt>
                <c:pt idx="472">
                  <c:v>6.8281999999999995E-2</c:v>
                </c:pt>
                <c:pt idx="473">
                  <c:v>6.8421999999999997E-2</c:v>
                </c:pt>
                <c:pt idx="474">
                  <c:v>6.8561999999999998E-2</c:v>
                </c:pt>
                <c:pt idx="475">
                  <c:v>6.8701999999999999E-2</c:v>
                </c:pt>
                <c:pt idx="476">
                  <c:v>6.8837999999999996E-2</c:v>
                </c:pt>
                <c:pt idx="477">
                  <c:v>6.8975999999999996E-2</c:v>
                </c:pt>
                <c:pt idx="478">
                  <c:v>6.9143999999999997E-2</c:v>
                </c:pt>
                <c:pt idx="479">
                  <c:v>6.928200000000001E-2</c:v>
                </c:pt>
                <c:pt idx="480">
                  <c:v>6.9452E-2</c:v>
                </c:pt>
                <c:pt idx="481">
                  <c:v>6.9587999999999997E-2</c:v>
                </c:pt>
                <c:pt idx="482">
                  <c:v>6.9725999999999996E-2</c:v>
                </c:pt>
                <c:pt idx="483">
                  <c:v>6.9893999999999998E-2</c:v>
                </c:pt>
                <c:pt idx="484">
                  <c:v>7.0033999999999999E-2</c:v>
                </c:pt>
                <c:pt idx="485">
                  <c:v>7.0199999999999999E-2</c:v>
                </c:pt>
                <c:pt idx="486">
                  <c:v>7.0337999999999998E-2</c:v>
                </c:pt>
                <c:pt idx="487">
                  <c:v>7.0477999999999999E-2</c:v>
                </c:pt>
                <c:pt idx="488">
                  <c:v>7.0643999999999998E-2</c:v>
                </c:pt>
                <c:pt idx="489">
                  <c:v>7.0784E-2</c:v>
                </c:pt>
                <c:pt idx="490">
                  <c:v>7.0924000000000001E-2</c:v>
                </c:pt>
                <c:pt idx="491">
                  <c:v>7.1059999999999998E-2</c:v>
                </c:pt>
                <c:pt idx="492">
                  <c:v>7.1199999999999999E-2</c:v>
                </c:pt>
                <c:pt idx="493">
                  <c:v>7.1340000000000001E-2</c:v>
                </c:pt>
                <c:pt idx="494">
                  <c:v>7.1475999999999998E-2</c:v>
                </c:pt>
                <c:pt idx="495">
                  <c:v>7.1646000000000001E-2</c:v>
                </c:pt>
                <c:pt idx="496">
                  <c:v>7.1809999999999999E-2</c:v>
                </c:pt>
                <c:pt idx="497">
                  <c:v>7.1975999999999998E-2</c:v>
                </c:pt>
                <c:pt idx="498">
                  <c:v>7.2144E-2</c:v>
                </c:pt>
                <c:pt idx="499">
                  <c:v>7.2312000000000001E-2</c:v>
                </c:pt>
                <c:pt idx="500">
                  <c:v>7.2480000000000003E-2</c:v>
                </c:pt>
                <c:pt idx="501">
                  <c:v>7.2644E-2</c:v>
                </c:pt>
                <c:pt idx="502">
                  <c:v>7.2784000000000001E-2</c:v>
                </c:pt>
                <c:pt idx="503">
                  <c:v>7.2922000000000001E-2</c:v>
                </c:pt>
                <c:pt idx="504">
                  <c:v>7.3062000000000002E-2</c:v>
                </c:pt>
                <c:pt idx="505">
                  <c:v>7.3202000000000003E-2</c:v>
                </c:pt>
                <c:pt idx="506">
                  <c:v>7.3338E-2</c:v>
                </c:pt>
                <c:pt idx="507">
                  <c:v>7.3478000000000002E-2</c:v>
                </c:pt>
                <c:pt idx="508">
                  <c:v>7.3616000000000001E-2</c:v>
                </c:pt>
                <c:pt idx="509">
                  <c:v>7.3756000000000002E-2</c:v>
                </c:pt>
                <c:pt idx="510">
                  <c:v>7.3896000000000003E-2</c:v>
                </c:pt>
                <c:pt idx="511">
                  <c:v>7.4062000000000003E-2</c:v>
                </c:pt>
                <c:pt idx="512">
                  <c:v>7.4228000000000002E-2</c:v>
                </c:pt>
                <c:pt idx="513">
                  <c:v>7.4394000000000002E-2</c:v>
                </c:pt>
                <c:pt idx="514">
                  <c:v>7.4560000000000001E-2</c:v>
                </c:pt>
                <c:pt idx="515">
                  <c:v>7.4728000000000003E-2</c:v>
                </c:pt>
                <c:pt idx="516">
                  <c:v>7.4894000000000002E-2</c:v>
                </c:pt>
                <c:pt idx="517">
                  <c:v>7.5062000000000004E-2</c:v>
                </c:pt>
                <c:pt idx="518">
                  <c:v>7.5228000000000003E-2</c:v>
                </c:pt>
                <c:pt idx="519">
                  <c:v>7.5394000000000003E-2</c:v>
                </c:pt>
                <c:pt idx="520">
                  <c:v>7.556199999999999E-2</c:v>
                </c:pt>
                <c:pt idx="521">
                  <c:v>7.5726000000000002E-2</c:v>
                </c:pt>
                <c:pt idx="522">
                  <c:v>7.5894000000000003E-2</c:v>
                </c:pt>
                <c:pt idx="523">
                  <c:v>7.6062000000000005E-2</c:v>
                </c:pt>
                <c:pt idx="524">
                  <c:v>7.6228000000000004E-2</c:v>
                </c:pt>
                <c:pt idx="525">
                  <c:v>7.6395999999999992E-2</c:v>
                </c:pt>
                <c:pt idx="526">
                  <c:v>7.6560000000000003E-2</c:v>
                </c:pt>
                <c:pt idx="527">
                  <c:v>7.6726000000000003E-2</c:v>
                </c:pt>
                <c:pt idx="528">
                  <c:v>7.6894000000000004E-2</c:v>
                </c:pt>
                <c:pt idx="529">
                  <c:v>7.7060000000000003E-2</c:v>
                </c:pt>
                <c:pt idx="530">
                  <c:v>7.7226000000000003E-2</c:v>
                </c:pt>
                <c:pt idx="531">
                  <c:v>7.7394000000000004E-2</c:v>
                </c:pt>
                <c:pt idx="532">
                  <c:v>7.7560000000000004E-2</c:v>
                </c:pt>
                <c:pt idx="533">
                  <c:v>7.7728000000000005E-2</c:v>
                </c:pt>
                <c:pt idx="534">
                  <c:v>7.7896000000000007E-2</c:v>
                </c:pt>
                <c:pt idx="535">
                  <c:v>7.8061999999999993E-2</c:v>
                </c:pt>
                <c:pt idx="536">
                  <c:v>7.8228000000000006E-2</c:v>
                </c:pt>
                <c:pt idx="537">
                  <c:v>7.8422000000000006E-2</c:v>
                </c:pt>
                <c:pt idx="538">
                  <c:v>7.8616000000000005E-2</c:v>
                </c:pt>
                <c:pt idx="539">
                  <c:v>7.8810000000000005E-2</c:v>
                </c:pt>
                <c:pt idx="540">
                  <c:v>7.9005999999999993E-2</c:v>
                </c:pt>
                <c:pt idx="541">
                  <c:v>7.9199999999999993E-2</c:v>
                </c:pt>
                <c:pt idx="542">
                  <c:v>7.9396000000000008E-2</c:v>
                </c:pt>
                <c:pt idx="543">
                  <c:v>7.9588000000000006E-2</c:v>
                </c:pt>
                <c:pt idx="544">
                  <c:v>7.9783999999999994E-2</c:v>
                </c:pt>
                <c:pt idx="545">
                  <c:v>7.9977999999999994E-2</c:v>
                </c:pt>
                <c:pt idx="546">
                  <c:v>8.0172000000000007E-2</c:v>
                </c:pt>
                <c:pt idx="547">
                  <c:v>8.0364000000000005E-2</c:v>
                </c:pt>
                <c:pt idx="548">
                  <c:v>8.0559999999999993E-2</c:v>
                </c:pt>
                <c:pt idx="549">
                  <c:v>8.0755999999999994E-2</c:v>
                </c:pt>
                <c:pt idx="550">
                  <c:v>8.0950000000000008E-2</c:v>
                </c:pt>
                <c:pt idx="551">
                  <c:v>8.1143999999999994E-2</c:v>
                </c:pt>
                <c:pt idx="552">
                  <c:v>8.134000000000001E-2</c:v>
                </c:pt>
                <c:pt idx="553">
                  <c:v>8.1533999999999995E-2</c:v>
                </c:pt>
                <c:pt idx="554">
                  <c:v>8.1729999999999997E-2</c:v>
                </c:pt>
                <c:pt idx="555">
                  <c:v>8.1920000000000007E-2</c:v>
                </c:pt>
                <c:pt idx="556">
                  <c:v>8.2116000000000008E-2</c:v>
                </c:pt>
                <c:pt idx="557">
                  <c:v>8.2309999999999994E-2</c:v>
                </c:pt>
                <c:pt idx="558">
                  <c:v>8.250600000000001E-2</c:v>
                </c:pt>
                <c:pt idx="559">
                  <c:v>8.2699999999999996E-2</c:v>
                </c:pt>
                <c:pt idx="560">
                  <c:v>8.2894000000000009E-2</c:v>
                </c:pt>
                <c:pt idx="561">
                  <c:v>8.3089999999999997E-2</c:v>
                </c:pt>
                <c:pt idx="562">
                  <c:v>8.3283999999999997E-2</c:v>
                </c:pt>
                <c:pt idx="563">
                  <c:v>8.3477999999999997E-2</c:v>
                </c:pt>
                <c:pt idx="564">
                  <c:v>8.367200000000001E-2</c:v>
                </c:pt>
                <c:pt idx="565">
                  <c:v>8.3865999999999996E-2</c:v>
                </c:pt>
                <c:pt idx="566">
                  <c:v>8.4061999999999998E-2</c:v>
                </c:pt>
                <c:pt idx="567">
                  <c:v>8.428200000000001E-2</c:v>
                </c:pt>
                <c:pt idx="568">
                  <c:v>8.4503999999999996E-2</c:v>
                </c:pt>
                <c:pt idx="569">
                  <c:v>8.4700000000000011E-2</c:v>
                </c:pt>
                <c:pt idx="570">
                  <c:v>8.4893999999999997E-2</c:v>
                </c:pt>
                <c:pt idx="571">
                  <c:v>8.5088000000000011E-2</c:v>
                </c:pt>
                <c:pt idx="572">
                  <c:v>8.5283999999999999E-2</c:v>
                </c:pt>
                <c:pt idx="573">
                  <c:v>8.548E-2</c:v>
                </c:pt>
                <c:pt idx="574">
                  <c:v>8.5671999999999998E-2</c:v>
                </c:pt>
                <c:pt idx="575">
                  <c:v>8.5866000000000012E-2</c:v>
                </c:pt>
                <c:pt idx="576">
                  <c:v>8.609E-2</c:v>
                </c:pt>
                <c:pt idx="577">
                  <c:v>8.6312E-2</c:v>
                </c:pt>
                <c:pt idx="578">
                  <c:v>8.6531999999999998E-2</c:v>
                </c:pt>
                <c:pt idx="579">
                  <c:v>8.6756E-2</c:v>
                </c:pt>
                <c:pt idx="580">
                  <c:v>8.6975999999999998E-2</c:v>
                </c:pt>
                <c:pt idx="581">
                  <c:v>8.72E-2</c:v>
                </c:pt>
                <c:pt idx="582">
                  <c:v>8.7422E-2</c:v>
                </c:pt>
                <c:pt idx="583">
                  <c:v>8.7646000000000002E-2</c:v>
                </c:pt>
                <c:pt idx="584">
                  <c:v>8.7868000000000002E-2</c:v>
                </c:pt>
                <c:pt idx="585">
                  <c:v>8.8088E-2</c:v>
                </c:pt>
                <c:pt idx="586">
                  <c:v>8.831E-2</c:v>
                </c:pt>
                <c:pt idx="587">
                  <c:v>8.8532E-2</c:v>
                </c:pt>
                <c:pt idx="588">
                  <c:v>8.8754000000000013E-2</c:v>
                </c:pt>
                <c:pt idx="589">
                  <c:v>8.8978000000000002E-2</c:v>
                </c:pt>
                <c:pt idx="590">
                  <c:v>8.920199999999999E-2</c:v>
                </c:pt>
                <c:pt idx="591">
                  <c:v>8.942399999999999E-2</c:v>
                </c:pt>
                <c:pt idx="592">
                  <c:v>8.967E-2</c:v>
                </c:pt>
                <c:pt idx="593">
                  <c:v>8.9894000000000002E-2</c:v>
                </c:pt>
                <c:pt idx="594">
                  <c:v>9.011799999999999E-2</c:v>
                </c:pt>
                <c:pt idx="595">
                  <c:v>9.0337999999999988E-2</c:v>
                </c:pt>
                <c:pt idx="596">
                  <c:v>9.0562000000000004E-2</c:v>
                </c:pt>
                <c:pt idx="597">
                  <c:v>9.0810000000000002E-2</c:v>
                </c:pt>
                <c:pt idx="598">
                  <c:v>9.1060000000000002E-2</c:v>
                </c:pt>
                <c:pt idx="599">
                  <c:v>9.1310000000000002E-2</c:v>
                </c:pt>
                <c:pt idx="600">
                  <c:v>9.1562000000000004E-2</c:v>
                </c:pt>
                <c:pt idx="601">
                  <c:v>9.1812000000000005E-2</c:v>
                </c:pt>
                <c:pt idx="602">
                  <c:v>9.2059999999999989E-2</c:v>
                </c:pt>
                <c:pt idx="603">
                  <c:v>9.2311999999999991E-2</c:v>
                </c:pt>
                <c:pt idx="604">
                  <c:v>9.2560000000000003E-2</c:v>
                </c:pt>
                <c:pt idx="605">
                  <c:v>9.2812000000000006E-2</c:v>
                </c:pt>
                <c:pt idx="606">
                  <c:v>9.3062000000000006E-2</c:v>
                </c:pt>
                <c:pt idx="607">
                  <c:v>9.3312000000000006E-2</c:v>
                </c:pt>
                <c:pt idx="608">
                  <c:v>9.3561999999999992E-2</c:v>
                </c:pt>
                <c:pt idx="609">
                  <c:v>9.3810000000000004E-2</c:v>
                </c:pt>
                <c:pt idx="610">
                  <c:v>9.4062000000000007E-2</c:v>
                </c:pt>
                <c:pt idx="611">
                  <c:v>9.4309999999999991E-2</c:v>
                </c:pt>
                <c:pt idx="612">
                  <c:v>9.4562000000000007E-2</c:v>
                </c:pt>
                <c:pt idx="613">
                  <c:v>9.4811999999999994E-2</c:v>
                </c:pt>
                <c:pt idx="614">
                  <c:v>9.5060000000000006E-2</c:v>
                </c:pt>
                <c:pt idx="615">
                  <c:v>9.5312000000000008E-2</c:v>
                </c:pt>
                <c:pt idx="616">
                  <c:v>9.5562000000000008E-2</c:v>
                </c:pt>
                <c:pt idx="617">
                  <c:v>9.5809999999999992E-2</c:v>
                </c:pt>
                <c:pt idx="618">
                  <c:v>9.6061999999999995E-2</c:v>
                </c:pt>
                <c:pt idx="619">
                  <c:v>9.6340000000000009E-2</c:v>
                </c:pt>
                <c:pt idx="620">
                  <c:v>9.6615999999999994E-2</c:v>
                </c:pt>
                <c:pt idx="621">
                  <c:v>9.6893999999999994E-2</c:v>
                </c:pt>
                <c:pt idx="622">
                  <c:v>9.7173999999999996E-2</c:v>
                </c:pt>
                <c:pt idx="623">
                  <c:v>9.7449999999999995E-2</c:v>
                </c:pt>
                <c:pt idx="624">
                  <c:v>9.7727999999999995E-2</c:v>
                </c:pt>
                <c:pt idx="625">
                  <c:v>9.8005999999999996E-2</c:v>
                </c:pt>
                <c:pt idx="626">
                  <c:v>9.8282000000000008E-2</c:v>
                </c:pt>
                <c:pt idx="627">
                  <c:v>9.8559999999999995E-2</c:v>
                </c:pt>
                <c:pt idx="628">
                  <c:v>9.8838000000000009E-2</c:v>
                </c:pt>
                <c:pt idx="629">
                  <c:v>9.9115999999999996E-2</c:v>
                </c:pt>
                <c:pt idx="630">
                  <c:v>9.9423999999999998E-2</c:v>
                </c:pt>
                <c:pt idx="631">
                  <c:v>9.9727999999999997E-2</c:v>
                </c:pt>
                <c:pt idx="632">
                  <c:v>0.100034</c:v>
                </c:pt>
                <c:pt idx="633">
                  <c:v>0.100338</c:v>
                </c:pt>
                <c:pt idx="634">
                  <c:v>0.100644</c:v>
                </c:pt>
                <c:pt idx="635">
                  <c:v>0.10095000000000001</c:v>
                </c:pt>
                <c:pt idx="636">
                  <c:v>0.10125400000000001</c:v>
                </c:pt>
                <c:pt idx="637">
                  <c:v>0.10156000000000001</c:v>
                </c:pt>
                <c:pt idx="638">
                  <c:v>0.101866</c:v>
                </c:pt>
                <c:pt idx="639">
                  <c:v>0.102172</c:v>
                </c:pt>
                <c:pt idx="640">
                  <c:v>0.102478</c:v>
                </c:pt>
                <c:pt idx="641">
                  <c:v>0.102782</c:v>
                </c:pt>
                <c:pt idx="642">
                  <c:v>0.103088</c:v>
                </c:pt>
                <c:pt idx="643">
                  <c:v>0.103394</c:v>
                </c:pt>
                <c:pt idx="644">
                  <c:v>0.10369999999999999</c:v>
                </c:pt>
                <c:pt idx="645">
                  <c:v>0.104034</c:v>
                </c:pt>
                <c:pt idx="646">
                  <c:v>0.104366</c:v>
                </c:pt>
                <c:pt idx="647">
                  <c:v>0.104672</c:v>
                </c:pt>
                <c:pt idx="648">
                  <c:v>0.105006</c:v>
                </c:pt>
                <c:pt idx="649">
                  <c:v>0.10534</c:v>
                </c:pt>
                <c:pt idx="650">
                  <c:v>0.105672</c:v>
                </c:pt>
                <c:pt idx="651">
                  <c:v>0.106004</c:v>
                </c:pt>
                <c:pt idx="652">
                  <c:v>0.10634</c:v>
                </c:pt>
                <c:pt idx="653">
                  <c:v>0.10667199999999999</c:v>
                </c:pt>
                <c:pt idx="654">
                  <c:v>0.10700599999999999</c:v>
                </c:pt>
                <c:pt idx="655">
                  <c:v>0.107338</c:v>
                </c:pt>
                <c:pt idx="656">
                  <c:v>0.10770200000000001</c:v>
                </c:pt>
                <c:pt idx="657">
                  <c:v>0.10805999999999999</c:v>
                </c:pt>
                <c:pt idx="658">
                  <c:v>0.108422</c:v>
                </c:pt>
                <c:pt idx="659">
                  <c:v>0.10878199999999999</c:v>
                </c:pt>
                <c:pt idx="660">
                  <c:v>0.109144</c:v>
                </c:pt>
                <c:pt idx="661">
                  <c:v>0.10950599999999999</c:v>
                </c:pt>
                <c:pt idx="662">
                  <c:v>0.10986599999999999</c:v>
                </c:pt>
                <c:pt idx="663">
                  <c:v>0.11022800000000001</c:v>
                </c:pt>
                <c:pt idx="664">
                  <c:v>0.11058999999999999</c:v>
                </c:pt>
                <c:pt idx="665">
                  <c:v>0.11097799999999999</c:v>
                </c:pt>
                <c:pt idx="666">
                  <c:v>0.11136799999999999</c:v>
                </c:pt>
                <c:pt idx="667">
                  <c:v>0.11175599999999999</c:v>
                </c:pt>
                <c:pt idx="668">
                  <c:v>0.11214399999999999</c:v>
                </c:pt>
                <c:pt idx="669">
                  <c:v>0.112534</c:v>
                </c:pt>
                <c:pt idx="670">
                  <c:v>0.11292199999999999</c:v>
                </c:pt>
                <c:pt idx="671">
                  <c:v>0.113284</c:v>
                </c:pt>
                <c:pt idx="672">
                  <c:v>0.11367200000000001</c:v>
                </c:pt>
                <c:pt idx="673">
                  <c:v>0.114062</c:v>
                </c:pt>
                <c:pt idx="674">
                  <c:v>0.11445</c:v>
                </c:pt>
                <c:pt idx="675">
                  <c:v>0.11484</c:v>
                </c:pt>
                <c:pt idx="676">
                  <c:v>0.115228</c:v>
                </c:pt>
                <c:pt idx="677">
                  <c:v>0.115618</c:v>
                </c:pt>
                <c:pt idx="678">
                  <c:v>0.116006</c:v>
                </c:pt>
                <c:pt idx="679">
                  <c:v>0.11642200000000001</c:v>
                </c:pt>
                <c:pt idx="680">
                  <c:v>0.11684</c:v>
                </c:pt>
                <c:pt idx="681">
                  <c:v>0.11725400000000001</c:v>
                </c:pt>
                <c:pt idx="682">
                  <c:v>0.11767200000000001</c:v>
                </c:pt>
                <c:pt idx="683">
                  <c:v>0.118088</c:v>
                </c:pt>
                <c:pt idx="684">
                  <c:v>0.118506</c:v>
                </c:pt>
                <c:pt idx="685">
                  <c:v>0.11895</c:v>
                </c:pt>
                <c:pt idx="686">
                  <c:v>0.119396</c:v>
                </c:pt>
                <c:pt idx="687">
                  <c:v>0.119838</c:v>
                </c:pt>
                <c:pt idx="688">
                  <c:v>0.120284</c:v>
                </c:pt>
                <c:pt idx="689">
                  <c:v>0.120728</c:v>
                </c:pt>
                <c:pt idx="690">
                  <c:v>0.12119999999999999</c:v>
                </c:pt>
                <c:pt idx="691">
                  <c:v>0.121674</c:v>
                </c:pt>
                <c:pt idx="692">
                  <c:v>0.12214399999999999</c:v>
                </c:pt>
                <c:pt idx="693">
                  <c:v>0.122616</c:v>
                </c:pt>
                <c:pt idx="694">
                  <c:v>0.12308999999999999</c:v>
                </c:pt>
                <c:pt idx="695">
                  <c:v>0.12356</c:v>
                </c:pt>
                <c:pt idx="696">
                  <c:v>0.12403399999999999</c:v>
                </c:pt>
                <c:pt idx="697">
                  <c:v>0.124504</c:v>
                </c:pt>
                <c:pt idx="698">
                  <c:v>0.12497799999999999</c:v>
                </c:pt>
                <c:pt idx="699">
                  <c:v>0.12545000000000001</c:v>
                </c:pt>
                <c:pt idx="700">
                  <c:v>0.12595000000000001</c:v>
                </c:pt>
                <c:pt idx="701">
                  <c:v>0.12645000000000001</c:v>
                </c:pt>
                <c:pt idx="702">
                  <c:v>0.12695000000000001</c:v>
                </c:pt>
                <c:pt idx="703">
                  <c:v>0.12747800000000001</c:v>
                </c:pt>
                <c:pt idx="704">
                  <c:v>0.12800599999999998</c:v>
                </c:pt>
                <c:pt idx="705">
                  <c:v>0.12853199999999998</c:v>
                </c:pt>
                <c:pt idx="706">
                  <c:v>0.12909000000000001</c:v>
                </c:pt>
                <c:pt idx="707">
                  <c:v>0.12964399999999998</c:v>
                </c:pt>
                <c:pt idx="708">
                  <c:v>0.13019999999999998</c:v>
                </c:pt>
                <c:pt idx="709">
                  <c:v>0.13078400000000001</c:v>
                </c:pt>
                <c:pt idx="710">
                  <c:v>0.13136599999999998</c:v>
                </c:pt>
                <c:pt idx="711">
                  <c:v>0.13194800000000001</c:v>
                </c:pt>
                <c:pt idx="712">
                  <c:v>0.13258800000000001</c:v>
                </c:pt>
                <c:pt idx="713">
                  <c:v>0.13328400000000001</c:v>
                </c:pt>
              </c:numCache>
            </c:numRef>
          </c:cat>
          <c:val>
            <c:numRef>
              <c:f>'A11-3'!$F$2:$F$715</c:f>
              <c:numCache>
                <c:formatCode>0.00</c:formatCode>
                <c:ptCount val="714"/>
                <c:pt idx="0">
                  <c:v>0</c:v>
                </c:pt>
                <c:pt idx="1">
                  <c:v>0.21687783887162324</c:v>
                </c:pt>
                <c:pt idx="2">
                  <c:v>0.21687783887162324</c:v>
                </c:pt>
                <c:pt idx="3">
                  <c:v>0.21687783887162324</c:v>
                </c:pt>
                <c:pt idx="4">
                  <c:v>0.21687783887162324</c:v>
                </c:pt>
                <c:pt idx="5">
                  <c:v>0.21687783887162324</c:v>
                </c:pt>
                <c:pt idx="6">
                  <c:v>0.21687783887162324</c:v>
                </c:pt>
                <c:pt idx="7">
                  <c:v>0.21687783887162324</c:v>
                </c:pt>
                <c:pt idx="8">
                  <c:v>0.21687783887162324</c:v>
                </c:pt>
                <c:pt idx="9">
                  <c:v>0.21687783887162324</c:v>
                </c:pt>
                <c:pt idx="10">
                  <c:v>0.21687783887162324</c:v>
                </c:pt>
                <c:pt idx="11">
                  <c:v>0.22229978484341384</c:v>
                </c:pt>
                <c:pt idx="12">
                  <c:v>0.22229978484341384</c:v>
                </c:pt>
                <c:pt idx="13">
                  <c:v>0.22229978484341384</c:v>
                </c:pt>
                <c:pt idx="14">
                  <c:v>0.21687783887162324</c:v>
                </c:pt>
                <c:pt idx="15">
                  <c:v>0.21687783887162324</c:v>
                </c:pt>
                <c:pt idx="16">
                  <c:v>0.21687783887162324</c:v>
                </c:pt>
                <c:pt idx="17">
                  <c:v>0.21687783887162324</c:v>
                </c:pt>
                <c:pt idx="18">
                  <c:v>0.21687783887162324</c:v>
                </c:pt>
                <c:pt idx="19">
                  <c:v>0.21687783887162324</c:v>
                </c:pt>
                <c:pt idx="20">
                  <c:v>0.21687783887162324</c:v>
                </c:pt>
                <c:pt idx="21">
                  <c:v>0.21687783887162324</c:v>
                </c:pt>
                <c:pt idx="22">
                  <c:v>0.22229978484341384</c:v>
                </c:pt>
                <c:pt idx="23">
                  <c:v>0.22229978484341384</c:v>
                </c:pt>
                <c:pt idx="24">
                  <c:v>0.22229978484341384</c:v>
                </c:pt>
                <c:pt idx="25">
                  <c:v>0.22229978484341384</c:v>
                </c:pt>
                <c:pt idx="26">
                  <c:v>0.22229978484341384</c:v>
                </c:pt>
                <c:pt idx="27">
                  <c:v>0.22229978484341384</c:v>
                </c:pt>
                <c:pt idx="28">
                  <c:v>0.22229978484341384</c:v>
                </c:pt>
                <c:pt idx="29">
                  <c:v>0.22772173081520442</c:v>
                </c:pt>
                <c:pt idx="30">
                  <c:v>0.22772173081520442</c:v>
                </c:pt>
                <c:pt idx="31">
                  <c:v>0.22772173081520442</c:v>
                </c:pt>
                <c:pt idx="32">
                  <c:v>0.22772173081520442</c:v>
                </c:pt>
                <c:pt idx="33">
                  <c:v>0.22772173081520442</c:v>
                </c:pt>
                <c:pt idx="34">
                  <c:v>0.23314048928201453</c:v>
                </c:pt>
                <c:pt idx="35">
                  <c:v>0.23314048928201453</c:v>
                </c:pt>
                <c:pt idx="36">
                  <c:v>0.23314048928201453</c:v>
                </c:pt>
                <c:pt idx="37">
                  <c:v>0.23314048928201453</c:v>
                </c:pt>
                <c:pt idx="38">
                  <c:v>0.24398438122559568</c:v>
                </c:pt>
                <c:pt idx="39">
                  <c:v>0.24940632719738623</c:v>
                </c:pt>
                <c:pt idx="40">
                  <c:v>0.24940632719738623</c:v>
                </c:pt>
                <c:pt idx="41">
                  <c:v>0.24940632719738623</c:v>
                </c:pt>
                <c:pt idx="42">
                  <c:v>0.24940632719738623</c:v>
                </c:pt>
                <c:pt idx="43">
                  <c:v>0.24940632719738623</c:v>
                </c:pt>
                <c:pt idx="44">
                  <c:v>0.26025021914096741</c:v>
                </c:pt>
                <c:pt idx="45">
                  <c:v>0.25482827316917683</c:v>
                </c:pt>
                <c:pt idx="46">
                  <c:v>0.24940632719738623</c:v>
                </c:pt>
                <c:pt idx="47">
                  <c:v>0.25482827316917683</c:v>
                </c:pt>
                <c:pt idx="48">
                  <c:v>0.27651605705633919</c:v>
                </c:pt>
                <c:pt idx="49">
                  <c:v>0.29278189497171092</c:v>
                </c:pt>
                <c:pt idx="50">
                  <c:v>0.30904773288708265</c:v>
                </c:pt>
                <c:pt idx="51">
                  <c:v>0.32531675830743484</c:v>
                </c:pt>
                <c:pt idx="52">
                  <c:v>0.33073551677424495</c:v>
                </c:pt>
                <c:pt idx="53">
                  <c:v>0.33073551677424495</c:v>
                </c:pt>
                <c:pt idx="54">
                  <c:v>0.33073551677424495</c:v>
                </c:pt>
                <c:pt idx="55">
                  <c:v>0.33073551677424495</c:v>
                </c:pt>
                <c:pt idx="56">
                  <c:v>0.33615427524105507</c:v>
                </c:pt>
                <c:pt idx="57">
                  <c:v>0.33615427524105507</c:v>
                </c:pt>
                <c:pt idx="58">
                  <c:v>0.33615427524105507</c:v>
                </c:pt>
                <c:pt idx="59">
                  <c:v>0.33073551677424495</c:v>
                </c:pt>
                <c:pt idx="60">
                  <c:v>0.33615427524105507</c:v>
                </c:pt>
                <c:pt idx="61">
                  <c:v>0.33615427524105507</c:v>
                </c:pt>
                <c:pt idx="62">
                  <c:v>0.33615427524105507</c:v>
                </c:pt>
                <c:pt idx="63">
                  <c:v>0.33615427524105507</c:v>
                </c:pt>
                <c:pt idx="64">
                  <c:v>0.33615427524105507</c:v>
                </c:pt>
                <c:pt idx="65">
                  <c:v>0.33615427524105507</c:v>
                </c:pt>
                <c:pt idx="66">
                  <c:v>0.33615427524105507</c:v>
                </c:pt>
                <c:pt idx="67">
                  <c:v>0.33615427524105507</c:v>
                </c:pt>
                <c:pt idx="68">
                  <c:v>0.34157303370786518</c:v>
                </c:pt>
                <c:pt idx="69">
                  <c:v>0.34157303370786518</c:v>
                </c:pt>
                <c:pt idx="70">
                  <c:v>0.34157303370786518</c:v>
                </c:pt>
                <c:pt idx="71">
                  <c:v>0.34157303370786518</c:v>
                </c:pt>
                <c:pt idx="72">
                  <c:v>0.35241055064148535</c:v>
                </c:pt>
                <c:pt idx="73">
                  <c:v>0.35786118415810025</c:v>
                </c:pt>
                <c:pt idx="74">
                  <c:v>0.36869870109172048</c:v>
                </c:pt>
                <c:pt idx="75">
                  <c:v>0.37953621802534071</c:v>
                </c:pt>
                <c:pt idx="76">
                  <c:v>0.39037373495896088</c:v>
                </c:pt>
                <c:pt idx="77">
                  <c:v>0.395792493425771</c:v>
                </c:pt>
                <c:pt idx="78">
                  <c:v>0.40121125189258111</c:v>
                </c:pt>
                <c:pt idx="79">
                  <c:v>0.395792493425771</c:v>
                </c:pt>
                <c:pt idx="80">
                  <c:v>0.395792493425771</c:v>
                </c:pt>
                <c:pt idx="81">
                  <c:v>0.395792493425771</c:v>
                </c:pt>
                <c:pt idx="82">
                  <c:v>0.40121125189258111</c:v>
                </c:pt>
                <c:pt idx="83">
                  <c:v>0.40121125189258111</c:v>
                </c:pt>
                <c:pt idx="84">
                  <c:v>0.40121125189258111</c:v>
                </c:pt>
                <c:pt idx="85">
                  <c:v>0.40121125189258111</c:v>
                </c:pt>
                <c:pt idx="86">
                  <c:v>0.40121125189258111</c:v>
                </c:pt>
                <c:pt idx="87">
                  <c:v>0.40121125189258111</c:v>
                </c:pt>
                <c:pt idx="88">
                  <c:v>0.40121125189258111</c:v>
                </c:pt>
                <c:pt idx="89">
                  <c:v>0.40663001035939123</c:v>
                </c:pt>
                <c:pt idx="90">
                  <c:v>0.40121125189258111</c:v>
                </c:pt>
                <c:pt idx="91">
                  <c:v>0.40121125189258111</c:v>
                </c:pt>
                <c:pt idx="92">
                  <c:v>0.40121125189258111</c:v>
                </c:pt>
                <c:pt idx="93">
                  <c:v>0.40663001035939123</c:v>
                </c:pt>
                <c:pt idx="94">
                  <c:v>0.40663001035939123</c:v>
                </c:pt>
                <c:pt idx="95">
                  <c:v>0.40663001035939123</c:v>
                </c:pt>
                <c:pt idx="96">
                  <c:v>0.40663001035939123</c:v>
                </c:pt>
                <c:pt idx="97">
                  <c:v>0.40663001035939123</c:v>
                </c:pt>
                <c:pt idx="98">
                  <c:v>0.40663001035939123</c:v>
                </c:pt>
                <c:pt idx="99">
                  <c:v>0.40663001035939123</c:v>
                </c:pt>
                <c:pt idx="100">
                  <c:v>0.40663001035939123</c:v>
                </c:pt>
                <c:pt idx="101">
                  <c:v>0.41208064387600613</c:v>
                </c:pt>
                <c:pt idx="102">
                  <c:v>0.41749940234281624</c:v>
                </c:pt>
                <c:pt idx="103">
                  <c:v>0.41749940234281624</c:v>
                </c:pt>
                <c:pt idx="104">
                  <c:v>0.42291816080962635</c:v>
                </c:pt>
                <c:pt idx="105">
                  <c:v>0.43375567774324647</c:v>
                </c:pt>
                <c:pt idx="106">
                  <c:v>0.43917443621005658</c:v>
                </c:pt>
                <c:pt idx="107">
                  <c:v>0.45001195314367681</c:v>
                </c:pt>
                <c:pt idx="108">
                  <c:v>0.4662682285441071</c:v>
                </c:pt>
                <c:pt idx="109">
                  <c:v>0.48797513746115229</c:v>
                </c:pt>
                <c:pt idx="110">
                  <c:v>0.50423141286158268</c:v>
                </c:pt>
                <c:pt idx="111">
                  <c:v>0.52048768826201297</c:v>
                </c:pt>
                <c:pt idx="112">
                  <c:v>0.54219459717905816</c:v>
                </c:pt>
                <c:pt idx="113">
                  <c:v>0.5638696310462985</c:v>
                </c:pt>
                <c:pt idx="114">
                  <c:v>0.58557653996334369</c:v>
                </c:pt>
                <c:pt idx="115">
                  <c:v>0.60725157383058403</c:v>
                </c:pt>
                <c:pt idx="116">
                  <c:v>0.6289266076978246</c:v>
                </c:pt>
                <c:pt idx="117">
                  <c:v>0.63979599968124945</c:v>
                </c:pt>
                <c:pt idx="118">
                  <c:v>0.66147103354848991</c:v>
                </c:pt>
                <c:pt idx="119">
                  <c:v>0.68314606741573036</c:v>
                </c:pt>
                <c:pt idx="120">
                  <c:v>0.70485297633277555</c:v>
                </c:pt>
                <c:pt idx="121">
                  <c:v>0.72652801020001601</c:v>
                </c:pt>
                <c:pt idx="122">
                  <c:v>0.74823491911706119</c:v>
                </c:pt>
                <c:pt idx="123">
                  <c:v>0.76990995298430165</c:v>
                </c:pt>
                <c:pt idx="124">
                  <c:v>0.79703562036815678</c:v>
                </c:pt>
                <c:pt idx="125">
                  <c:v>0.81871065423539724</c:v>
                </c:pt>
                <c:pt idx="126">
                  <c:v>0.8403856881026377</c:v>
                </c:pt>
                <c:pt idx="127">
                  <c:v>0.86209259701968288</c:v>
                </c:pt>
                <c:pt idx="128">
                  <c:v>0.88376763088692334</c:v>
                </c:pt>
                <c:pt idx="129">
                  <c:v>0.90547453980396853</c:v>
                </c:pt>
                <c:pt idx="130">
                  <c:v>0.92714957367120898</c:v>
                </c:pt>
                <c:pt idx="131">
                  <c:v>0.94882460753844933</c:v>
                </c:pt>
                <c:pt idx="132">
                  <c:v>0.97053151645549451</c:v>
                </c:pt>
                <c:pt idx="133">
                  <c:v>0.99220655032273497</c:v>
                </c:pt>
                <c:pt idx="134">
                  <c:v>1.0138815841899753</c:v>
                </c:pt>
                <c:pt idx="135">
                  <c:v>1.0355884931070205</c:v>
                </c:pt>
                <c:pt idx="136">
                  <c:v>1.0572635269742607</c:v>
                </c:pt>
                <c:pt idx="137">
                  <c:v>1.0789704358913064</c:v>
                </c:pt>
                <c:pt idx="138">
                  <c:v>1.1006454697585466</c:v>
                </c:pt>
                <c:pt idx="139">
                  <c:v>1.1223205036257871</c:v>
                </c:pt>
                <c:pt idx="140">
                  <c:v>1.144027412542832</c:v>
                </c:pt>
                <c:pt idx="141">
                  <c:v>1.1657024464100725</c:v>
                </c:pt>
                <c:pt idx="142">
                  <c:v>1.1874093553271179</c:v>
                </c:pt>
                <c:pt idx="143">
                  <c:v>1.2090843891943581</c:v>
                </c:pt>
                <c:pt idx="144">
                  <c:v>1.2307594230615986</c:v>
                </c:pt>
                <c:pt idx="145">
                  <c:v>1.2524663319786438</c:v>
                </c:pt>
                <c:pt idx="146">
                  <c:v>1.2741413658458842</c:v>
                </c:pt>
                <c:pt idx="147">
                  <c:v>1.2958482747629294</c:v>
                </c:pt>
                <c:pt idx="148">
                  <c:v>1.3175233086301699</c:v>
                </c:pt>
                <c:pt idx="149">
                  <c:v>1.3391983424974103</c:v>
                </c:pt>
                <c:pt idx="150">
                  <c:v>1.3609052514144555</c:v>
                </c:pt>
                <c:pt idx="151">
                  <c:v>1.382580285281696</c:v>
                </c:pt>
                <c:pt idx="152">
                  <c:v>1.4042871941987409</c:v>
                </c:pt>
                <c:pt idx="153">
                  <c:v>1.4259622280659814</c:v>
                </c:pt>
                <c:pt idx="154">
                  <c:v>1.4476372619332216</c:v>
                </c:pt>
                <c:pt idx="155">
                  <c:v>1.4693441708502673</c:v>
                </c:pt>
                <c:pt idx="156">
                  <c:v>1.4910192047175075</c:v>
                </c:pt>
                <c:pt idx="157">
                  <c:v>1.5127261136345527</c:v>
                </c:pt>
                <c:pt idx="158">
                  <c:v>1.5344011475017929</c:v>
                </c:pt>
                <c:pt idx="159">
                  <c:v>1.5560761813690334</c:v>
                </c:pt>
                <c:pt idx="160">
                  <c:v>1.5777830902860785</c:v>
                </c:pt>
                <c:pt idx="161">
                  <c:v>1.599458124153319</c:v>
                </c:pt>
                <c:pt idx="162">
                  <c:v>1.6211650330703642</c:v>
                </c:pt>
                <c:pt idx="163">
                  <c:v>1.6428400669376046</c:v>
                </c:pt>
                <c:pt idx="164">
                  <c:v>1.6645151008048451</c:v>
                </c:pt>
                <c:pt idx="165">
                  <c:v>1.6862220097218903</c:v>
                </c:pt>
                <c:pt idx="166">
                  <c:v>1.7078970435891307</c:v>
                </c:pt>
                <c:pt idx="167">
                  <c:v>1.7296039525061759</c:v>
                </c:pt>
                <c:pt idx="168">
                  <c:v>1.7512789863734164</c:v>
                </c:pt>
                <c:pt idx="169">
                  <c:v>1.7729540202406568</c:v>
                </c:pt>
                <c:pt idx="170">
                  <c:v>1.7946609291577018</c:v>
                </c:pt>
                <c:pt idx="171">
                  <c:v>1.8163359630249423</c:v>
                </c:pt>
                <c:pt idx="172">
                  <c:v>1.8380109968921827</c:v>
                </c:pt>
                <c:pt idx="173">
                  <c:v>1.8597179058092281</c:v>
                </c:pt>
                <c:pt idx="174">
                  <c:v>1.8813929396764686</c:v>
                </c:pt>
                <c:pt idx="175">
                  <c:v>1.9030998485935136</c:v>
                </c:pt>
                <c:pt idx="176">
                  <c:v>1.9247748824607538</c:v>
                </c:pt>
                <c:pt idx="177">
                  <c:v>1.9464499163279942</c:v>
                </c:pt>
                <c:pt idx="178">
                  <c:v>1.9681568252450394</c:v>
                </c:pt>
                <c:pt idx="179">
                  <c:v>1.9898318591122799</c:v>
                </c:pt>
                <c:pt idx="180">
                  <c:v>2.0115387680293253</c:v>
                </c:pt>
                <c:pt idx="181">
                  <c:v>2.0332138018965655</c:v>
                </c:pt>
                <c:pt idx="182">
                  <c:v>2.0548888357638062</c:v>
                </c:pt>
                <c:pt idx="183">
                  <c:v>2.076595744680851</c:v>
                </c:pt>
                <c:pt idx="184">
                  <c:v>2.0982707785480916</c:v>
                </c:pt>
                <c:pt idx="185">
                  <c:v>2.1199776874651368</c:v>
                </c:pt>
                <c:pt idx="186">
                  <c:v>2.1416527213323766</c:v>
                </c:pt>
                <c:pt idx="187">
                  <c:v>2.1633277551996177</c:v>
                </c:pt>
                <c:pt idx="188">
                  <c:v>2.1850346641166629</c:v>
                </c:pt>
                <c:pt idx="189">
                  <c:v>2.2067096979839032</c:v>
                </c:pt>
                <c:pt idx="190">
                  <c:v>2.2284166069009488</c:v>
                </c:pt>
                <c:pt idx="191">
                  <c:v>2.2500916407681886</c:v>
                </c:pt>
                <c:pt idx="192">
                  <c:v>2.2717666746354293</c:v>
                </c:pt>
                <c:pt idx="193">
                  <c:v>2.293473583552474</c:v>
                </c:pt>
                <c:pt idx="194">
                  <c:v>2.3151486174197151</c:v>
                </c:pt>
                <c:pt idx="195">
                  <c:v>2.3368555263367603</c:v>
                </c:pt>
                <c:pt idx="196">
                  <c:v>2.3585305602040001</c:v>
                </c:pt>
                <c:pt idx="197">
                  <c:v>2.3802055940712412</c:v>
                </c:pt>
                <c:pt idx="198">
                  <c:v>2.401912502988286</c:v>
                </c:pt>
                <c:pt idx="199">
                  <c:v>2.4235875368555266</c:v>
                </c:pt>
                <c:pt idx="200">
                  <c:v>2.4452944457725718</c:v>
                </c:pt>
                <c:pt idx="201">
                  <c:v>2.4669694796398121</c:v>
                </c:pt>
                <c:pt idx="202">
                  <c:v>2.4886445135070527</c:v>
                </c:pt>
                <c:pt idx="203">
                  <c:v>2.5103514224240975</c:v>
                </c:pt>
                <c:pt idx="204">
                  <c:v>2.5320264562913386</c:v>
                </c:pt>
                <c:pt idx="205">
                  <c:v>2.5537333652083838</c:v>
                </c:pt>
                <c:pt idx="206">
                  <c:v>2.5754083990756236</c:v>
                </c:pt>
                <c:pt idx="207">
                  <c:v>2.5970834329428638</c:v>
                </c:pt>
                <c:pt idx="208">
                  <c:v>2.6187903418599094</c:v>
                </c:pt>
                <c:pt idx="209">
                  <c:v>2.6404653757271497</c:v>
                </c:pt>
                <c:pt idx="210">
                  <c:v>2.6621722846441949</c:v>
                </c:pt>
                <c:pt idx="211">
                  <c:v>2.6838473185114351</c:v>
                </c:pt>
                <c:pt idx="212">
                  <c:v>2.7055223523786758</c:v>
                </c:pt>
                <c:pt idx="213">
                  <c:v>2.727229261295721</c:v>
                </c:pt>
                <c:pt idx="214">
                  <c:v>2.7489042951629612</c:v>
                </c:pt>
                <c:pt idx="215">
                  <c:v>2.7705793290302019</c:v>
                </c:pt>
                <c:pt idx="216">
                  <c:v>2.7922862379472471</c:v>
                </c:pt>
                <c:pt idx="217">
                  <c:v>2.8139612718144873</c:v>
                </c:pt>
                <c:pt idx="218">
                  <c:v>2.8356681807315325</c:v>
                </c:pt>
                <c:pt idx="219">
                  <c:v>2.8573432145987732</c:v>
                </c:pt>
                <c:pt idx="220">
                  <c:v>2.8790182484660134</c:v>
                </c:pt>
                <c:pt idx="221">
                  <c:v>2.9007251573830586</c:v>
                </c:pt>
                <c:pt idx="222">
                  <c:v>2.9224001912502993</c:v>
                </c:pt>
                <c:pt idx="223">
                  <c:v>2.9441071001673444</c:v>
                </c:pt>
                <c:pt idx="224">
                  <c:v>2.9657821340345842</c:v>
                </c:pt>
                <c:pt idx="225">
                  <c:v>2.9874571679018254</c:v>
                </c:pt>
                <c:pt idx="226">
                  <c:v>3.0091640768188705</c:v>
                </c:pt>
                <c:pt idx="227">
                  <c:v>3.0308391106861103</c:v>
                </c:pt>
                <c:pt idx="228">
                  <c:v>3.052546019603156</c:v>
                </c:pt>
                <c:pt idx="229">
                  <c:v>3.0742210534703958</c:v>
                </c:pt>
                <c:pt idx="230">
                  <c:v>3.0958960873376369</c:v>
                </c:pt>
                <c:pt idx="231">
                  <c:v>3.1176029962546821</c:v>
                </c:pt>
                <c:pt idx="232">
                  <c:v>3.1392780301219219</c:v>
                </c:pt>
                <c:pt idx="233">
                  <c:v>3.1609849390389679</c:v>
                </c:pt>
                <c:pt idx="234">
                  <c:v>3.1826599729062077</c:v>
                </c:pt>
                <c:pt idx="235">
                  <c:v>3.2043987568730579</c:v>
                </c:pt>
                <c:pt idx="236">
                  <c:v>3.2260737907402981</c:v>
                </c:pt>
                <c:pt idx="237">
                  <c:v>3.2477488246075383</c:v>
                </c:pt>
                <c:pt idx="238">
                  <c:v>3.269423858474779</c:v>
                </c:pt>
                <c:pt idx="239">
                  <c:v>3.2910988923420192</c:v>
                </c:pt>
                <c:pt idx="240">
                  <c:v>3.3127739262092604</c:v>
                </c:pt>
                <c:pt idx="241">
                  <c:v>3.3344489600765002</c:v>
                </c:pt>
                <c:pt idx="242">
                  <c:v>3.3561239939437413</c:v>
                </c:pt>
                <c:pt idx="243">
                  <c:v>3.3777990278109811</c:v>
                </c:pt>
                <c:pt idx="244">
                  <c:v>3.3994740616782217</c:v>
                </c:pt>
                <c:pt idx="245">
                  <c:v>3.421149095545462</c:v>
                </c:pt>
                <c:pt idx="246">
                  <c:v>3.4428241294127027</c:v>
                </c:pt>
                <c:pt idx="247">
                  <c:v>3.4644991632799429</c:v>
                </c:pt>
                <c:pt idx="248">
                  <c:v>3.4861741971471836</c:v>
                </c:pt>
                <c:pt idx="249">
                  <c:v>3.5078492310144234</c:v>
                </c:pt>
                <c:pt idx="250">
                  <c:v>3.5295242648816645</c:v>
                </c:pt>
                <c:pt idx="251">
                  <c:v>3.5511992987489043</c:v>
                </c:pt>
                <c:pt idx="252">
                  <c:v>3.5731930831141923</c:v>
                </c:pt>
                <c:pt idx="253">
                  <c:v>3.5948681169814334</c:v>
                </c:pt>
                <c:pt idx="254">
                  <c:v>3.6165431508486732</c:v>
                </c:pt>
                <c:pt idx="255">
                  <c:v>3.6436369431827242</c:v>
                </c:pt>
                <c:pt idx="256">
                  <c:v>3.665311977049964</c:v>
                </c:pt>
                <c:pt idx="257">
                  <c:v>3.6869870109172047</c:v>
                </c:pt>
                <c:pt idx="258">
                  <c:v>3.7086620447844449</c:v>
                </c:pt>
                <c:pt idx="259">
                  <c:v>3.7303370786516856</c:v>
                </c:pt>
                <c:pt idx="260">
                  <c:v>3.7574308709857362</c:v>
                </c:pt>
                <c:pt idx="261">
                  <c:v>3.7791059048529765</c:v>
                </c:pt>
                <c:pt idx="262">
                  <c:v>3.8007809387202172</c:v>
                </c:pt>
                <c:pt idx="263">
                  <c:v>3.8224559725874574</c:v>
                </c:pt>
                <c:pt idx="264">
                  <c:v>3.8441310064546976</c:v>
                </c:pt>
                <c:pt idx="265">
                  <c:v>3.8658060403219383</c:v>
                </c:pt>
                <c:pt idx="266">
                  <c:v>3.8874810741891785</c:v>
                </c:pt>
                <c:pt idx="267">
                  <c:v>3.9091561080564192</c:v>
                </c:pt>
                <c:pt idx="268">
                  <c:v>3.9362499003904694</c:v>
                </c:pt>
                <c:pt idx="269">
                  <c:v>3.9579249342577101</c:v>
                </c:pt>
                <c:pt idx="270">
                  <c:v>3.9850187265917603</c:v>
                </c:pt>
                <c:pt idx="271">
                  <c:v>4.0121125189258109</c:v>
                </c:pt>
                <c:pt idx="272">
                  <c:v>4.0392063112598615</c:v>
                </c:pt>
                <c:pt idx="273">
                  <c:v>4.0663001035939121</c:v>
                </c:pt>
                <c:pt idx="274">
                  <c:v>4.0879751374611528</c:v>
                </c:pt>
                <c:pt idx="275">
                  <c:v>4.1096501713283935</c:v>
                </c:pt>
                <c:pt idx="276">
                  <c:v>4.131643955693681</c:v>
                </c:pt>
                <c:pt idx="277">
                  <c:v>4.1587377480277317</c:v>
                </c:pt>
                <c:pt idx="278">
                  <c:v>4.1804127818949723</c:v>
                </c:pt>
                <c:pt idx="279">
                  <c:v>4.2183440911626429</c:v>
                </c:pt>
                <c:pt idx="280">
                  <c:v>4.2508566419635034</c:v>
                </c:pt>
                <c:pt idx="281">
                  <c:v>4.283369192764364</c:v>
                </c:pt>
                <c:pt idx="282">
                  <c:v>4.3158817435652255</c:v>
                </c:pt>
                <c:pt idx="283">
                  <c:v>4.3538130528328951</c:v>
                </c:pt>
                <c:pt idx="284">
                  <c:v>4.3863256036337566</c:v>
                </c:pt>
                <c:pt idx="285">
                  <c:v>4.4188381544346162</c:v>
                </c:pt>
                <c:pt idx="286">
                  <c:v>4.4567694637022877</c:v>
                </c:pt>
                <c:pt idx="287">
                  <c:v>4.4892820145031482</c:v>
                </c:pt>
                <c:pt idx="288">
                  <c:v>4.5217945653040088</c:v>
                </c:pt>
                <c:pt idx="289">
                  <c:v>4.5543071161048694</c:v>
                </c:pt>
                <c:pt idx="290">
                  <c:v>4.5922384253725399</c:v>
                </c:pt>
                <c:pt idx="291">
                  <c:v>4.6301697346402095</c:v>
                </c:pt>
                <c:pt idx="292">
                  <c:v>4.6684197944059296</c:v>
                </c:pt>
                <c:pt idx="293">
                  <c:v>4.7009323452067893</c:v>
                </c:pt>
                <c:pt idx="294">
                  <c:v>4.7334448960076507</c:v>
                </c:pt>
                <c:pt idx="295">
                  <c:v>4.7659574468085113</c:v>
                </c:pt>
                <c:pt idx="296">
                  <c:v>4.798469997609371</c:v>
                </c:pt>
                <c:pt idx="297">
                  <c:v>4.8364013068770424</c:v>
                </c:pt>
                <c:pt idx="298">
                  <c:v>4.868913857677903</c:v>
                </c:pt>
                <c:pt idx="299">
                  <c:v>4.9014264084787635</c:v>
                </c:pt>
                <c:pt idx="300">
                  <c:v>4.939357717746435</c:v>
                </c:pt>
                <c:pt idx="301">
                  <c:v>4.9718702685472946</c:v>
                </c:pt>
                <c:pt idx="302">
                  <c:v>5.0043828193481552</c:v>
                </c:pt>
                <c:pt idx="303">
                  <c:v>5.0368953701490167</c:v>
                </c:pt>
                <c:pt idx="304">
                  <c:v>5.0694079209498764</c:v>
                </c:pt>
                <c:pt idx="305">
                  <c:v>5.1019204717507369</c:v>
                </c:pt>
                <c:pt idx="306">
                  <c:v>5.1344330225515984</c:v>
                </c:pt>
                <c:pt idx="307">
                  <c:v>5.166945573352459</c:v>
                </c:pt>
                <c:pt idx="308">
                  <c:v>5.1994581241533195</c:v>
                </c:pt>
                <c:pt idx="309">
                  <c:v>5.2377081839190378</c:v>
                </c:pt>
                <c:pt idx="310">
                  <c:v>5.2702207347198984</c:v>
                </c:pt>
                <c:pt idx="311">
                  <c:v>5.3081520439875698</c:v>
                </c:pt>
                <c:pt idx="312">
                  <c:v>5.3406645947884304</c:v>
                </c:pt>
                <c:pt idx="313">
                  <c:v>5.3785959040561009</c:v>
                </c:pt>
                <c:pt idx="314">
                  <c:v>5.4111084548569615</c:v>
                </c:pt>
                <c:pt idx="315">
                  <c:v>5.443621005657822</c:v>
                </c:pt>
                <c:pt idx="316">
                  <c:v>5.4815523149254926</c:v>
                </c:pt>
                <c:pt idx="317">
                  <c:v>5.514064865726354</c:v>
                </c:pt>
                <c:pt idx="318">
                  <c:v>5.5465774165272137</c:v>
                </c:pt>
                <c:pt idx="319">
                  <c:v>5.5845087257948842</c:v>
                </c:pt>
                <c:pt idx="320">
                  <c:v>5.6332775519961755</c:v>
                </c:pt>
                <c:pt idx="321">
                  <c:v>5.6820463781974659</c:v>
                </c:pt>
                <c:pt idx="322">
                  <c:v>5.7253964459319473</c:v>
                </c:pt>
                <c:pt idx="323">
                  <c:v>5.7690652641644755</c:v>
                </c:pt>
                <c:pt idx="324">
                  <c:v>5.8178340903657668</c:v>
                </c:pt>
                <c:pt idx="325">
                  <c:v>5.8666029165670572</c:v>
                </c:pt>
                <c:pt idx="326">
                  <c:v>5.9153717427683494</c:v>
                </c:pt>
                <c:pt idx="327">
                  <c:v>5.9641405689696398</c:v>
                </c:pt>
                <c:pt idx="328">
                  <c:v>6.0074906367041194</c:v>
                </c:pt>
                <c:pt idx="329">
                  <c:v>6.0508407044386017</c:v>
                </c:pt>
                <c:pt idx="330">
                  <c:v>6.0996095306398921</c:v>
                </c:pt>
                <c:pt idx="331">
                  <c:v>6.1483783568411825</c:v>
                </c:pt>
                <c:pt idx="332">
                  <c:v>6.1917284245756639</c:v>
                </c:pt>
                <c:pt idx="333">
                  <c:v>6.2404972507769552</c:v>
                </c:pt>
                <c:pt idx="334">
                  <c:v>6.2838473185114347</c:v>
                </c:pt>
                <c:pt idx="335">
                  <c:v>6.3329348952107747</c:v>
                </c:pt>
                <c:pt idx="336">
                  <c:v>6.3762849629452543</c:v>
                </c:pt>
                <c:pt idx="337">
                  <c:v>6.4250537891465456</c:v>
                </c:pt>
                <c:pt idx="338">
                  <c:v>6.4684038568810269</c:v>
                </c:pt>
                <c:pt idx="339">
                  <c:v>6.5171726830823182</c:v>
                </c:pt>
                <c:pt idx="340">
                  <c:v>6.5605227508167987</c:v>
                </c:pt>
                <c:pt idx="341">
                  <c:v>6.6038728185512792</c:v>
                </c:pt>
                <c:pt idx="342">
                  <c:v>6.6526416447525705</c:v>
                </c:pt>
                <c:pt idx="343">
                  <c:v>6.6959917124870509</c:v>
                </c:pt>
                <c:pt idx="344">
                  <c:v>6.7393417802215323</c:v>
                </c:pt>
                <c:pt idx="345">
                  <c:v>6.7826918479560128</c:v>
                </c:pt>
                <c:pt idx="346">
                  <c:v>6.8260419156904941</c:v>
                </c:pt>
                <c:pt idx="347">
                  <c:v>6.8697107339230223</c:v>
                </c:pt>
                <c:pt idx="348">
                  <c:v>6.9130608016575028</c:v>
                </c:pt>
                <c:pt idx="349">
                  <c:v>6.9618296278587932</c:v>
                </c:pt>
                <c:pt idx="350">
                  <c:v>7.0160172125268954</c:v>
                </c:pt>
                <c:pt idx="351">
                  <c:v>7.0702047971949957</c:v>
                </c:pt>
                <c:pt idx="352">
                  <c:v>7.1298111403299078</c:v>
                </c:pt>
                <c:pt idx="353">
                  <c:v>7.1839987249980082</c:v>
                </c:pt>
                <c:pt idx="354">
                  <c:v>7.2381863096661094</c:v>
                </c:pt>
                <c:pt idx="355">
                  <c:v>7.2977926528010197</c:v>
                </c:pt>
                <c:pt idx="356">
                  <c:v>7.3519802374691219</c:v>
                </c:pt>
                <c:pt idx="357">
                  <c:v>7.4119053311020808</c:v>
                </c:pt>
                <c:pt idx="358">
                  <c:v>7.4660929157701812</c:v>
                </c:pt>
                <c:pt idx="359">
                  <c:v>7.5256992589050924</c:v>
                </c:pt>
                <c:pt idx="360">
                  <c:v>7.5853056020400036</c:v>
                </c:pt>
                <c:pt idx="361">
                  <c:v>7.6449119451749148</c:v>
                </c:pt>
                <c:pt idx="362">
                  <c:v>7.6990995298430152</c:v>
                </c:pt>
                <c:pt idx="363">
                  <c:v>7.7587058729779272</c:v>
                </c:pt>
                <c:pt idx="364">
                  <c:v>7.8183122161128384</c:v>
                </c:pt>
                <c:pt idx="365">
                  <c:v>7.8779185592477496</c:v>
                </c:pt>
                <c:pt idx="366">
                  <c:v>7.93210614391585</c:v>
                </c:pt>
                <c:pt idx="367">
                  <c:v>7.992031237548809</c:v>
                </c:pt>
                <c:pt idx="368">
                  <c:v>8.051637580683721</c:v>
                </c:pt>
                <c:pt idx="369">
                  <c:v>8.1166626822854404</c:v>
                </c:pt>
                <c:pt idx="370">
                  <c:v>8.1762690254203534</c:v>
                </c:pt>
                <c:pt idx="371">
                  <c:v>8.2358753685552628</c:v>
                </c:pt>
                <c:pt idx="372">
                  <c:v>8.3009004701569857</c:v>
                </c:pt>
                <c:pt idx="373">
                  <c:v>8.3605068132918969</c:v>
                </c:pt>
                <c:pt idx="374">
                  <c:v>8.436369431827238</c:v>
                </c:pt>
                <c:pt idx="375">
                  <c:v>8.5071320423938168</c:v>
                </c:pt>
                <c:pt idx="376">
                  <c:v>8.5829946609291579</c:v>
                </c:pt>
                <c:pt idx="377">
                  <c:v>8.6534385209976907</c:v>
                </c:pt>
                <c:pt idx="378">
                  <c:v>8.7184636225994101</c:v>
                </c:pt>
                <c:pt idx="379">
                  <c:v>8.7943262411347511</c:v>
                </c:pt>
                <c:pt idx="380">
                  <c:v>8.870188859670094</c:v>
                </c:pt>
                <c:pt idx="381">
                  <c:v>8.9460514782054368</c:v>
                </c:pt>
                <c:pt idx="382">
                  <c:v>9.0110765798071562</c:v>
                </c:pt>
                <c:pt idx="383">
                  <c:v>9.0872579488405449</c:v>
                </c:pt>
                <c:pt idx="384">
                  <c:v>9.1631205673758878</c:v>
                </c:pt>
                <c:pt idx="385">
                  <c:v>9.2389831859112288</c:v>
                </c:pt>
                <c:pt idx="386">
                  <c:v>9.3040082875129482</c:v>
                </c:pt>
                <c:pt idx="387">
                  <c:v>9.3690333891146711</c:v>
                </c:pt>
                <c:pt idx="388">
                  <c:v>9.434058490716394</c:v>
                </c:pt>
                <c:pt idx="389">
                  <c:v>9.5099211092517333</c:v>
                </c:pt>
                <c:pt idx="390">
                  <c:v>9.5749462108534544</c:v>
                </c:pt>
                <c:pt idx="391">
                  <c:v>9.6511275798868432</c:v>
                </c:pt>
                <c:pt idx="392">
                  <c:v>9.7161526814885644</c:v>
                </c:pt>
                <c:pt idx="393">
                  <c:v>9.7974340584907171</c:v>
                </c:pt>
                <c:pt idx="394">
                  <c:v>9.8787154354928699</c:v>
                </c:pt>
                <c:pt idx="395">
                  <c:v>9.9599968124950209</c:v>
                </c:pt>
                <c:pt idx="396">
                  <c:v>10.035859431030364</c:v>
                </c:pt>
                <c:pt idx="397">
                  <c:v>10.117140808032513</c:v>
                </c:pt>
                <c:pt idx="398">
                  <c:v>10.198740935532712</c:v>
                </c:pt>
                <c:pt idx="399">
                  <c:v>10.280022312534863</c:v>
                </c:pt>
                <c:pt idx="400">
                  <c:v>10.366722448003827</c:v>
                </c:pt>
                <c:pt idx="401">
                  <c:v>10.448003825005976</c:v>
                </c:pt>
                <c:pt idx="402">
                  <c:v>10.534703960474937</c:v>
                </c:pt>
                <c:pt idx="403">
                  <c:v>10.615985337477092</c:v>
                </c:pt>
                <c:pt idx="404">
                  <c:v>10.697266714479243</c:v>
                </c:pt>
                <c:pt idx="405">
                  <c:v>10.78428560044625</c:v>
                </c:pt>
                <c:pt idx="406">
                  <c:v>10.870985735915214</c:v>
                </c:pt>
                <c:pt idx="407">
                  <c:v>10.957685871384173</c:v>
                </c:pt>
                <c:pt idx="408">
                  <c:v>11.044386006853138</c:v>
                </c:pt>
                <c:pt idx="409">
                  <c:v>11.125667383855289</c:v>
                </c:pt>
                <c:pt idx="410">
                  <c:v>11.212367519324248</c:v>
                </c:pt>
                <c:pt idx="411">
                  <c:v>11.299386405291258</c:v>
                </c:pt>
                <c:pt idx="412">
                  <c:v>11.386086540760219</c:v>
                </c:pt>
                <c:pt idx="413">
                  <c:v>11.483624193162802</c:v>
                </c:pt>
                <c:pt idx="414">
                  <c:v>11.570324328631765</c:v>
                </c:pt>
                <c:pt idx="415">
                  <c:v>11.657024464100726</c:v>
                </c:pt>
                <c:pt idx="416">
                  <c:v>11.743724599569688</c:v>
                </c:pt>
                <c:pt idx="417">
                  <c:v>11.836162244003507</c:v>
                </c:pt>
                <c:pt idx="418">
                  <c:v>11.922862379472468</c:v>
                </c:pt>
                <c:pt idx="419">
                  <c:v>12.014981273408239</c:v>
                </c:pt>
                <c:pt idx="420">
                  <c:v>12.101681408877203</c:v>
                </c:pt>
                <c:pt idx="421">
                  <c:v>12.193800302812974</c:v>
                </c:pt>
                <c:pt idx="422">
                  <c:v>12.280500438281935</c:v>
                </c:pt>
                <c:pt idx="423">
                  <c:v>12.367519324248946</c:v>
                </c:pt>
                <c:pt idx="424">
                  <c:v>12.459638218184717</c:v>
                </c:pt>
                <c:pt idx="425">
                  <c:v>12.546338353653679</c:v>
                </c:pt>
                <c:pt idx="426">
                  <c:v>12.65471352298988</c:v>
                </c:pt>
                <c:pt idx="427">
                  <c:v>12.757669933859273</c:v>
                </c:pt>
                <c:pt idx="428">
                  <c:v>12.866045103195473</c:v>
                </c:pt>
                <c:pt idx="429">
                  <c:v>12.974739023029723</c:v>
                </c:pt>
                <c:pt idx="430">
                  <c:v>13.077695433899116</c:v>
                </c:pt>
                <c:pt idx="431">
                  <c:v>13.186070603235319</c:v>
                </c:pt>
                <c:pt idx="432">
                  <c:v>13.294445772571519</c:v>
                </c:pt>
                <c:pt idx="433">
                  <c:v>13.402820941907722</c:v>
                </c:pt>
                <c:pt idx="434">
                  <c:v>13.511514861741972</c:v>
                </c:pt>
                <c:pt idx="435">
                  <c:v>13.619890031078175</c:v>
                </c:pt>
                <c:pt idx="436">
                  <c:v>13.728265200414377</c:v>
                </c:pt>
                <c:pt idx="437">
                  <c:v>13.825802852816958</c:v>
                </c:pt>
                <c:pt idx="438">
                  <c:v>13.92334050521954</c:v>
                </c:pt>
                <c:pt idx="439">
                  <c:v>14.032034425053791</c:v>
                </c:pt>
                <c:pt idx="440">
                  <c:v>14.145828352856803</c:v>
                </c:pt>
                <c:pt idx="441">
                  <c:v>14.254203522193004</c:v>
                </c:pt>
                <c:pt idx="442">
                  <c:v>14.367997449996016</c:v>
                </c:pt>
                <c:pt idx="443">
                  <c:v>14.481791377799029</c:v>
                </c:pt>
                <c:pt idx="444">
                  <c:v>14.595904056100089</c:v>
                </c:pt>
                <c:pt idx="445">
                  <c:v>14.709697983903101</c:v>
                </c:pt>
                <c:pt idx="446">
                  <c:v>14.823491911706112</c:v>
                </c:pt>
                <c:pt idx="447">
                  <c:v>14.937285839509126</c:v>
                </c:pt>
                <c:pt idx="448">
                  <c:v>15.056498525778947</c:v>
                </c:pt>
                <c:pt idx="449">
                  <c:v>15.170611204080007</c:v>
                </c:pt>
                <c:pt idx="450">
                  <c:v>15.28982389034983</c:v>
                </c:pt>
                <c:pt idx="451">
                  <c:v>15.409036576619654</c:v>
                </c:pt>
                <c:pt idx="452">
                  <c:v>15.528249262889474</c:v>
                </c:pt>
                <c:pt idx="453">
                  <c:v>15.647780699657345</c:v>
                </c:pt>
                <c:pt idx="454">
                  <c:v>15.766993385927165</c:v>
                </c:pt>
                <c:pt idx="455">
                  <c:v>15.891624830663797</c:v>
                </c:pt>
                <c:pt idx="456">
                  <c:v>16.010837516933623</c:v>
                </c:pt>
                <c:pt idx="457">
                  <c:v>16.135468961670252</c:v>
                </c:pt>
                <c:pt idx="458">
                  <c:v>16.265837915371744</c:v>
                </c:pt>
                <c:pt idx="459">
                  <c:v>16.390469360108376</c:v>
                </c:pt>
                <c:pt idx="460">
                  <c:v>16.515100804845009</c:v>
                </c:pt>
                <c:pt idx="461">
                  <c:v>16.645151008048451</c:v>
                </c:pt>
                <c:pt idx="462">
                  <c:v>16.775519961749939</c:v>
                </c:pt>
                <c:pt idx="463">
                  <c:v>16.921826440353815</c:v>
                </c:pt>
                <c:pt idx="464">
                  <c:v>17.068132918957687</c:v>
                </c:pt>
                <c:pt idx="465">
                  <c:v>17.214439397561559</c:v>
                </c:pt>
                <c:pt idx="466">
                  <c:v>17.361064626663481</c:v>
                </c:pt>
                <c:pt idx="467">
                  <c:v>17.507371105267353</c:v>
                </c:pt>
                <c:pt idx="468">
                  <c:v>17.637421308470795</c:v>
                </c:pt>
                <c:pt idx="469">
                  <c:v>17.767471511674238</c:v>
                </c:pt>
                <c:pt idx="470">
                  <c:v>17.914096740776159</c:v>
                </c:pt>
                <c:pt idx="471">
                  <c:v>18.044146943979602</c:v>
                </c:pt>
                <c:pt idx="472">
                  <c:v>18.190453422583474</c:v>
                </c:pt>
                <c:pt idx="473">
                  <c:v>18.336759901187346</c:v>
                </c:pt>
                <c:pt idx="474">
                  <c:v>18.483385130289268</c:v>
                </c:pt>
                <c:pt idx="475">
                  <c:v>18.63511036735995</c:v>
                </c:pt>
                <c:pt idx="476">
                  <c:v>18.781416845963825</c:v>
                </c:pt>
                <c:pt idx="477">
                  <c:v>18.933460833532553</c:v>
                </c:pt>
                <c:pt idx="478">
                  <c:v>19.085186070603235</c:v>
                </c:pt>
                <c:pt idx="479">
                  <c:v>19.236911307673921</c:v>
                </c:pt>
                <c:pt idx="480">
                  <c:v>19.388636544744603</c:v>
                </c:pt>
                <c:pt idx="481">
                  <c:v>19.546099290780145</c:v>
                </c:pt>
                <c:pt idx="482">
                  <c:v>19.714080803251257</c:v>
                </c:pt>
                <c:pt idx="483">
                  <c:v>19.865806040321939</c:v>
                </c:pt>
                <c:pt idx="484">
                  <c:v>20.022950035859431</c:v>
                </c:pt>
                <c:pt idx="485">
                  <c:v>20.180412781894976</c:v>
                </c:pt>
                <c:pt idx="486">
                  <c:v>20.332138018965658</c:v>
                </c:pt>
                <c:pt idx="487">
                  <c:v>20.489282014503146</c:v>
                </c:pt>
                <c:pt idx="488">
                  <c:v>20.646744760538692</c:v>
                </c:pt>
                <c:pt idx="489">
                  <c:v>20.798469997609374</c:v>
                </c:pt>
                <c:pt idx="490">
                  <c:v>20.955613993146862</c:v>
                </c:pt>
                <c:pt idx="491">
                  <c:v>21.134751773049643</c:v>
                </c:pt>
                <c:pt idx="492">
                  <c:v>21.313570802454379</c:v>
                </c:pt>
                <c:pt idx="493">
                  <c:v>21.492389831859111</c:v>
                </c:pt>
                <c:pt idx="494">
                  <c:v>21.66579010279704</c:v>
                </c:pt>
                <c:pt idx="495">
                  <c:v>21.828671607299388</c:v>
                </c:pt>
                <c:pt idx="496">
                  <c:v>22.007490636704119</c:v>
                </c:pt>
                <c:pt idx="497">
                  <c:v>22.170053390708425</c:v>
                </c:pt>
                <c:pt idx="498">
                  <c:v>22.338353653677583</c:v>
                </c:pt>
                <c:pt idx="499">
                  <c:v>22.528010200015938</c:v>
                </c:pt>
                <c:pt idx="500">
                  <c:v>22.71224798788748</c:v>
                </c:pt>
                <c:pt idx="501">
                  <c:v>22.902223284723885</c:v>
                </c:pt>
                <c:pt idx="502">
                  <c:v>23.09187983106224</c:v>
                </c:pt>
                <c:pt idx="503">
                  <c:v>23.265280102000162</c:v>
                </c:pt>
                <c:pt idx="504">
                  <c:v>23.455255398836563</c:v>
                </c:pt>
                <c:pt idx="505">
                  <c:v>23.628655669774485</c:v>
                </c:pt>
                <c:pt idx="506">
                  <c:v>23.823730974579647</c:v>
                </c:pt>
                <c:pt idx="507">
                  <c:v>24.019125029882858</c:v>
                </c:pt>
                <c:pt idx="508">
                  <c:v>24.214200334688023</c:v>
                </c:pt>
                <c:pt idx="509">
                  <c:v>24.409275639493185</c:v>
                </c:pt>
                <c:pt idx="510">
                  <c:v>24.599250936329589</c:v>
                </c:pt>
                <c:pt idx="511">
                  <c:v>24.794326241134755</c:v>
                </c:pt>
                <c:pt idx="512">
                  <c:v>24.989720296437962</c:v>
                </c:pt>
                <c:pt idx="513">
                  <c:v>25.184795601243128</c:v>
                </c:pt>
                <c:pt idx="514">
                  <c:v>25.385289664515099</c:v>
                </c:pt>
                <c:pt idx="515">
                  <c:v>25.586102478285127</c:v>
                </c:pt>
                <c:pt idx="516">
                  <c:v>25.781177783090289</c:v>
                </c:pt>
                <c:pt idx="517">
                  <c:v>25.981671846362264</c:v>
                </c:pt>
                <c:pt idx="518">
                  <c:v>26.177065901665472</c:v>
                </c:pt>
                <c:pt idx="519">
                  <c:v>26.372141206470637</c:v>
                </c:pt>
                <c:pt idx="520">
                  <c:v>26.588891545143039</c:v>
                </c:pt>
                <c:pt idx="521">
                  <c:v>26.811379392780303</c:v>
                </c:pt>
                <c:pt idx="522">
                  <c:v>27.033548489919518</c:v>
                </c:pt>
                <c:pt idx="523">
                  <c:v>27.256036337556779</c:v>
                </c:pt>
                <c:pt idx="524">
                  <c:v>27.478205434695994</c:v>
                </c:pt>
                <c:pt idx="525">
                  <c:v>27.684118256434775</c:v>
                </c:pt>
                <c:pt idx="526">
                  <c:v>27.906606104072036</c:v>
                </c:pt>
                <c:pt idx="527">
                  <c:v>28.128775201211255</c:v>
                </c:pt>
                <c:pt idx="528">
                  <c:v>28.351263048848516</c:v>
                </c:pt>
                <c:pt idx="529">
                  <c:v>28.573432145987727</c:v>
                </c:pt>
                <c:pt idx="530">
                  <c:v>28.795601243126942</c:v>
                </c:pt>
                <c:pt idx="531">
                  <c:v>29.018089090764207</c:v>
                </c:pt>
                <c:pt idx="532">
                  <c:v>29.245676946370228</c:v>
                </c:pt>
                <c:pt idx="533">
                  <c:v>29.495258586341546</c:v>
                </c:pt>
                <c:pt idx="534">
                  <c:v>29.739102717347997</c:v>
                </c:pt>
                <c:pt idx="535">
                  <c:v>29.967009323452071</c:v>
                </c:pt>
                <c:pt idx="536">
                  <c:v>30.194597179058093</c:v>
                </c:pt>
                <c:pt idx="537">
                  <c:v>30.422185034664118</c:v>
                </c:pt>
                <c:pt idx="538">
                  <c:v>30.650091640768192</c:v>
                </c:pt>
                <c:pt idx="539">
                  <c:v>30.904773288708263</c:v>
                </c:pt>
                <c:pt idx="540">
                  <c:v>31.154354928679577</c:v>
                </c:pt>
                <c:pt idx="541">
                  <c:v>31.409036576619652</c:v>
                </c:pt>
                <c:pt idx="542">
                  <c:v>31.669455733524583</c:v>
                </c:pt>
                <c:pt idx="543">
                  <c:v>31.92286237947247</c:v>
                </c:pt>
                <c:pt idx="544">
                  <c:v>32.184237787871545</c:v>
                </c:pt>
                <c:pt idx="545">
                  <c:v>32.439238186309666</c:v>
                </c:pt>
                <c:pt idx="546">
                  <c:v>32.694238584747794</c:v>
                </c:pt>
                <c:pt idx="547">
                  <c:v>32.955613993146869</c:v>
                </c:pt>
                <c:pt idx="548">
                  <c:v>33.21061439158499</c:v>
                </c:pt>
                <c:pt idx="549">
                  <c:v>33.468802295003591</c:v>
                </c:pt>
                <c:pt idx="550">
                  <c:v>33.746115228305051</c:v>
                </c:pt>
                <c:pt idx="551">
                  <c:v>34.023428161606503</c:v>
                </c:pt>
                <c:pt idx="552">
                  <c:v>34.297553589927489</c:v>
                </c:pt>
                <c:pt idx="553">
                  <c:v>34.571679018248467</c:v>
                </c:pt>
                <c:pt idx="554">
                  <c:v>34.842616941588965</c:v>
                </c:pt>
                <c:pt idx="555">
                  <c:v>35.116742369909957</c:v>
                </c:pt>
                <c:pt idx="556">
                  <c:v>35.387680293250462</c:v>
                </c:pt>
                <c:pt idx="557">
                  <c:v>35.658618216590966</c:v>
                </c:pt>
                <c:pt idx="558">
                  <c:v>35.929556139931471</c:v>
                </c:pt>
                <c:pt idx="559">
                  <c:v>36.206869073232937</c:v>
                </c:pt>
                <c:pt idx="560">
                  <c:v>36.509682046378202</c:v>
                </c:pt>
                <c:pt idx="561">
                  <c:v>36.809307514542986</c:v>
                </c:pt>
                <c:pt idx="562">
                  <c:v>37.108932982707792</c:v>
                </c:pt>
                <c:pt idx="563">
                  <c:v>37.411745955853057</c:v>
                </c:pt>
                <c:pt idx="564">
                  <c:v>37.708183919037381</c:v>
                </c:pt>
                <c:pt idx="565">
                  <c:v>38.01418439716312</c:v>
                </c:pt>
                <c:pt idx="566">
                  <c:v>38.316997370308393</c:v>
                </c:pt>
                <c:pt idx="567">
                  <c:v>38.61343533349271</c:v>
                </c:pt>
                <c:pt idx="568">
                  <c:v>38.919435811618456</c:v>
                </c:pt>
                <c:pt idx="569">
                  <c:v>39.228623794724683</c:v>
                </c:pt>
                <c:pt idx="570">
                  <c:v>39.553749302733287</c:v>
                </c:pt>
                <c:pt idx="571">
                  <c:v>39.866124790819988</c:v>
                </c:pt>
                <c:pt idx="572">
                  <c:v>40.181687783887163</c:v>
                </c:pt>
                <c:pt idx="573">
                  <c:v>40.497250776954338</c:v>
                </c:pt>
                <c:pt idx="574">
                  <c:v>40.80962626504104</c:v>
                </c:pt>
                <c:pt idx="575">
                  <c:v>41.125189258108222</c:v>
                </c:pt>
                <c:pt idx="576">
                  <c:v>41.44075225117539</c:v>
                </c:pt>
                <c:pt idx="577">
                  <c:v>41.769065264164475</c:v>
                </c:pt>
                <c:pt idx="578">
                  <c:v>42.100565782134034</c:v>
                </c:pt>
                <c:pt idx="579">
                  <c:v>42.438441310064555</c:v>
                </c:pt>
                <c:pt idx="580">
                  <c:v>42.773129333014587</c:v>
                </c:pt>
                <c:pt idx="581">
                  <c:v>43.111004860945101</c:v>
                </c:pt>
                <c:pt idx="582">
                  <c:v>43.461630408797518</c:v>
                </c:pt>
                <c:pt idx="583">
                  <c:v>43.818630966610883</c:v>
                </c:pt>
                <c:pt idx="584">
                  <c:v>44.156506494541397</c:v>
                </c:pt>
                <c:pt idx="585">
                  <c:v>44.503944537413346</c:v>
                </c:pt>
                <c:pt idx="586">
                  <c:v>44.854570085265763</c:v>
                </c:pt>
                <c:pt idx="587">
                  <c:v>45.208383138098654</c:v>
                </c:pt>
                <c:pt idx="588">
                  <c:v>45.559008685951078</c:v>
                </c:pt>
                <c:pt idx="589">
                  <c:v>45.912821738783968</c:v>
                </c:pt>
                <c:pt idx="590">
                  <c:v>46.26982229659734</c:v>
                </c:pt>
                <c:pt idx="591">
                  <c:v>46.64594788429357</c:v>
                </c:pt>
                <c:pt idx="592">
                  <c:v>47.002948442106941</c:v>
                </c:pt>
                <c:pt idx="593">
                  <c:v>47.359948999920313</c:v>
                </c:pt>
                <c:pt idx="594">
                  <c:v>47.739262092597023</c:v>
                </c:pt>
                <c:pt idx="595">
                  <c:v>48.118575185273727</c:v>
                </c:pt>
                <c:pt idx="596">
                  <c:v>48.488325763009009</c:v>
                </c:pt>
                <c:pt idx="597">
                  <c:v>48.874013865646667</c:v>
                </c:pt>
                <c:pt idx="598">
                  <c:v>49.262889473264806</c:v>
                </c:pt>
                <c:pt idx="599">
                  <c:v>49.658140090843901</c:v>
                </c:pt>
                <c:pt idx="600">
                  <c:v>50.043828193481559</c:v>
                </c:pt>
                <c:pt idx="601">
                  <c:v>50.435891306080173</c:v>
                </c:pt>
                <c:pt idx="602">
                  <c:v>50.840704438600689</c:v>
                </c:pt>
                <c:pt idx="603">
                  <c:v>51.242330066140724</c:v>
                </c:pt>
                <c:pt idx="604">
                  <c:v>51.64395569368078</c:v>
                </c:pt>
                <c:pt idx="605">
                  <c:v>52.067893856084154</c:v>
                </c:pt>
                <c:pt idx="606">
                  <c:v>52.488644513507055</c:v>
                </c:pt>
                <c:pt idx="607">
                  <c:v>52.890270141047097</c:v>
                </c:pt>
                <c:pt idx="608">
                  <c:v>53.30783329348953</c:v>
                </c:pt>
                <c:pt idx="609">
                  <c:v>53.725396445931949</c:v>
                </c:pt>
                <c:pt idx="610">
                  <c:v>54.142959598374375</c:v>
                </c:pt>
                <c:pt idx="611">
                  <c:v>54.57008526575823</c:v>
                </c:pt>
                <c:pt idx="612">
                  <c:v>55.009960953063988</c:v>
                </c:pt>
                <c:pt idx="613">
                  <c:v>55.449836640369753</c:v>
                </c:pt>
                <c:pt idx="614">
                  <c:v>55.883337317714563</c:v>
                </c:pt>
                <c:pt idx="615">
                  <c:v>56.316837995059373</c:v>
                </c:pt>
                <c:pt idx="616">
                  <c:v>56.763088692326086</c:v>
                </c:pt>
                <c:pt idx="617">
                  <c:v>57.196589369670896</c:v>
                </c:pt>
                <c:pt idx="618">
                  <c:v>57.646027571918083</c:v>
                </c:pt>
                <c:pt idx="619">
                  <c:v>58.089090764204322</c:v>
                </c:pt>
                <c:pt idx="620">
                  <c:v>58.541716471431982</c:v>
                </c:pt>
                <c:pt idx="621">
                  <c:v>58.994342178659657</c:v>
                </c:pt>
                <c:pt idx="622">
                  <c:v>59.450155390867799</c:v>
                </c:pt>
                <c:pt idx="623">
                  <c:v>59.921906127978332</c:v>
                </c:pt>
                <c:pt idx="624">
                  <c:v>60.406406885010753</c:v>
                </c:pt>
                <c:pt idx="625">
                  <c:v>60.881345127101767</c:v>
                </c:pt>
                <c:pt idx="626">
                  <c:v>61.359470874173248</c:v>
                </c:pt>
                <c:pt idx="627">
                  <c:v>61.853534146147112</c:v>
                </c:pt>
                <c:pt idx="628">
                  <c:v>62.334847398199059</c:v>
                </c:pt>
                <c:pt idx="629">
                  <c:v>62.81297314527054</c:v>
                </c:pt>
                <c:pt idx="630">
                  <c:v>63.300661407283457</c:v>
                </c:pt>
                <c:pt idx="631">
                  <c:v>63.794724679257321</c:v>
                </c:pt>
                <c:pt idx="632">
                  <c:v>64.288787951231186</c:v>
                </c:pt>
                <c:pt idx="633">
                  <c:v>64.792413738146465</c:v>
                </c:pt>
                <c:pt idx="634">
                  <c:v>65.267351980237464</c:v>
                </c:pt>
                <c:pt idx="635">
                  <c:v>65.707227667543236</c:v>
                </c:pt>
                <c:pt idx="636">
                  <c:v>66.108853295083279</c:v>
                </c:pt>
                <c:pt idx="637">
                  <c:v>66.440353813052837</c:v>
                </c:pt>
                <c:pt idx="638">
                  <c:v>66.717666746354283</c:v>
                </c:pt>
                <c:pt idx="639">
                  <c:v>66.912104550163363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11-4E5F-A276-BA0CB03309DB}"/>
            </c:ext>
          </c:extLst>
        </c:ser>
        <c:ser>
          <c:idx val="5"/>
          <c:order val="3"/>
          <c:tx>
            <c:strRef>
              <c:f>{"A11-4"}</c:f>
              <c:strCache>
                <c:ptCount val="1"/>
                <c:pt idx="0">
                  <c:v>A11-4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'A11-4'!$C$2:$C$715</c:f>
              <c:numCache>
                <c:formatCode>0.00</c:formatCode>
                <c:ptCount val="714"/>
                <c:pt idx="0">
                  <c:v>1.1166999999999999E-4</c:v>
                </c:pt>
                <c:pt idx="1">
                  <c:v>6.5605999999999998E-3</c:v>
                </c:pt>
                <c:pt idx="2">
                  <c:v>6.6163999999999997E-3</c:v>
                </c:pt>
                <c:pt idx="3">
                  <c:v>6.6722000000000005E-3</c:v>
                </c:pt>
                <c:pt idx="4">
                  <c:v>6.7279999999999996E-3</c:v>
                </c:pt>
                <c:pt idx="5">
                  <c:v>6.7840000000000001E-3</c:v>
                </c:pt>
                <c:pt idx="6">
                  <c:v>6.8379999999999995E-3</c:v>
                </c:pt>
                <c:pt idx="7">
                  <c:v>6.8955999999999991E-3</c:v>
                </c:pt>
                <c:pt idx="8">
                  <c:v>6.9496000000000002E-3</c:v>
                </c:pt>
                <c:pt idx="9">
                  <c:v>7.0071999999999999E-3</c:v>
                </c:pt>
                <c:pt idx="10">
                  <c:v>7.0612000000000001E-3</c:v>
                </c:pt>
                <c:pt idx="11">
                  <c:v>7.1189999999999995E-3</c:v>
                </c:pt>
                <c:pt idx="12">
                  <c:v>7.1730000000000006E-3</c:v>
                </c:pt>
                <c:pt idx="13">
                  <c:v>7.2287999999999996E-3</c:v>
                </c:pt>
                <c:pt idx="14">
                  <c:v>7.2845999999999996E-3</c:v>
                </c:pt>
                <c:pt idx="15">
                  <c:v>7.3663999999999995E-3</c:v>
                </c:pt>
                <c:pt idx="16">
                  <c:v>7.4224E-3</c:v>
                </c:pt>
                <c:pt idx="17">
                  <c:v>7.5060000000000005E-3</c:v>
                </c:pt>
                <c:pt idx="18">
                  <c:v>7.5880000000000001E-3</c:v>
                </c:pt>
                <c:pt idx="19">
                  <c:v>7.6455999999999998E-3</c:v>
                </c:pt>
                <c:pt idx="20">
                  <c:v>7.7276000000000003E-3</c:v>
                </c:pt>
                <c:pt idx="21">
                  <c:v>7.8112000000000008E-3</c:v>
                </c:pt>
                <c:pt idx="22">
                  <c:v>7.8931999999999995E-3</c:v>
                </c:pt>
                <c:pt idx="23">
                  <c:v>7.9769999999999997E-3</c:v>
                </c:pt>
                <c:pt idx="24">
                  <c:v>8.0625999999999996E-3</c:v>
                </c:pt>
                <c:pt idx="25">
                  <c:v>8.1444000000000013E-3</c:v>
                </c:pt>
                <c:pt idx="26">
                  <c:v>8.2281999999999998E-3</c:v>
                </c:pt>
                <c:pt idx="27">
                  <c:v>8.3099999999999997E-3</c:v>
                </c:pt>
                <c:pt idx="28">
                  <c:v>8.3937999999999999E-3</c:v>
                </c:pt>
                <c:pt idx="29">
                  <c:v>8.4776000000000001E-3</c:v>
                </c:pt>
                <c:pt idx="30">
                  <c:v>8.5614000000000003E-3</c:v>
                </c:pt>
                <c:pt idx="31">
                  <c:v>8.6449999999999999E-3</c:v>
                </c:pt>
                <c:pt idx="32">
                  <c:v>8.7288000000000001E-3</c:v>
                </c:pt>
                <c:pt idx="33">
                  <c:v>8.8088000000000003E-3</c:v>
                </c:pt>
                <c:pt idx="34">
                  <c:v>8.8944000000000002E-3</c:v>
                </c:pt>
                <c:pt idx="35">
                  <c:v>8.9781999999999987E-3</c:v>
                </c:pt>
                <c:pt idx="36">
                  <c:v>9.0620000000000006E-3</c:v>
                </c:pt>
                <c:pt idx="37">
                  <c:v>9.1438000000000005E-3</c:v>
                </c:pt>
                <c:pt idx="38">
                  <c:v>9.2276000000000007E-3</c:v>
                </c:pt>
                <c:pt idx="39">
                  <c:v>9.3113999999999992E-3</c:v>
                </c:pt>
                <c:pt idx="40">
                  <c:v>9.3951999999999994E-3</c:v>
                </c:pt>
                <c:pt idx="41">
                  <c:v>9.478799999999999E-3</c:v>
                </c:pt>
                <c:pt idx="42">
                  <c:v>9.5608000000000012E-3</c:v>
                </c:pt>
                <c:pt idx="43">
                  <c:v>9.6445999999999997E-3</c:v>
                </c:pt>
                <c:pt idx="44">
                  <c:v>9.7263999999999996E-3</c:v>
                </c:pt>
                <c:pt idx="45">
                  <c:v>9.8119999999999995E-3</c:v>
                </c:pt>
                <c:pt idx="46">
                  <c:v>9.894E-3</c:v>
                </c:pt>
                <c:pt idx="47">
                  <c:v>9.9775999999999997E-3</c:v>
                </c:pt>
                <c:pt idx="48">
                  <c:v>1.00596E-2</c:v>
                </c:pt>
                <c:pt idx="49">
                  <c:v>1.01434E-2</c:v>
                </c:pt>
                <c:pt idx="50">
                  <c:v>1.0227E-2</c:v>
                </c:pt>
                <c:pt idx="51">
                  <c:v>1.03108E-2</c:v>
                </c:pt>
                <c:pt idx="52">
                  <c:v>1.03946E-2</c:v>
                </c:pt>
                <c:pt idx="53">
                  <c:v>1.0476399999999999E-2</c:v>
                </c:pt>
                <c:pt idx="54">
                  <c:v>1.0560199999999999E-2</c:v>
                </c:pt>
                <c:pt idx="55">
                  <c:v>1.0644000000000001E-2</c:v>
                </c:pt>
                <c:pt idx="56">
                  <c:v>1.0727800000000001E-2</c:v>
                </c:pt>
                <c:pt idx="57">
                  <c:v>1.0811400000000001E-2</c:v>
                </c:pt>
                <c:pt idx="58">
                  <c:v>1.0895200000000001E-2</c:v>
                </c:pt>
                <c:pt idx="59">
                  <c:v>1.1006999999999999E-2</c:v>
                </c:pt>
                <c:pt idx="60">
                  <c:v>1.11168E-2</c:v>
                </c:pt>
                <c:pt idx="61">
                  <c:v>1.1228400000000001E-2</c:v>
                </c:pt>
                <c:pt idx="62">
                  <c:v>1.1339999999999999E-2</c:v>
                </c:pt>
                <c:pt idx="63">
                  <c:v>1.1449800000000001E-2</c:v>
                </c:pt>
                <c:pt idx="64">
                  <c:v>1.15616E-2</c:v>
                </c:pt>
                <c:pt idx="65">
                  <c:v>1.16732E-2</c:v>
                </c:pt>
                <c:pt idx="66">
                  <c:v>1.1782999999999998E-2</c:v>
                </c:pt>
                <c:pt idx="67">
                  <c:v>1.18946E-2</c:v>
                </c:pt>
                <c:pt idx="68">
                  <c:v>1.2006399999999999E-2</c:v>
                </c:pt>
                <c:pt idx="69">
                  <c:v>1.2116199999999999E-2</c:v>
                </c:pt>
                <c:pt idx="70">
                  <c:v>1.2225999999999999E-2</c:v>
                </c:pt>
                <c:pt idx="71">
                  <c:v>1.2337599999999999E-2</c:v>
                </c:pt>
                <c:pt idx="72">
                  <c:v>1.2449200000000001E-2</c:v>
                </c:pt>
                <c:pt idx="73">
                  <c:v>1.2560999999999999E-2</c:v>
                </c:pt>
                <c:pt idx="74">
                  <c:v>1.2672600000000001E-2</c:v>
                </c:pt>
                <c:pt idx="75">
                  <c:v>1.27844E-2</c:v>
                </c:pt>
                <c:pt idx="76">
                  <c:v>1.2896000000000001E-2</c:v>
                </c:pt>
                <c:pt idx="77">
                  <c:v>1.3005800000000001E-2</c:v>
                </c:pt>
                <c:pt idx="78">
                  <c:v>1.31174E-2</c:v>
                </c:pt>
                <c:pt idx="79">
                  <c:v>1.3229200000000002E-2</c:v>
                </c:pt>
                <c:pt idx="80">
                  <c:v>1.3339E-2</c:v>
                </c:pt>
                <c:pt idx="81">
                  <c:v>1.34488E-2</c:v>
                </c:pt>
                <c:pt idx="82">
                  <c:v>1.3560399999999998E-2</c:v>
                </c:pt>
                <c:pt idx="83">
                  <c:v>1.3672E-2</c:v>
                </c:pt>
                <c:pt idx="84">
                  <c:v>1.37818E-2</c:v>
                </c:pt>
                <c:pt idx="85">
                  <c:v>1.3893599999999999E-2</c:v>
                </c:pt>
                <c:pt idx="86">
                  <c:v>1.4005200000000001E-2</c:v>
                </c:pt>
                <c:pt idx="87">
                  <c:v>1.4116800000000001E-2</c:v>
                </c:pt>
                <c:pt idx="88">
                  <c:v>1.4228600000000001E-2</c:v>
                </c:pt>
                <c:pt idx="89">
                  <c:v>1.4340200000000001E-2</c:v>
                </c:pt>
                <c:pt idx="90">
                  <c:v>1.4478E-2</c:v>
                </c:pt>
                <c:pt idx="91">
                  <c:v>1.4589600000000001E-2</c:v>
                </c:pt>
                <c:pt idx="92">
                  <c:v>1.47274E-2</c:v>
                </c:pt>
                <c:pt idx="93">
                  <c:v>1.4866999999999998E-2</c:v>
                </c:pt>
                <c:pt idx="94">
                  <c:v>1.50046E-2</c:v>
                </c:pt>
                <c:pt idx="95">
                  <c:v>1.5144200000000002E-2</c:v>
                </c:pt>
                <c:pt idx="96">
                  <c:v>1.52838E-2</c:v>
                </c:pt>
                <c:pt idx="97">
                  <c:v>1.5421600000000001E-2</c:v>
                </c:pt>
                <c:pt idx="98">
                  <c:v>1.5561199999999999E-2</c:v>
                </c:pt>
                <c:pt idx="99">
                  <c:v>1.5700800000000001E-2</c:v>
                </c:pt>
                <c:pt idx="100">
                  <c:v>1.5838399999999999E-2</c:v>
                </c:pt>
                <c:pt idx="101">
                  <c:v>1.5978000000000003E-2</c:v>
                </c:pt>
                <c:pt idx="102">
                  <c:v>1.6117599999999999E-2</c:v>
                </c:pt>
                <c:pt idx="103">
                  <c:v>1.62536E-2</c:v>
                </c:pt>
                <c:pt idx="104">
                  <c:v>1.6395E-2</c:v>
                </c:pt>
                <c:pt idx="105">
                  <c:v>1.65346E-2</c:v>
                </c:pt>
                <c:pt idx="106">
                  <c:v>1.6672199999999998E-2</c:v>
                </c:pt>
                <c:pt idx="107">
                  <c:v>1.6811799999999998E-2</c:v>
                </c:pt>
                <c:pt idx="108">
                  <c:v>1.6949599999999999E-2</c:v>
                </c:pt>
                <c:pt idx="109">
                  <c:v>1.7089199999999999E-2</c:v>
                </c:pt>
                <c:pt idx="110">
                  <c:v>1.7228799999999999E-2</c:v>
                </c:pt>
                <c:pt idx="111">
                  <c:v>1.7366400000000001E-2</c:v>
                </c:pt>
                <c:pt idx="112">
                  <c:v>1.7504200000000001E-2</c:v>
                </c:pt>
                <c:pt idx="113">
                  <c:v>1.7643800000000001E-2</c:v>
                </c:pt>
                <c:pt idx="114">
                  <c:v>1.7783400000000001E-2</c:v>
                </c:pt>
                <c:pt idx="115">
                  <c:v>1.7921199999999998E-2</c:v>
                </c:pt>
                <c:pt idx="116">
                  <c:v>1.8062599999999998E-2</c:v>
                </c:pt>
                <c:pt idx="117">
                  <c:v>1.82282E-2</c:v>
                </c:pt>
                <c:pt idx="118">
                  <c:v>1.83958E-2</c:v>
                </c:pt>
                <c:pt idx="119">
                  <c:v>1.8561399999999999E-2</c:v>
                </c:pt>
                <c:pt idx="120">
                  <c:v>1.8727000000000001E-2</c:v>
                </c:pt>
                <c:pt idx="121">
                  <c:v>1.8894399999999999E-2</c:v>
                </c:pt>
                <c:pt idx="122">
                  <c:v>1.9060199999999999E-2</c:v>
                </c:pt>
                <c:pt idx="123">
                  <c:v>1.9227600000000001E-2</c:v>
                </c:pt>
                <c:pt idx="124">
                  <c:v>1.9395199999999998E-2</c:v>
                </c:pt>
                <c:pt idx="125">
                  <c:v>1.95608E-2</c:v>
                </c:pt>
                <c:pt idx="126">
                  <c:v>1.9728200000000001E-2</c:v>
                </c:pt>
                <c:pt idx="127">
                  <c:v>1.9894000000000002E-2</c:v>
                </c:pt>
                <c:pt idx="128">
                  <c:v>2.0062000000000003E-2</c:v>
                </c:pt>
                <c:pt idx="129">
                  <c:v>2.0228000000000003E-2</c:v>
                </c:pt>
                <c:pt idx="130">
                  <c:v>2.0394000000000002E-2</c:v>
                </c:pt>
                <c:pt idx="131">
                  <c:v>2.0562E-2</c:v>
                </c:pt>
                <c:pt idx="132">
                  <c:v>2.0728E-2</c:v>
                </c:pt>
                <c:pt idx="133">
                  <c:v>2.0893999999999999E-2</c:v>
                </c:pt>
                <c:pt idx="134">
                  <c:v>2.1059999999999999E-2</c:v>
                </c:pt>
                <c:pt idx="135">
                  <c:v>2.1225999999999998E-2</c:v>
                </c:pt>
                <c:pt idx="136">
                  <c:v>2.1394000000000003E-2</c:v>
                </c:pt>
                <c:pt idx="137">
                  <c:v>2.1562000000000001E-2</c:v>
                </c:pt>
                <c:pt idx="138">
                  <c:v>2.1756000000000001E-2</c:v>
                </c:pt>
                <c:pt idx="139">
                  <c:v>2.1949999999999997E-2</c:v>
                </c:pt>
                <c:pt idx="140">
                  <c:v>2.2144E-2</c:v>
                </c:pt>
                <c:pt idx="141">
                  <c:v>2.2339999999999999E-2</c:v>
                </c:pt>
                <c:pt idx="142">
                  <c:v>2.2534000000000002E-2</c:v>
                </c:pt>
                <c:pt idx="143">
                  <c:v>2.2728000000000002E-2</c:v>
                </c:pt>
                <c:pt idx="144">
                  <c:v>2.2921999999999998E-2</c:v>
                </c:pt>
                <c:pt idx="145">
                  <c:v>2.3118E-2</c:v>
                </c:pt>
                <c:pt idx="146">
                  <c:v>2.3311999999999999E-2</c:v>
                </c:pt>
                <c:pt idx="147">
                  <c:v>2.3504000000000001E-2</c:v>
                </c:pt>
                <c:pt idx="148">
                  <c:v>2.3698E-2</c:v>
                </c:pt>
                <c:pt idx="149">
                  <c:v>2.3894000000000002E-2</c:v>
                </c:pt>
                <c:pt idx="150">
                  <c:v>2.4087999999999998E-2</c:v>
                </c:pt>
                <c:pt idx="151">
                  <c:v>2.4284E-2</c:v>
                </c:pt>
                <c:pt idx="152">
                  <c:v>2.4478E-2</c:v>
                </c:pt>
                <c:pt idx="153">
                  <c:v>2.4671999999999999E-2</c:v>
                </c:pt>
                <c:pt idx="154">
                  <c:v>2.4866000000000003E-2</c:v>
                </c:pt>
                <c:pt idx="155">
                  <c:v>2.5006E-2</c:v>
                </c:pt>
                <c:pt idx="156">
                  <c:v>2.52E-2</c:v>
                </c:pt>
                <c:pt idx="157">
                  <c:v>2.5424000000000002E-2</c:v>
                </c:pt>
                <c:pt idx="158">
                  <c:v>2.5644E-2</c:v>
                </c:pt>
                <c:pt idx="159">
                  <c:v>2.5865999999999997E-2</c:v>
                </c:pt>
                <c:pt idx="160">
                  <c:v>2.6088E-2</c:v>
                </c:pt>
                <c:pt idx="161">
                  <c:v>2.6312000000000002E-2</c:v>
                </c:pt>
                <c:pt idx="162">
                  <c:v>2.6532E-2</c:v>
                </c:pt>
                <c:pt idx="163">
                  <c:v>2.6756000000000002E-2</c:v>
                </c:pt>
                <c:pt idx="164">
                  <c:v>2.6977999999999999E-2</c:v>
                </c:pt>
                <c:pt idx="165">
                  <c:v>2.7200000000000002E-2</c:v>
                </c:pt>
                <c:pt idx="166">
                  <c:v>2.742E-2</c:v>
                </c:pt>
                <c:pt idx="167">
                  <c:v>2.7646E-2</c:v>
                </c:pt>
                <c:pt idx="168">
                  <c:v>2.7868E-2</c:v>
                </c:pt>
                <c:pt idx="169">
                  <c:v>2.8088000000000002E-2</c:v>
                </c:pt>
                <c:pt idx="170">
                  <c:v>2.8312E-2</c:v>
                </c:pt>
                <c:pt idx="171">
                  <c:v>2.8534E-2</c:v>
                </c:pt>
                <c:pt idx="172">
                  <c:v>2.8753999999999998E-2</c:v>
                </c:pt>
                <c:pt idx="173">
                  <c:v>2.9005999999999997E-2</c:v>
                </c:pt>
                <c:pt idx="174">
                  <c:v>2.9256000000000001E-2</c:v>
                </c:pt>
                <c:pt idx="175">
                  <c:v>2.9506000000000001E-2</c:v>
                </c:pt>
                <c:pt idx="176">
                  <c:v>2.9756000000000001E-2</c:v>
                </c:pt>
                <c:pt idx="177">
                  <c:v>3.0005999999999998E-2</c:v>
                </c:pt>
                <c:pt idx="178">
                  <c:v>3.0255999999999998E-2</c:v>
                </c:pt>
                <c:pt idx="179">
                  <c:v>3.0506000000000002E-2</c:v>
                </c:pt>
                <c:pt idx="180">
                  <c:v>3.0756000000000002E-2</c:v>
                </c:pt>
                <c:pt idx="181">
                  <c:v>3.1005999999999999E-2</c:v>
                </c:pt>
                <c:pt idx="182">
                  <c:v>3.1253999999999997E-2</c:v>
                </c:pt>
                <c:pt idx="183">
                  <c:v>3.1505999999999999E-2</c:v>
                </c:pt>
                <c:pt idx="184">
                  <c:v>3.1756E-2</c:v>
                </c:pt>
                <c:pt idx="185">
                  <c:v>3.2006E-2</c:v>
                </c:pt>
                <c:pt idx="186">
                  <c:v>3.2256E-2</c:v>
                </c:pt>
                <c:pt idx="187">
                  <c:v>3.2534E-2</c:v>
                </c:pt>
                <c:pt idx="188">
                  <c:v>3.2809999999999999E-2</c:v>
                </c:pt>
                <c:pt idx="189">
                  <c:v>3.3090000000000001E-2</c:v>
                </c:pt>
                <c:pt idx="190">
                  <c:v>3.3366E-2</c:v>
                </c:pt>
                <c:pt idx="191">
                  <c:v>3.3644E-2</c:v>
                </c:pt>
                <c:pt idx="192">
                  <c:v>3.3922000000000001E-2</c:v>
                </c:pt>
                <c:pt idx="193">
                  <c:v>3.4200000000000001E-2</c:v>
                </c:pt>
                <c:pt idx="194">
                  <c:v>3.4478000000000002E-2</c:v>
                </c:pt>
                <c:pt idx="195">
                  <c:v>3.4644000000000001E-2</c:v>
                </c:pt>
                <c:pt idx="196">
                  <c:v>3.4894000000000001E-2</c:v>
                </c:pt>
                <c:pt idx="197">
                  <c:v>3.517E-2</c:v>
                </c:pt>
                <c:pt idx="198">
                  <c:v>3.5450000000000002E-2</c:v>
                </c:pt>
                <c:pt idx="199">
                  <c:v>3.5728000000000003E-2</c:v>
                </c:pt>
                <c:pt idx="200">
                  <c:v>3.6006000000000003E-2</c:v>
                </c:pt>
                <c:pt idx="201">
                  <c:v>3.6312000000000004E-2</c:v>
                </c:pt>
                <c:pt idx="202">
                  <c:v>3.6616000000000003E-2</c:v>
                </c:pt>
                <c:pt idx="203">
                  <c:v>3.6922000000000003E-2</c:v>
                </c:pt>
                <c:pt idx="204">
                  <c:v>3.7226000000000002E-2</c:v>
                </c:pt>
                <c:pt idx="205">
                  <c:v>3.7533999999999998E-2</c:v>
                </c:pt>
                <c:pt idx="206">
                  <c:v>3.7839999999999999E-2</c:v>
                </c:pt>
                <c:pt idx="207">
                  <c:v>3.8143999999999997E-2</c:v>
                </c:pt>
                <c:pt idx="208">
                  <c:v>3.8450000000000005E-2</c:v>
                </c:pt>
                <c:pt idx="209">
                  <c:v>3.8755999999999999E-2</c:v>
                </c:pt>
                <c:pt idx="210">
                  <c:v>3.8977999999999999E-2</c:v>
                </c:pt>
                <c:pt idx="211">
                  <c:v>3.9283999999999999E-2</c:v>
                </c:pt>
                <c:pt idx="212">
                  <c:v>3.9587999999999998E-2</c:v>
                </c:pt>
                <c:pt idx="213">
                  <c:v>3.9809999999999998E-2</c:v>
                </c:pt>
                <c:pt idx="214">
                  <c:v>4.0115999999999999E-2</c:v>
                </c:pt>
                <c:pt idx="215">
                  <c:v>4.0422E-2</c:v>
                </c:pt>
                <c:pt idx="216">
                  <c:v>4.0646000000000002E-2</c:v>
                </c:pt>
                <c:pt idx="217">
                  <c:v>4.0866E-2</c:v>
                </c:pt>
                <c:pt idx="218">
                  <c:v>4.1031999999999999E-2</c:v>
                </c:pt>
                <c:pt idx="219">
                  <c:v>4.1200000000000001E-2</c:v>
                </c:pt>
                <c:pt idx="220">
                  <c:v>4.1365999999999993E-2</c:v>
                </c:pt>
                <c:pt idx="221">
                  <c:v>4.1534000000000001E-2</c:v>
                </c:pt>
                <c:pt idx="222">
                  <c:v>4.1672000000000001E-2</c:v>
                </c:pt>
                <c:pt idx="223">
                  <c:v>4.1838E-2</c:v>
                </c:pt>
                <c:pt idx="224">
                  <c:v>4.2004E-2</c:v>
                </c:pt>
                <c:pt idx="225">
                  <c:v>4.2144000000000001E-2</c:v>
                </c:pt>
                <c:pt idx="226">
                  <c:v>4.231E-2</c:v>
                </c:pt>
                <c:pt idx="227">
                  <c:v>4.2450000000000002E-2</c:v>
                </c:pt>
                <c:pt idx="228">
                  <c:v>4.2588000000000001E-2</c:v>
                </c:pt>
                <c:pt idx="229">
                  <c:v>4.2754E-2</c:v>
                </c:pt>
                <c:pt idx="230">
                  <c:v>4.2893999999999995E-2</c:v>
                </c:pt>
                <c:pt idx="231">
                  <c:v>4.3033999999999996E-2</c:v>
                </c:pt>
                <c:pt idx="232">
                  <c:v>4.3174000000000004E-2</c:v>
                </c:pt>
                <c:pt idx="233">
                  <c:v>4.3311999999999996E-2</c:v>
                </c:pt>
                <c:pt idx="234">
                  <c:v>4.3449999999999996E-2</c:v>
                </c:pt>
                <c:pt idx="235">
                  <c:v>4.3589999999999997E-2</c:v>
                </c:pt>
                <c:pt idx="236">
                  <c:v>4.3727999999999996E-2</c:v>
                </c:pt>
                <c:pt idx="237">
                  <c:v>4.3895999999999998E-2</c:v>
                </c:pt>
                <c:pt idx="238">
                  <c:v>4.4062000000000004E-2</c:v>
                </c:pt>
                <c:pt idx="239">
                  <c:v>4.4198000000000001E-2</c:v>
                </c:pt>
                <c:pt idx="240">
                  <c:v>4.4366000000000003E-2</c:v>
                </c:pt>
                <c:pt idx="241">
                  <c:v>4.4534000000000004E-2</c:v>
                </c:pt>
                <c:pt idx="242">
                  <c:v>4.4699999999999997E-2</c:v>
                </c:pt>
                <c:pt idx="243">
                  <c:v>4.4839999999999998E-2</c:v>
                </c:pt>
                <c:pt idx="244">
                  <c:v>4.4950000000000004E-2</c:v>
                </c:pt>
                <c:pt idx="245">
                  <c:v>4.5087999999999996E-2</c:v>
                </c:pt>
                <c:pt idx="246">
                  <c:v>4.5199999999999997E-2</c:v>
                </c:pt>
                <c:pt idx="247">
                  <c:v>4.5339999999999998E-2</c:v>
                </c:pt>
                <c:pt idx="248">
                  <c:v>4.5449999999999997E-2</c:v>
                </c:pt>
                <c:pt idx="249">
                  <c:v>4.5589999999999999E-2</c:v>
                </c:pt>
                <c:pt idx="250">
                  <c:v>4.5700000000000005E-2</c:v>
                </c:pt>
                <c:pt idx="251">
                  <c:v>4.5810000000000003E-2</c:v>
                </c:pt>
                <c:pt idx="252">
                  <c:v>4.5949999999999998E-2</c:v>
                </c:pt>
                <c:pt idx="253">
                  <c:v>4.6059999999999997E-2</c:v>
                </c:pt>
                <c:pt idx="254">
                  <c:v>4.6199999999999998E-2</c:v>
                </c:pt>
                <c:pt idx="255">
                  <c:v>4.6311999999999999E-2</c:v>
                </c:pt>
                <c:pt idx="256">
                  <c:v>4.6421999999999998E-2</c:v>
                </c:pt>
                <c:pt idx="257">
                  <c:v>4.6559999999999997E-2</c:v>
                </c:pt>
                <c:pt idx="258">
                  <c:v>4.6669999999999996E-2</c:v>
                </c:pt>
                <c:pt idx="259">
                  <c:v>4.6783999999999999E-2</c:v>
                </c:pt>
                <c:pt idx="260">
                  <c:v>4.6896000000000007E-2</c:v>
                </c:pt>
                <c:pt idx="261">
                  <c:v>4.7033999999999999E-2</c:v>
                </c:pt>
                <c:pt idx="262">
                  <c:v>4.7146E-2</c:v>
                </c:pt>
                <c:pt idx="263">
                  <c:v>4.7253999999999997E-2</c:v>
                </c:pt>
                <c:pt idx="264">
                  <c:v>4.7337999999999998E-2</c:v>
                </c:pt>
                <c:pt idx="265">
                  <c:v>4.7449999999999999E-2</c:v>
                </c:pt>
                <c:pt idx="266">
                  <c:v>4.7560000000000005E-2</c:v>
                </c:pt>
                <c:pt idx="267">
                  <c:v>4.7671999999999999E-2</c:v>
                </c:pt>
                <c:pt idx="268">
                  <c:v>4.7784000000000007E-2</c:v>
                </c:pt>
                <c:pt idx="269">
                  <c:v>4.7893999999999999E-2</c:v>
                </c:pt>
                <c:pt idx="270">
                  <c:v>4.8006E-2</c:v>
                </c:pt>
                <c:pt idx="271">
                  <c:v>4.8087999999999999E-2</c:v>
                </c:pt>
                <c:pt idx="272">
                  <c:v>4.8197999999999998E-2</c:v>
                </c:pt>
                <c:pt idx="273">
                  <c:v>4.8284000000000001E-2</c:v>
                </c:pt>
                <c:pt idx="274">
                  <c:v>4.8394000000000006E-2</c:v>
                </c:pt>
                <c:pt idx="275">
                  <c:v>4.8478E-2</c:v>
                </c:pt>
                <c:pt idx="276">
                  <c:v>4.8590000000000001E-2</c:v>
                </c:pt>
                <c:pt idx="277">
                  <c:v>4.8672000000000007E-2</c:v>
                </c:pt>
                <c:pt idx="278">
                  <c:v>4.8781999999999999E-2</c:v>
                </c:pt>
                <c:pt idx="279">
                  <c:v>4.8894E-2</c:v>
                </c:pt>
                <c:pt idx="280">
                  <c:v>4.8978000000000001E-2</c:v>
                </c:pt>
                <c:pt idx="281">
                  <c:v>4.9062000000000001E-2</c:v>
                </c:pt>
                <c:pt idx="282">
                  <c:v>4.9172E-2</c:v>
                </c:pt>
                <c:pt idx="283">
                  <c:v>4.9284000000000001E-2</c:v>
                </c:pt>
                <c:pt idx="284">
                  <c:v>4.9367999999999995E-2</c:v>
                </c:pt>
                <c:pt idx="285">
                  <c:v>4.9450000000000001E-2</c:v>
                </c:pt>
                <c:pt idx="286">
                  <c:v>4.9560000000000007E-2</c:v>
                </c:pt>
                <c:pt idx="287">
                  <c:v>4.9672000000000001E-2</c:v>
                </c:pt>
                <c:pt idx="288">
                  <c:v>4.9753999999999993E-2</c:v>
                </c:pt>
                <c:pt idx="289">
                  <c:v>4.9837999999999993E-2</c:v>
                </c:pt>
                <c:pt idx="290">
                  <c:v>4.9950000000000001E-2</c:v>
                </c:pt>
                <c:pt idx="291">
                  <c:v>5.006E-2</c:v>
                </c:pt>
                <c:pt idx="292">
                  <c:v>5.0172000000000001E-2</c:v>
                </c:pt>
                <c:pt idx="293">
                  <c:v>5.0282E-2</c:v>
                </c:pt>
                <c:pt idx="294">
                  <c:v>5.0364000000000006E-2</c:v>
                </c:pt>
                <c:pt idx="295">
                  <c:v>5.0450000000000002E-2</c:v>
                </c:pt>
                <c:pt idx="296">
                  <c:v>5.0533999999999996E-2</c:v>
                </c:pt>
                <c:pt idx="297">
                  <c:v>5.0617999999999996E-2</c:v>
                </c:pt>
                <c:pt idx="298">
                  <c:v>5.0728000000000002E-2</c:v>
                </c:pt>
                <c:pt idx="299">
                  <c:v>5.0811999999999996E-2</c:v>
                </c:pt>
                <c:pt idx="300">
                  <c:v>5.0894000000000002E-2</c:v>
                </c:pt>
                <c:pt idx="301">
                  <c:v>5.0978000000000002E-2</c:v>
                </c:pt>
                <c:pt idx="302">
                  <c:v>5.1062000000000003E-2</c:v>
                </c:pt>
                <c:pt idx="303">
                  <c:v>5.1143999999999995E-2</c:v>
                </c:pt>
                <c:pt idx="304">
                  <c:v>5.1256000000000003E-2</c:v>
                </c:pt>
                <c:pt idx="305">
                  <c:v>5.1338000000000002E-2</c:v>
                </c:pt>
                <c:pt idx="306">
                  <c:v>5.1421999999999995E-2</c:v>
                </c:pt>
                <c:pt idx="307">
                  <c:v>5.1505999999999996E-2</c:v>
                </c:pt>
                <c:pt idx="308">
                  <c:v>5.1589999999999997E-2</c:v>
                </c:pt>
                <c:pt idx="309">
                  <c:v>5.1673999999999998E-2</c:v>
                </c:pt>
                <c:pt idx="310">
                  <c:v>5.1756000000000003E-2</c:v>
                </c:pt>
                <c:pt idx="311">
                  <c:v>5.1837999999999995E-2</c:v>
                </c:pt>
                <c:pt idx="312">
                  <c:v>5.1920000000000001E-2</c:v>
                </c:pt>
                <c:pt idx="313">
                  <c:v>5.2005999999999997E-2</c:v>
                </c:pt>
                <c:pt idx="314">
                  <c:v>5.2088000000000002E-2</c:v>
                </c:pt>
                <c:pt idx="315">
                  <c:v>5.2172000000000003E-2</c:v>
                </c:pt>
                <c:pt idx="316">
                  <c:v>5.2255999999999997E-2</c:v>
                </c:pt>
                <c:pt idx="317">
                  <c:v>5.2337999999999996E-2</c:v>
                </c:pt>
                <c:pt idx="318">
                  <c:v>5.2423999999999998E-2</c:v>
                </c:pt>
                <c:pt idx="319">
                  <c:v>5.2506000000000004E-2</c:v>
                </c:pt>
                <c:pt idx="320">
                  <c:v>5.2587999999999996E-2</c:v>
                </c:pt>
                <c:pt idx="321">
                  <c:v>5.2671999999999997E-2</c:v>
                </c:pt>
                <c:pt idx="322">
                  <c:v>5.2754000000000002E-2</c:v>
                </c:pt>
                <c:pt idx="323">
                  <c:v>5.2838000000000003E-2</c:v>
                </c:pt>
                <c:pt idx="324">
                  <c:v>5.2922000000000004E-2</c:v>
                </c:pt>
                <c:pt idx="325">
                  <c:v>5.3006000000000005E-2</c:v>
                </c:pt>
                <c:pt idx="326">
                  <c:v>5.3089999999999998E-2</c:v>
                </c:pt>
                <c:pt idx="327">
                  <c:v>5.3171999999999997E-2</c:v>
                </c:pt>
                <c:pt idx="328">
                  <c:v>5.3255999999999998E-2</c:v>
                </c:pt>
                <c:pt idx="329">
                  <c:v>5.3338000000000003E-2</c:v>
                </c:pt>
                <c:pt idx="330">
                  <c:v>5.3421999999999997E-2</c:v>
                </c:pt>
                <c:pt idx="331">
                  <c:v>5.3503999999999996E-2</c:v>
                </c:pt>
                <c:pt idx="332">
                  <c:v>5.3587999999999997E-2</c:v>
                </c:pt>
                <c:pt idx="333">
                  <c:v>5.3672000000000004E-2</c:v>
                </c:pt>
                <c:pt idx="334">
                  <c:v>5.3756000000000005E-2</c:v>
                </c:pt>
                <c:pt idx="335">
                  <c:v>5.3840000000000006E-2</c:v>
                </c:pt>
                <c:pt idx="336">
                  <c:v>5.3921999999999998E-2</c:v>
                </c:pt>
                <c:pt idx="337">
                  <c:v>5.4005999999999998E-2</c:v>
                </c:pt>
                <c:pt idx="338">
                  <c:v>5.4088000000000004E-2</c:v>
                </c:pt>
                <c:pt idx="339">
                  <c:v>5.4172000000000005E-2</c:v>
                </c:pt>
                <c:pt idx="340">
                  <c:v>5.4255999999999999E-2</c:v>
                </c:pt>
                <c:pt idx="341">
                  <c:v>5.4337999999999997E-2</c:v>
                </c:pt>
                <c:pt idx="342">
                  <c:v>5.4420000000000003E-2</c:v>
                </c:pt>
                <c:pt idx="343">
                  <c:v>5.4477999999999999E-2</c:v>
                </c:pt>
                <c:pt idx="344">
                  <c:v>5.4561999999999999E-2</c:v>
                </c:pt>
                <c:pt idx="345">
                  <c:v>5.4646E-2</c:v>
                </c:pt>
                <c:pt idx="346">
                  <c:v>5.4728000000000006E-2</c:v>
                </c:pt>
                <c:pt idx="347">
                  <c:v>5.4812E-2</c:v>
                </c:pt>
                <c:pt idx="348">
                  <c:v>5.4865999999999998E-2</c:v>
                </c:pt>
                <c:pt idx="349">
                  <c:v>5.4949999999999999E-2</c:v>
                </c:pt>
                <c:pt idx="350">
                  <c:v>5.5031999999999998E-2</c:v>
                </c:pt>
                <c:pt idx="351">
                  <c:v>5.5115999999999998E-2</c:v>
                </c:pt>
                <c:pt idx="352">
                  <c:v>5.5199999999999999E-2</c:v>
                </c:pt>
                <c:pt idx="353">
                  <c:v>5.5284000000000007E-2</c:v>
                </c:pt>
                <c:pt idx="354">
                  <c:v>5.5365999999999999E-2</c:v>
                </c:pt>
                <c:pt idx="355">
                  <c:v>5.5424000000000001E-2</c:v>
                </c:pt>
                <c:pt idx="356">
                  <c:v>5.5507999999999995E-2</c:v>
                </c:pt>
                <c:pt idx="357">
                  <c:v>5.5590000000000001E-2</c:v>
                </c:pt>
                <c:pt idx="358">
                  <c:v>5.5671999999999999E-2</c:v>
                </c:pt>
                <c:pt idx="359">
                  <c:v>5.5753999999999998E-2</c:v>
                </c:pt>
                <c:pt idx="360">
                  <c:v>5.5837999999999999E-2</c:v>
                </c:pt>
                <c:pt idx="361">
                  <c:v>5.5921999999999999E-2</c:v>
                </c:pt>
                <c:pt idx="362">
                  <c:v>5.6006E-2</c:v>
                </c:pt>
                <c:pt idx="363">
                  <c:v>5.6090000000000001E-2</c:v>
                </c:pt>
                <c:pt idx="364">
                  <c:v>5.62E-2</c:v>
                </c:pt>
                <c:pt idx="365">
                  <c:v>5.6312000000000001E-2</c:v>
                </c:pt>
                <c:pt idx="366">
                  <c:v>5.6422E-2</c:v>
                </c:pt>
                <c:pt idx="367">
                  <c:v>5.6534000000000001E-2</c:v>
                </c:pt>
                <c:pt idx="368">
                  <c:v>5.6644E-2</c:v>
                </c:pt>
                <c:pt idx="369">
                  <c:v>5.6756000000000001E-2</c:v>
                </c:pt>
                <c:pt idx="370">
                  <c:v>5.6866E-2</c:v>
                </c:pt>
                <c:pt idx="371">
                  <c:v>5.6978000000000001E-2</c:v>
                </c:pt>
                <c:pt idx="372">
                  <c:v>5.7089999999999995E-2</c:v>
                </c:pt>
                <c:pt idx="373">
                  <c:v>5.7172000000000001E-2</c:v>
                </c:pt>
                <c:pt idx="374">
                  <c:v>5.7282E-2</c:v>
                </c:pt>
                <c:pt idx="375">
                  <c:v>5.7394000000000001E-2</c:v>
                </c:pt>
                <c:pt idx="376">
                  <c:v>5.7504E-2</c:v>
                </c:pt>
                <c:pt idx="377">
                  <c:v>5.7615999999999994E-2</c:v>
                </c:pt>
                <c:pt idx="378">
                  <c:v>5.7728000000000002E-2</c:v>
                </c:pt>
                <c:pt idx="379">
                  <c:v>5.7838000000000001E-2</c:v>
                </c:pt>
                <c:pt idx="380">
                  <c:v>5.7950000000000002E-2</c:v>
                </c:pt>
                <c:pt idx="381">
                  <c:v>5.806E-2</c:v>
                </c:pt>
                <c:pt idx="382">
                  <c:v>5.8141999999999999E-2</c:v>
                </c:pt>
                <c:pt idx="383">
                  <c:v>5.8255999999999995E-2</c:v>
                </c:pt>
                <c:pt idx="384">
                  <c:v>5.8338000000000001E-2</c:v>
                </c:pt>
                <c:pt idx="385">
                  <c:v>5.8449999999999995E-2</c:v>
                </c:pt>
                <c:pt idx="386">
                  <c:v>5.8533999999999996E-2</c:v>
                </c:pt>
                <c:pt idx="387">
                  <c:v>5.8644000000000002E-2</c:v>
                </c:pt>
                <c:pt idx="388">
                  <c:v>5.8727999999999995E-2</c:v>
                </c:pt>
                <c:pt idx="389">
                  <c:v>5.8838000000000001E-2</c:v>
                </c:pt>
                <c:pt idx="390">
                  <c:v>5.8922000000000002E-2</c:v>
                </c:pt>
                <c:pt idx="391">
                  <c:v>5.9005999999999996E-2</c:v>
                </c:pt>
                <c:pt idx="392">
                  <c:v>5.9118000000000004E-2</c:v>
                </c:pt>
                <c:pt idx="393">
                  <c:v>5.9202000000000005E-2</c:v>
                </c:pt>
                <c:pt idx="394">
                  <c:v>5.9311999999999997E-2</c:v>
                </c:pt>
                <c:pt idx="395">
                  <c:v>5.9396000000000004E-2</c:v>
                </c:pt>
                <c:pt idx="396">
                  <c:v>5.9505999999999996E-2</c:v>
                </c:pt>
                <c:pt idx="397">
                  <c:v>5.9588000000000002E-2</c:v>
                </c:pt>
                <c:pt idx="398">
                  <c:v>5.9698000000000001E-2</c:v>
                </c:pt>
                <c:pt idx="399">
                  <c:v>5.9782000000000002E-2</c:v>
                </c:pt>
                <c:pt idx="400">
                  <c:v>5.9866000000000003E-2</c:v>
                </c:pt>
                <c:pt idx="401">
                  <c:v>5.9950000000000003E-2</c:v>
                </c:pt>
                <c:pt idx="402">
                  <c:v>6.0034000000000004E-2</c:v>
                </c:pt>
                <c:pt idx="403">
                  <c:v>6.0145999999999998E-2</c:v>
                </c:pt>
                <c:pt idx="404">
                  <c:v>6.0255999999999997E-2</c:v>
                </c:pt>
                <c:pt idx="405">
                  <c:v>6.0366000000000003E-2</c:v>
                </c:pt>
                <c:pt idx="406">
                  <c:v>6.0477999999999997E-2</c:v>
                </c:pt>
                <c:pt idx="407">
                  <c:v>6.0587999999999996E-2</c:v>
                </c:pt>
                <c:pt idx="408">
                  <c:v>6.0700000000000004E-2</c:v>
                </c:pt>
                <c:pt idx="409">
                  <c:v>6.0811999999999998E-2</c:v>
                </c:pt>
                <c:pt idx="410">
                  <c:v>6.0922000000000004E-2</c:v>
                </c:pt>
                <c:pt idx="411">
                  <c:v>6.1033999999999998E-2</c:v>
                </c:pt>
                <c:pt idx="412">
                  <c:v>6.1143999999999997E-2</c:v>
                </c:pt>
                <c:pt idx="413">
                  <c:v>6.1256000000000005E-2</c:v>
                </c:pt>
                <c:pt idx="414">
                  <c:v>6.1365999999999997E-2</c:v>
                </c:pt>
                <c:pt idx="415">
                  <c:v>6.1478000000000005E-2</c:v>
                </c:pt>
                <c:pt idx="416">
                  <c:v>6.1589999999999999E-2</c:v>
                </c:pt>
                <c:pt idx="417">
                  <c:v>6.1702000000000007E-2</c:v>
                </c:pt>
                <c:pt idx="418">
                  <c:v>6.1810000000000004E-2</c:v>
                </c:pt>
                <c:pt idx="419">
                  <c:v>6.1921999999999998E-2</c:v>
                </c:pt>
                <c:pt idx="420">
                  <c:v>6.2034000000000006E-2</c:v>
                </c:pt>
                <c:pt idx="421">
                  <c:v>6.2144000000000005E-2</c:v>
                </c:pt>
                <c:pt idx="422">
                  <c:v>6.2255999999999999E-2</c:v>
                </c:pt>
                <c:pt idx="423">
                  <c:v>6.2366000000000005E-2</c:v>
                </c:pt>
                <c:pt idx="424">
                  <c:v>6.2476000000000004E-2</c:v>
                </c:pt>
                <c:pt idx="425">
                  <c:v>6.2588000000000005E-2</c:v>
                </c:pt>
                <c:pt idx="426">
                  <c:v>6.2699999999999992E-2</c:v>
                </c:pt>
                <c:pt idx="427">
                  <c:v>6.2809999999999991E-2</c:v>
                </c:pt>
                <c:pt idx="428">
                  <c:v>6.2923999999999994E-2</c:v>
                </c:pt>
                <c:pt idx="429">
                  <c:v>6.3033999999999993E-2</c:v>
                </c:pt>
                <c:pt idx="430">
                  <c:v>6.3146000000000008E-2</c:v>
                </c:pt>
                <c:pt idx="431">
                  <c:v>6.3255999999999993E-2</c:v>
                </c:pt>
                <c:pt idx="432">
                  <c:v>6.3365999999999992E-2</c:v>
                </c:pt>
                <c:pt idx="433">
                  <c:v>6.3503999999999991E-2</c:v>
                </c:pt>
                <c:pt idx="434">
                  <c:v>6.3643999999999992E-2</c:v>
                </c:pt>
                <c:pt idx="435">
                  <c:v>6.3756000000000007E-2</c:v>
                </c:pt>
                <c:pt idx="436">
                  <c:v>6.3867999999999994E-2</c:v>
                </c:pt>
                <c:pt idx="437">
                  <c:v>6.3979999999999995E-2</c:v>
                </c:pt>
                <c:pt idx="438">
                  <c:v>6.4089999999999994E-2</c:v>
                </c:pt>
                <c:pt idx="439">
                  <c:v>6.4199999999999993E-2</c:v>
                </c:pt>
                <c:pt idx="440">
                  <c:v>6.4310000000000006E-2</c:v>
                </c:pt>
                <c:pt idx="441">
                  <c:v>6.4421999999999993E-2</c:v>
                </c:pt>
                <c:pt idx="442">
                  <c:v>6.4534000000000008E-2</c:v>
                </c:pt>
                <c:pt idx="443">
                  <c:v>6.4644000000000007E-2</c:v>
                </c:pt>
                <c:pt idx="444">
                  <c:v>6.4755999999999994E-2</c:v>
                </c:pt>
                <c:pt idx="445">
                  <c:v>6.4867999999999995E-2</c:v>
                </c:pt>
                <c:pt idx="446">
                  <c:v>6.4977999999999994E-2</c:v>
                </c:pt>
                <c:pt idx="447">
                  <c:v>6.5087999999999993E-2</c:v>
                </c:pt>
                <c:pt idx="448">
                  <c:v>6.5199999999999994E-2</c:v>
                </c:pt>
                <c:pt idx="449">
                  <c:v>6.5311999999999995E-2</c:v>
                </c:pt>
                <c:pt idx="450">
                  <c:v>6.5422000000000008E-2</c:v>
                </c:pt>
                <c:pt idx="451">
                  <c:v>6.5533999999999995E-2</c:v>
                </c:pt>
                <c:pt idx="452">
                  <c:v>6.5643999999999994E-2</c:v>
                </c:pt>
                <c:pt idx="453">
                  <c:v>6.5755999999999995E-2</c:v>
                </c:pt>
                <c:pt idx="454">
                  <c:v>6.5865999999999994E-2</c:v>
                </c:pt>
                <c:pt idx="455">
                  <c:v>6.5978000000000009E-2</c:v>
                </c:pt>
                <c:pt idx="456">
                  <c:v>6.6087999999999994E-2</c:v>
                </c:pt>
                <c:pt idx="457">
                  <c:v>6.6197999999999993E-2</c:v>
                </c:pt>
                <c:pt idx="458">
                  <c:v>6.634000000000001E-2</c:v>
                </c:pt>
                <c:pt idx="459">
                  <c:v>6.6475999999999993E-2</c:v>
                </c:pt>
                <c:pt idx="460">
                  <c:v>6.6615999999999995E-2</c:v>
                </c:pt>
                <c:pt idx="461">
                  <c:v>6.6755999999999996E-2</c:v>
                </c:pt>
                <c:pt idx="462">
                  <c:v>6.6896000000000011E-2</c:v>
                </c:pt>
                <c:pt idx="463">
                  <c:v>6.7033999999999996E-2</c:v>
                </c:pt>
                <c:pt idx="464">
                  <c:v>6.7171999999999996E-2</c:v>
                </c:pt>
                <c:pt idx="465">
                  <c:v>6.7309999999999995E-2</c:v>
                </c:pt>
                <c:pt idx="466">
                  <c:v>6.7447999999999994E-2</c:v>
                </c:pt>
                <c:pt idx="467">
                  <c:v>6.7587999999999995E-2</c:v>
                </c:pt>
                <c:pt idx="468">
                  <c:v>6.7727999999999997E-2</c:v>
                </c:pt>
                <c:pt idx="469">
                  <c:v>6.7865999999999996E-2</c:v>
                </c:pt>
                <c:pt idx="470">
                  <c:v>6.8003999999999995E-2</c:v>
                </c:pt>
                <c:pt idx="471">
                  <c:v>6.8143999999999996E-2</c:v>
                </c:pt>
                <c:pt idx="472">
                  <c:v>6.8281999999999995E-2</c:v>
                </c:pt>
                <c:pt idx="473">
                  <c:v>6.8421999999999997E-2</c:v>
                </c:pt>
                <c:pt idx="474">
                  <c:v>6.8561999999999998E-2</c:v>
                </c:pt>
                <c:pt idx="475">
                  <c:v>6.8701999999999999E-2</c:v>
                </c:pt>
                <c:pt idx="476">
                  <c:v>6.8837999999999996E-2</c:v>
                </c:pt>
                <c:pt idx="477">
                  <c:v>6.8975999999999996E-2</c:v>
                </c:pt>
                <c:pt idx="478">
                  <c:v>6.9143999999999997E-2</c:v>
                </c:pt>
                <c:pt idx="479">
                  <c:v>6.928200000000001E-2</c:v>
                </c:pt>
                <c:pt idx="480">
                  <c:v>6.9452E-2</c:v>
                </c:pt>
                <c:pt idx="481">
                  <c:v>6.9587999999999997E-2</c:v>
                </c:pt>
                <c:pt idx="482">
                  <c:v>6.9725999999999996E-2</c:v>
                </c:pt>
                <c:pt idx="483">
                  <c:v>6.9893999999999998E-2</c:v>
                </c:pt>
                <c:pt idx="484">
                  <c:v>7.0033999999999999E-2</c:v>
                </c:pt>
                <c:pt idx="485">
                  <c:v>7.0199999999999999E-2</c:v>
                </c:pt>
                <c:pt idx="486">
                  <c:v>7.0337999999999998E-2</c:v>
                </c:pt>
                <c:pt idx="487">
                  <c:v>7.0477999999999999E-2</c:v>
                </c:pt>
                <c:pt idx="488">
                  <c:v>7.0643999999999998E-2</c:v>
                </c:pt>
                <c:pt idx="489">
                  <c:v>7.0784E-2</c:v>
                </c:pt>
                <c:pt idx="490">
                  <c:v>7.0924000000000001E-2</c:v>
                </c:pt>
                <c:pt idx="491">
                  <c:v>7.1059999999999998E-2</c:v>
                </c:pt>
                <c:pt idx="492">
                  <c:v>7.1199999999999999E-2</c:v>
                </c:pt>
                <c:pt idx="493">
                  <c:v>7.1340000000000001E-2</c:v>
                </c:pt>
                <c:pt idx="494">
                  <c:v>7.1475999999999998E-2</c:v>
                </c:pt>
                <c:pt idx="495">
                  <c:v>7.1646000000000001E-2</c:v>
                </c:pt>
                <c:pt idx="496">
                  <c:v>7.1809999999999999E-2</c:v>
                </c:pt>
                <c:pt idx="497">
                  <c:v>7.1975999999999998E-2</c:v>
                </c:pt>
                <c:pt idx="498">
                  <c:v>7.2144E-2</c:v>
                </c:pt>
                <c:pt idx="499">
                  <c:v>7.2312000000000001E-2</c:v>
                </c:pt>
                <c:pt idx="500">
                  <c:v>7.2480000000000003E-2</c:v>
                </c:pt>
                <c:pt idx="501">
                  <c:v>7.2644E-2</c:v>
                </c:pt>
                <c:pt idx="502">
                  <c:v>7.2784000000000001E-2</c:v>
                </c:pt>
                <c:pt idx="503">
                  <c:v>7.2922000000000001E-2</c:v>
                </c:pt>
                <c:pt idx="504">
                  <c:v>7.3062000000000002E-2</c:v>
                </c:pt>
                <c:pt idx="505">
                  <c:v>7.3202000000000003E-2</c:v>
                </c:pt>
                <c:pt idx="506">
                  <c:v>7.3338E-2</c:v>
                </c:pt>
                <c:pt idx="507">
                  <c:v>7.3478000000000002E-2</c:v>
                </c:pt>
                <c:pt idx="508">
                  <c:v>7.3616000000000001E-2</c:v>
                </c:pt>
                <c:pt idx="509">
                  <c:v>7.3756000000000002E-2</c:v>
                </c:pt>
                <c:pt idx="510">
                  <c:v>7.3896000000000003E-2</c:v>
                </c:pt>
                <c:pt idx="511">
                  <c:v>7.4062000000000003E-2</c:v>
                </c:pt>
                <c:pt idx="512">
                  <c:v>7.4228000000000002E-2</c:v>
                </c:pt>
                <c:pt idx="513">
                  <c:v>7.4394000000000002E-2</c:v>
                </c:pt>
                <c:pt idx="514">
                  <c:v>7.4560000000000001E-2</c:v>
                </c:pt>
                <c:pt idx="515">
                  <c:v>7.4728000000000003E-2</c:v>
                </c:pt>
                <c:pt idx="516">
                  <c:v>7.4894000000000002E-2</c:v>
                </c:pt>
                <c:pt idx="517">
                  <c:v>7.5062000000000004E-2</c:v>
                </c:pt>
                <c:pt idx="518">
                  <c:v>7.5228000000000003E-2</c:v>
                </c:pt>
                <c:pt idx="519">
                  <c:v>7.5394000000000003E-2</c:v>
                </c:pt>
                <c:pt idx="520">
                  <c:v>7.556199999999999E-2</c:v>
                </c:pt>
                <c:pt idx="521">
                  <c:v>7.5726000000000002E-2</c:v>
                </c:pt>
                <c:pt idx="522">
                  <c:v>7.5894000000000003E-2</c:v>
                </c:pt>
                <c:pt idx="523">
                  <c:v>7.6062000000000005E-2</c:v>
                </c:pt>
                <c:pt idx="524">
                  <c:v>7.6228000000000004E-2</c:v>
                </c:pt>
                <c:pt idx="525">
                  <c:v>7.6395999999999992E-2</c:v>
                </c:pt>
                <c:pt idx="526">
                  <c:v>7.6560000000000003E-2</c:v>
                </c:pt>
                <c:pt idx="527">
                  <c:v>7.6726000000000003E-2</c:v>
                </c:pt>
                <c:pt idx="528">
                  <c:v>7.6894000000000004E-2</c:v>
                </c:pt>
                <c:pt idx="529">
                  <c:v>7.7060000000000003E-2</c:v>
                </c:pt>
                <c:pt idx="530">
                  <c:v>7.7226000000000003E-2</c:v>
                </c:pt>
                <c:pt idx="531">
                  <c:v>7.7394000000000004E-2</c:v>
                </c:pt>
                <c:pt idx="532">
                  <c:v>7.7560000000000004E-2</c:v>
                </c:pt>
                <c:pt idx="533">
                  <c:v>7.7728000000000005E-2</c:v>
                </c:pt>
                <c:pt idx="534">
                  <c:v>7.7896000000000007E-2</c:v>
                </c:pt>
                <c:pt idx="535">
                  <c:v>7.8061999999999993E-2</c:v>
                </c:pt>
                <c:pt idx="536">
                  <c:v>7.8228000000000006E-2</c:v>
                </c:pt>
                <c:pt idx="537">
                  <c:v>7.8422000000000006E-2</c:v>
                </c:pt>
                <c:pt idx="538">
                  <c:v>7.8616000000000005E-2</c:v>
                </c:pt>
                <c:pt idx="539">
                  <c:v>7.8810000000000005E-2</c:v>
                </c:pt>
                <c:pt idx="540">
                  <c:v>7.9005999999999993E-2</c:v>
                </c:pt>
                <c:pt idx="541">
                  <c:v>7.9199999999999993E-2</c:v>
                </c:pt>
                <c:pt idx="542">
                  <c:v>7.9396000000000008E-2</c:v>
                </c:pt>
                <c:pt idx="543">
                  <c:v>7.9588000000000006E-2</c:v>
                </c:pt>
                <c:pt idx="544">
                  <c:v>7.9783999999999994E-2</c:v>
                </c:pt>
                <c:pt idx="545">
                  <c:v>7.9977999999999994E-2</c:v>
                </c:pt>
                <c:pt idx="546">
                  <c:v>8.0172000000000007E-2</c:v>
                </c:pt>
                <c:pt idx="547">
                  <c:v>8.0364000000000005E-2</c:v>
                </c:pt>
                <c:pt idx="548">
                  <c:v>8.0559999999999993E-2</c:v>
                </c:pt>
                <c:pt idx="549">
                  <c:v>8.0755999999999994E-2</c:v>
                </c:pt>
                <c:pt idx="550">
                  <c:v>8.0950000000000008E-2</c:v>
                </c:pt>
                <c:pt idx="551">
                  <c:v>8.1143999999999994E-2</c:v>
                </c:pt>
                <c:pt idx="552">
                  <c:v>8.134000000000001E-2</c:v>
                </c:pt>
                <c:pt idx="553">
                  <c:v>8.1533999999999995E-2</c:v>
                </c:pt>
                <c:pt idx="554">
                  <c:v>8.1729999999999997E-2</c:v>
                </c:pt>
                <c:pt idx="555">
                  <c:v>8.1920000000000007E-2</c:v>
                </c:pt>
                <c:pt idx="556">
                  <c:v>8.2116000000000008E-2</c:v>
                </c:pt>
                <c:pt idx="557">
                  <c:v>8.2309999999999994E-2</c:v>
                </c:pt>
                <c:pt idx="558">
                  <c:v>8.250600000000001E-2</c:v>
                </c:pt>
                <c:pt idx="559">
                  <c:v>8.2699999999999996E-2</c:v>
                </c:pt>
                <c:pt idx="560">
                  <c:v>8.2894000000000009E-2</c:v>
                </c:pt>
                <c:pt idx="561">
                  <c:v>8.3089999999999997E-2</c:v>
                </c:pt>
                <c:pt idx="562">
                  <c:v>8.3283999999999997E-2</c:v>
                </c:pt>
                <c:pt idx="563">
                  <c:v>8.3477999999999997E-2</c:v>
                </c:pt>
                <c:pt idx="564">
                  <c:v>8.367200000000001E-2</c:v>
                </c:pt>
                <c:pt idx="565">
                  <c:v>8.3865999999999996E-2</c:v>
                </c:pt>
                <c:pt idx="566">
                  <c:v>8.4061999999999998E-2</c:v>
                </c:pt>
                <c:pt idx="567">
                  <c:v>8.428200000000001E-2</c:v>
                </c:pt>
                <c:pt idx="568">
                  <c:v>8.4503999999999996E-2</c:v>
                </c:pt>
                <c:pt idx="569">
                  <c:v>8.4700000000000011E-2</c:v>
                </c:pt>
                <c:pt idx="570">
                  <c:v>8.4893999999999997E-2</c:v>
                </c:pt>
                <c:pt idx="571">
                  <c:v>8.5088000000000011E-2</c:v>
                </c:pt>
                <c:pt idx="572">
                  <c:v>8.5283999999999999E-2</c:v>
                </c:pt>
                <c:pt idx="573">
                  <c:v>8.548E-2</c:v>
                </c:pt>
                <c:pt idx="574">
                  <c:v>8.5671999999999998E-2</c:v>
                </c:pt>
                <c:pt idx="575">
                  <c:v>8.5866000000000012E-2</c:v>
                </c:pt>
                <c:pt idx="576">
                  <c:v>8.609E-2</c:v>
                </c:pt>
                <c:pt idx="577">
                  <c:v>8.6312E-2</c:v>
                </c:pt>
                <c:pt idx="578">
                  <c:v>8.6531999999999998E-2</c:v>
                </c:pt>
                <c:pt idx="579">
                  <c:v>8.6756E-2</c:v>
                </c:pt>
                <c:pt idx="580">
                  <c:v>8.6975999999999998E-2</c:v>
                </c:pt>
                <c:pt idx="581">
                  <c:v>8.72E-2</c:v>
                </c:pt>
                <c:pt idx="582">
                  <c:v>8.7422E-2</c:v>
                </c:pt>
                <c:pt idx="583">
                  <c:v>8.7646000000000002E-2</c:v>
                </c:pt>
                <c:pt idx="584">
                  <c:v>8.7868000000000002E-2</c:v>
                </c:pt>
                <c:pt idx="585">
                  <c:v>8.8088E-2</c:v>
                </c:pt>
                <c:pt idx="586">
                  <c:v>8.831E-2</c:v>
                </c:pt>
                <c:pt idx="587">
                  <c:v>8.8532E-2</c:v>
                </c:pt>
                <c:pt idx="588">
                  <c:v>8.8754000000000013E-2</c:v>
                </c:pt>
                <c:pt idx="589">
                  <c:v>8.8978000000000002E-2</c:v>
                </c:pt>
                <c:pt idx="590">
                  <c:v>8.920199999999999E-2</c:v>
                </c:pt>
                <c:pt idx="591">
                  <c:v>8.942399999999999E-2</c:v>
                </c:pt>
                <c:pt idx="592">
                  <c:v>8.967E-2</c:v>
                </c:pt>
                <c:pt idx="593">
                  <c:v>8.9894000000000002E-2</c:v>
                </c:pt>
                <c:pt idx="594">
                  <c:v>9.011799999999999E-2</c:v>
                </c:pt>
                <c:pt idx="595">
                  <c:v>9.0337999999999988E-2</c:v>
                </c:pt>
                <c:pt idx="596">
                  <c:v>9.0562000000000004E-2</c:v>
                </c:pt>
                <c:pt idx="597">
                  <c:v>9.0810000000000002E-2</c:v>
                </c:pt>
                <c:pt idx="598">
                  <c:v>9.1060000000000002E-2</c:v>
                </c:pt>
                <c:pt idx="599">
                  <c:v>9.1310000000000002E-2</c:v>
                </c:pt>
                <c:pt idx="600">
                  <c:v>9.1562000000000004E-2</c:v>
                </c:pt>
                <c:pt idx="601">
                  <c:v>9.1812000000000005E-2</c:v>
                </c:pt>
                <c:pt idx="602">
                  <c:v>9.2059999999999989E-2</c:v>
                </c:pt>
                <c:pt idx="603">
                  <c:v>9.2311999999999991E-2</c:v>
                </c:pt>
                <c:pt idx="604">
                  <c:v>9.2560000000000003E-2</c:v>
                </c:pt>
                <c:pt idx="605">
                  <c:v>9.2812000000000006E-2</c:v>
                </c:pt>
                <c:pt idx="606">
                  <c:v>9.3062000000000006E-2</c:v>
                </c:pt>
                <c:pt idx="607">
                  <c:v>9.3312000000000006E-2</c:v>
                </c:pt>
                <c:pt idx="608">
                  <c:v>9.3561999999999992E-2</c:v>
                </c:pt>
                <c:pt idx="609">
                  <c:v>9.3810000000000004E-2</c:v>
                </c:pt>
                <c:pt idx="610">
                  <c:v>9.4062000000000007E-2</c:v>
                </c:pt>
                <c:pt idx="611">
                  <c:v>9.4309999999999991E-2</c:v>
                </c:pt>
                <c:pt idx="612">
                  <c:v>9.4562000000000007E-2</c:v>
                </c:pt>
                <c:pt idx="613">
                  <c:v>9.4811999999999994E-2</c:v>
                </c:pt>
                <c:pt idx="614">
                  <c:v>9.5060000000000006E-2</c:v>
                </c:pt>
                <c:pt idx="615">
                  <c:v>9.5312000000000008E-2</c:v>
                </c:pt>
                <c:pt idx="616">
                  <c:v>9.5562000000000008E-2</c:v>
                </c:pt>
                <c:pt idx="617">
                  <c:v>9.5809999999999992E-2</c:v>
                </c:pt>
                <c:pt idx="618">
                  <c:v>9.6061999999999995E-2</c:v>
                </c:pt>
                <c:pt idx="619">
                  <c:v>9.6340000000000009E-2</c:v>
                </c:pt>
                <c:pt idx="620">
                  <c:v>9.6615999999999994E-2</c:v>
                </c:pt>
                <c:pt idx="621">
                  <c:v>9.6893999999999994E-2</c:v>
                </c:pt>
                <c:pt idx="622">
                  <c:v>9.7173999999999996E-2</c:v>
                </c:pt>
                <c:pt idx="623">
                  <c:v>9.7449999999999995E-2</c:v>
                </c:pt>
                <c:pt idx="624">
                  <c:v>9.7727999999999995E-2</c:v>
                </c:pt>
                <c:pt idx="625">
                  <c:v>9.8005999999999996E-2</c:v>
                </c:pt>
                <c:pt idx="626">
                  <c:v>9.8282000000000008E-2</c:v>
                </c:pt>
                <c:pt idx="627">
                  <c:v>9.8559999999999995E-2</c:v>
                </c:pt>
                <c:pt idx="628">
                  <c:v>9.8838000000000009E-2</c:v>
                </c:pt>
                <c:pt idx="629">
                  <c:v>9.9115999999999996E-2</c:v>
                </c:pt>
                <c:pt idx="630">
                  <c:v>9.9423999999999998E-2</c:v>
                </c:pt>
                <c:pt idx="631">
                  <c:v>9.9727999999999997E-2</c:v>
                </c:pt>
                <c:pt idx="632">
                  <c:v>0.100034</c:v>
                </c:pt>
                <c:pt idx="633">
                  <c:v>0.100338</c:v>
                </c:pt>
                <c:pt idx="634">
                  <c:v>0.100644</c:v>
                </c:pt>
                <c:pt idx="635">
                  <c:v>0.10095000000000001</c:v>
                </c:pt>
                <c:pt idx="636">
                  <c:v>0.10125400000000001</c:v>
                </c:pt>
                <c:pt idx="637">
                  <c:v>0.10156000000000001</c:v>
                </c:pt>
                <c:pt idx="638">
                  <c:v>0.101866</c:v>
                </c:pt>
                <c:pt idx="639">
                  <c:v>0.102172</c:v>
                </c:pt>
                <c:pt idx="640">
                  <c:v>0.102478</c:v>
                </c:pt>
                <c:pt idx="641">
                  <c:v>0.102782</c:v>
                </c:pt>
                <c:pt idx="642">
                  <c:v>0.103088</c:v>
                </c:pt>
                <c:pt idx="643">
                  <c:v>0.103394</c:v>
                </c:pt>
                <c:pt idx="644">
                  <c:v>0.10369999999999999</c:v>
                </c:pt>
                <c:pt idx="645">
                  <c:v>0.104034</c:v>
                </c:pt>
                <c:pt idx="646">
                  <c:v>0.104366</c:v>
                </c:pt>
                <c:pt idx="647">
                  <c:v>0.104672</c:v>
                </c:pt>
                <c:pt idx="648">
                  <c:v>0.105006</c:v>
                </c:pt>
                <c:pt idx="649">
                  <c:v>0.10534</c:v>
                </c:pt>
                <c:pt idx="650">
                  <c:v>0.105672</c:v>
                </c:pt>
                <c:pt idx="651">
                  <c:v>0.106004</c:v>
                </c:pt>
                <c:pt idx="652">
                  <c:v>0.10634</c:v>
                </c:pt>
                <c:pt idx="653">
                  <c:v>0.10667199999999999</c:v>
                </c:pt>
                <c:pt idx="654">
                  <c:v>0.10700599999999999</c:v>
                </c:pt>
                <c:pt idx="655">
                  <c:v>0.107338</c:v>
                </c:pt>
                <c:pt idx="656">
                  <c:v>0.10770200000000001</c:v>
                </c:pt>
                <c:pt idx="657">
                  <c:v>0.10805999999999999</c:v>
                </c:pt>
                <c:pt idx="658">
                  <c:v>0.108422</c:v>
                </c:pt>
                <c:pt idx="659">
                  <c:v>0.10878199999999999</c:v>
                </c:pt>
                <c:pt idx="660">
                  <c:v>0.109144</c:v>
                </c:pt>
                <c:pt idx="661">
                  <c:v>0.10950599999999999</c:v>
                </c:pt>
                <c:pt idx="662">
                  <c:v>0.10986599999999999</c:v>
                </c:pt>
                <c:pt idx="663">
                  <c:v>0.11022800000000001</c:v>
                </c:pt>
                <c:pt idx="664">
                  <c:v>0.11058999999999999</c:v>
                </c:pt>
                <c:pt idx="665">
                  <c:v>0.11097799999999999</c:v>
                </c:pt>
                <c:pt idx="666">
                  <c:v>0.11136799999999999</c:v>
                </c:pt>
                <c:pt idx="667">
                  <c:v>0.11175599999999999</c:v>
                </c:pt>
                <c:pt idx="668">
                  <c:v>0.11214399999999999</c:v>
                </c:pt>
                <c:pt idx="669">
                  <c:v>0.112534</c:v>
                </c:pt>
                <c:pt idx="670">
                  <c:v>0.11292199999999999</c:v>
                </c:pt>
                <c:pt idx="671">
                  <c:v>0.113284</c:v>
                </c:pt>
                <c:pt idx="672">
                  <c:v>0.11367200000000001</c:v>
                </c:pt>
                <c:pt idx="673">
                  <c:v>0.114062</c:v>
                </c:pt>
                <c:pt idx="674">
                  <c:v>0.11445</c:v>
                </c:pt>
                <c:pt idx="675">
                  <c:v>0.11484</c:v>
                </c:pt>
                <c:pt idx="676">
                  <c:v>0.115228</c:v>
                </c:pt>
                <c:pt idx="677">
                  <c:v>0.115618</c:v>
                </c:pt>
                <c:pt idx="678">
                  <c:v>0.116006</c:v>
                </c:pt>
                <c:pt idx="679">
                  <c:v>0.11642200000000001</c:v>
                </c:pt>
                <c:pt idx="680">
                  <c:v>0.11684</c:v>
                </c:pt>
                <c:pt idx="681">
                  <c:v>0.11725400000000001</c:v>
                </c:pt>
                <c:pt idx="682">
                  <c:v>0.11767200000000001</c:v>
                </c:pt>
                <c:pt idx="683">
                  <c:v>0.118088</c:v>
                </c:pt>
                <c:pt idx="684">
                  <c:v>0.118506</c:v>
                </c:pt>
                <c:pt idx="685">
                  <c:v>0.11895</c:v>
                </c:pt>
                <c:pt idx="686">
                  <c:v>0.119396</c:v>
                </c:pt>
                <c:pt idx="687">
                  <c:v>0.119838</c:v>
                </c:pt>
                <c:pt idx="688">
                  <c:v>0.120284</c:v>
                </c:pt>
                <c:pt idx="689">
                  <c:v>0.120728</c:v>
                </c:pt>
                <c:pt idx="690">
                  <c:v>0.12119999999999999</c:v>
                </c:pt>
                <c:pt idx="691">
                  <c:v>0.121674</c:v>
                </c:pt>
                <c:pt idx="692">
                  <c:v>0.12214399999999999</c:v>
                </c:pt>
                <c:pt idx="693">
                  <c:v>0.122616</c:v>
                </c:pt>
                <c:pt idx="694">
                  <c:v>0.12308999999999999</c:v>
                </c:pt>
                <c:pt idx="695">
                  <c:v>0.12356</c:v>
                </c:pt>
                <c:pt idx="696">
                  <c:v>0.12403399999999999</c:v>
                </c:pt>
                <c:pt idx="697">
                  <c:v>0.124504</c:v>
                </c:pt>
                <c:pt idx="698">
                  <c:v>0.12497799999999999</c:v>
                </c:pt>
                <c:pt idx="699">
                  <c:v>0.12545000000000001</c:v>
                </c:pt>
                <c:pt idx="700">
                  <c:v>0.12595000000000001</c:v>
                </c:pt>
                <c:pt idx="701">
                  <c:v>0.12645000000000001</c:v>
                </c:pt>
                <c:pt idx="702">
                  <c:v>0.12695000000000001</c:v>
                </c:pt>
                <c:pt idx="703">
                  <c:v>0.12747800000000001</c:v>
                </c:pt>
                <c:pt idx="704">
                  <c:v>0.12800599999999998</c:v>
                </c:pt>
                <c:pt idx="705">
                  <c:v>0.12853199999999998</c:v>
                </c:pt>
                <c:pt idx="706">
                  <c:v>0.12909000000000001</c:v>
                </c:pt>
                <c:pt idx="707">
                  <c:v>0.12964399999999998</c:v>
                </c:pt>
                <c:pt idx="708">
                  <c:v>0.13019999999999998</c:v>
                </c:pt>
                <c:pt idx="709">
                  <c:v>0.13078400000000001</c:v>
                </c:pt>
                <c:pt idx="710">
                  <c:v>0.13136599999999998</c:v>
                </c:pt>
                <c:pt idx="711">
                  <c:v>0.13194800000000001</c:v>
                </c:pt>
                <c:pt idx="712">
                  <c:v>0.13258800000000001</c:v>
                </c:pt>
                <c:pt idx="713">
                  <c:v>0.13328400000000001</c:v>
                </c:pt>
              </c:numCache>
            </c:numRef>
          </c:cat>
          <c:val>
            <c:numRef>
              <c:f>'A11-4'!$F$2:$F$715</c:f>
              <c:numCache>
                <c:formatCode>0.00</c:formatCode>
                <c:ptCount val="714"/>
                <c:pt idx="0">
                  <c:v>3.8699197349980896E-3</c:v>
                </c:pt>
                <c:pt idx="1">
                  <c:v>0.12770735125493696</c:v>
                </c:pt>
                <c:pt idx="2">
                  <c:v>0.12770735125493696</c:v>
                </c:pt>
                <c:pt idx="3">
                  <c:v>0.12770735125493696</c:v>
                </c:pt>
                <c:pt idx="4">
                  <c:v>0.12770735125493696</c:v>
                </c:pt>
                <c:pt idx="5">
                  <c:v>0.12770735125493696</c:v>
                </c:pt>
                <c:pt idx="6">
                  <c:v>0.12770735125493696</c:v>
                </c:pt>
                <c:pt idx="7">
                  <c:v>0.12770735125493696</c:v>
                </c:pt>
                <c:pt idx="8">
                  <c:v>0.12770735125493696</c:v>
                </c:pt>
                <c:pt idx="9">
                  <c:v>0.12770735125493696</c:v>
                </c:pt>
                <c:pt idx="10">
                  <c:v>0.12770735125493696</c:v>
                </c:pt>
                <c:pt idx="11">
                  <c:v>0.12770735125493696</c:v>
                </c:pt>
                <c:pt idx="12">
                  <c:v>0.12770735125493696</c:v>
                </c:pt>
                <c:pt idx="13">
                  <c:v>0.12770735125493696</c:v>
                </c:pt>
                <c:pt idx="14">
                  <c:v>0.12770735125493696</c:v>
                </c:pt>
                <c:pt idx="15">
                  <c:v>0.12770735125493696</c:v>
                </c:pt>
                <c:pt idx="16">
                  <c:v>0.12770735125493696</c:v>
                </c:pt>
                <c:pt idx="17">
                  <c:v>0.12770735125493696</c:v>
                </c:pt>
                <c:pt idx="18">
                  <c:v>0.12770735125493696</c:v>
                </c:pt>
                <c:pt idx="19">
                  <c:v>0.12770735125493696</c:v>
                </c:pt>
                <c:pt idx="20">
                  <c:v>0.12770735125493696</c:v>
                </c:pt>
                <c:pt idx="21">
                  <c:v>0.12770735125493696</c:v>
                </c:pt>
                <c:pt idx="22">
                  <c:v>0.13157727098993505</c:v>
                </c:pt>
                <c:pt idx="23">
                  <c:v>0.13157727098993505</c:v>
                </c:pt>
                <c:pt idx="24">
                  <c:v>0.13157727098993505</c:v>
                </c:pt>
                <c:pt idx="25">
                  <c:v>0.13157727098993505</c:v>
                </c:pt>
                <c:pt idx="26">
                  <c:v>0.13157727098993505</c:v>
                </c:pt>
                <c:pt idx="27">
                  <c:v>0.13157727098993505</c:v>
                </c:pt>
                <c:pt idx="28">
                  <c:v>0.13157727098993505</c:v>
                </c:pt>
                <c:pt idx="29">
                  <c:v>0.13157727098993505</c:v>
                </c:pt>
                <c:pt idx="30">
                  <c:v>0.13157727098993505</c:v>
                </c:pt>
                <c:pt idx="31">
                  <c:v>0.13157727098993505</c:v>
                </c:pt>
                <c:pt idx="32">
                  <c:v>0.13157727098993505</c:v>
                </c:pt>
                <c:pt idx="33">
                  <c:v>0.13157727098993505</c:v>
                </c:pt>
                <c:pt idx="34">
                  <c:v>0.13157727098993505</c:v>
                </c:pt>
                <c:pt idx="35">
                  <c:v>0.13544719072493314</c:v>
                </c:pt>
                <c:pt idx="36">
                  <c:v>0.13544719072493314</c:v>
                </c:pt>
                <c:pt idx="37">
                  <c:v>0.13544719072493314</c:v>
                </c:pt>
                <c:pt idx="38">
                  <c:v>0.13544719072493314</c:v>
                </c:pt>
                <c:pt idx="39">
                  <c:v>0.13544719072493314</c:v>
                </c:pt>
                <c:pt idx="40">
                  <c:v>0.13544719072493314</c:v>
                </c:pt>
                <c:pt idx="41">
                  <c:v>0.13544719072493314</c:v>
                </c:pt>
                <c:pt idx="42">
                  <c:v>0.13544719072493314</c:v>
                </c:pt>
                <c:pt idx="43">
                  <c:v>0.13544719072493314</c:v>
                </c:pt>
                <c:pt idx="44">
                  <c:v>0.13157727098993505</c:v>
                </c:pt>
                <c:pt idx="45">
                  <c:v>0.13157727098993505</c:v>
                </c:pt>
                <c:pt idx="46">
                  <c:v>0.13157727098993505</c:v>
                </c:pt>
                <c:pt idx="47">
                  <c:v>0.13157727098993505</c:v>
                </c:pt>
                <c:pt idx="48">
                  <c:v>0.13157727098993505</c:v>
                </c:pt>
                <c:pt idx="49">
                  <c:v>0.13157727098993505</c:v>
                </c:pt>
                <c:pt idx="50">
                  <c:v>0.13157727098993505</c:v>
                </c:pt>
                <c:pt idx="51">
                  <c:v>0.13157727098993505</c:v>
                </c:pt>
                <c:pt idx="52">
                  <c:v>0.13157727098993505</c:v>
                </c:pt>
                <c:pt idx="53">
                  <c:v>0.13157727098993505</c:v>
                </c:pt>
                <c:pt idx="54">
                  <c:v>0.13157727098993505</c:v>
                </c:pt>
                <c:pt idx="55">
                  <c:v>0.13157727098993505</c:v>
                </c:pt>
                <c:pt idx="56">
                  <c:v>0.13544719072493314</c:v>
                </c:pt>
                <c:pt idx="57">
                  <c:v>0.13157727098993505</c:v>
                </c:pt>
                <c:pt idx="58">
                  <c:v>0.13157727098993505</c:v>
                </c:pt>
                <c:pt idx="59">
                  <c:v>0.13157727098993505</c:v>
                </c:pt>
                <c:pt idx="60">
                  <c:v>0.13544719072493314</c:v>
                </c:pt>
                <c:pt idx="61">
                  <c:v>0.13157727098993505</c:v>
                </c:pt>
                <c:pt idx="62">
                  <c:v>0.13544719072493314</c:v>
                </c:pt>
                <c:pt idx="63">
                  <c:v>0.13157727098993505</c:v>
                </c:pt>
                <c:pt idx="64">
                  <c:v>0.13157727098993505</c:v>
                </c:pt>
                <c:pt idx="65">
                  <c:v>0.13157727098993505</c:v>
                </c:pt>
                <c:pt idx="66">
                  <c:v>0.13544719072493314</c:v>
                </c:pt>
                <c:pt idx="67">
                  <c:v>0.13544719072493314</c:v>
                </c:pt>
                <c:pt idx="68">
                  <c:v>0.13544719072493314</c:v>
                </c:pt>
                <c:pt idx="69">
                  <c:v>0.13157727098993505</c:v>
                </c:pt>
                <c:pt idx="70">
                  <c:v>0.13157727098993505</c:v>
                </c:pt>
                <c:pt idx="71">
                  <c:v>0.13157727098993505</c:v>
                </c:pt>
                <c:pt idx="72">
                  <c:v>0.13157727098993505</c:v>
                </c:pt>
                <c:pt idx="73">
                  <c:v>0.13157727098993505</c:v>
                </c:pt>
                <c:pt idx="74">
                  <c:v>0.13157727098993505</c:v>
                </c:pt>
                <c:pt idx="75">
                  <c:v>0.13157727098993505</c:v>
                </c:pt>
                <c:pt idx="76">
                  <c:v>0.13157727098993505</c:v>
                </c:pt>
                <c:pt idx="77">
                  <c:v>0.13544719072493314</c:v>
                </c:pt>
                <c:pt idx="78">
                  <c:v>0.13544719072493314</c:v>
                </c:pt>
                <c:pt idx="79">
                  <c:v>0.13544719072493314</c:v>
                </c:pt>
                <c:pt idx="80">
                  <c:v>0.13544719072493314</c:v>
                </c:pt>
                <c:pt idx="81">
                  <c:v>0.13544719072493314</c:v>
                </c:pt>
                <c:pt idx="82">
                  <c:v>0.13544719072493314</c:v>
                </c:pt>
                <c:pt idx="83">
                  <c:v>0.13544719072493314</c:v>
                </c:pt>
                <c:pt idx="84">
                  <c:v>0.13544719072493314</c:v>
                </c:pt>
                <c:pt idx="85">
                  <c:v>0.13544719072493314</c:v>
                </c:pt>
                <c:pt idx="86">
                  <c:v>0.13544719072493314</c:v>
                </c:pt>
                <c:pt idx="87">
                  <c:v>0.13544719072493314</c:v>
                </c:pt>
                <c:pt idx="88">
                  <c:v>0.13544719072493314</c:v>
                </c:pt>
                <c:pt idx="89">
                  <c:v>0.13544719072493314</c:v>
                </c:pt>
                <c:pt idx="90">
                  <c:v>0.13544719072493314</c:v>
                </c:pt>
                <c:pt idx="91">
                  <c:v>0.13157727098993505</c:v>
                </c:pt>
                <c:pt idx="92">
                  <c:v>0.13157727098993505</c:v>
                </c:pt>
                <c:pt idx="93">
                  <c:v>0.13544719072493314</c:v>
                </c:pt>
                <c:pt idx="94">
                  <c:v>0.13544719072493314</c:v>
                </c:pt>
                <c:pt idx="95">
                  <c:v>0.13544719072493314</c:v>
                </c:pt>
                <c:pt idx="96">
                  <c:v>0.13157727098993505</c:v>
                </c:pt>
                <c:pt idx="97">
                  <c:v>0.13157727098993505</c:v>
                </c:pt>
                <c:pt idx="98">
                  <c:v>0.13157727098993505</c:v>
                </c:pt>
                <c:pt idx="99">
                  <c:v>0.13157727098993505</c:v>
                </c:pt>
                <c:pt idx="100">
                  <c:v>0.13157727098993505</c:v>
                </c:pt>
                <c:pt idx="101">
                  <c:v>0.13157727098993505</c:v>
                </c:pt>
                <c:pt idx="102">
                  <c:v>0.13544719072493314</c:v>
                </c:pt>
                <c:pt idx="103">
                  <c:v>0.13544719072493314</c:v>
                </c:pt>
                <c:pt idx="104">
                  <c:v>0.13544719072493314</c:v>
                </c:pt>
                <c:pt idx="105">
                  <c:v>0.13544719072493314</c:v>
                </c:pt>
                <c:pt idx="106">
                  <c:v>0.13931711045993123</c:v>
                </c:pt>
                <c:pt idx="107">
                  <c:v>0.13931711045993123</c:v>
                </c:pt>
                <c:pt idx="108">
                  <c:v>0.13931711045993123</c:v>
                </c:pt>
                <c:pt idx="109">
                  <c:v>0.13931711045993123</c:v>
                </c:pt>
                <c:pt idx="110">
                  <c:v>0.13931711045993123</c:v>
                </c:pt>
                <c:pt idx="111">
                  <c:v>0.14318703019492932</c:v>
                </c:pt>
                <c:pt idx="112">
                  <c:v>0.14318703019492932</c:v>
                </c:pt>
                <c:pt idx="113">
                  <c:v>0.14705694992992738</c:v>
                </c:pt>
                <c:pt idx="114">
                  <c:v>0.14705694992992738</c:v>
                </c:pt>
                <c:pt idx="115">
                  <c:v>0.14705694992992738</c:v>
                </c:pt>
                <c:pt idx="116">
                  <c:v>0.14705694992992738</c:v>
                </c:pt>
                <c:pt idx="117">
                  <c:v>0.14705694992992738</c:v>
                </c:pt>
                <c:pt idx="118">
                  <c:v>0.14705694992992738</c:v>
                </c:pt>
                <c:pt idx="119">
                  <c:v>0.15092686966492547</c:v>
                </c:pt>
                <c:pt idx="120">
                  <c:v>0.15479678939992358</c:v>
                </c:pt>
                <c:pt idx="121">
                  <c:v>0.16253662886991974</c:v>
                </c:pt>
                <c:pt idx="122">
                  <c:v>0.15866670913492167</c:v>
                </c:pt>
                <c:pt idx="123">
                  <c:v>0.15866670913492167</c:v>
                </c:pt>
                <c:pt idx="124">
                  <c:v>0.15866670913492167</c:v>
                </c:pt>
                <c:pt idx="125">
                  <c:v>0.15866670913492167</c:v>
                </c:pt>
                <c:pt idx="126">
                  <c:v>0.15866670913492167</c:v>
                </c:pt>
                <c:pt idx="127">
                  <c:v>0.15866670913492167</c:v>
                </c:pt>
                <c:pt idx="128">
                  <c:v>0.15866670913492167</c:v>
                </c:pt>
                <c:pt idx="129">
                  <c:v>0.16253662886991974</c:v>
                </c:pt>
                <c:pt idx="130">
                  <c:v>0.17801403272482391</c:v>
                </c:pt>
                <c:pt idx="131">
                  <c:v>0.18962379192981821</c:v>
                </c:pt>
                <c:pt idx="132">
                  <c:v>0.20123355113481248</c:v>
                </c:pt>
                <c:pt idx="133">
                  <c:v>0.20897339060480863</c:v>
                </c:pt>
                <c:pt idx="134">
                  <c:v>0.21284331033980672</c:v>
                </c:pt>
                <c:pt idx="135">
                  <c:v>0.21284331033980672</c:v>
                </c:pt>
                <c:pt idx="136">
                  <c:v>0.21284331033980672</c:v>
                </c:pt>
                <c:pt idx="137">
                  <c:v>0.21284331033980672</c:v>
                </c:pt>
                <c:pt idx="138">
                  <c:v>0.21284331033980672</c:v>
                </c:pt>
                <c:pt idx="139">
                  <c:v>0.21284331033980672</c:v>
                </c:pt>
                <c:pt idx="140">
                  <c:v>0.21284331033980672</c:v>
                </c:pt>
                <c:pt idx="141">
                  <c:v>0.21284331033980672</c:v>
                </c:pt>
                <c:pt idx="142">
                  <c:v>0.21284331033980672</c:v>
                </c:pt>
                <c:pt idx="143">
                  <c:v>0.21284331033980672</c:v>
                </c:pt>
                <c:pt idx="144">
                  <c:v>0.21284331033980672</c:v>
                </c:pt>
                <c:pt idx="145">
                  <c:v>0.21284331033980672</c:v>
                </c:pt>
                <c:pt idx="146">
                  <c:v>0.21284331033980672</c:v>
                </c:pt>
                <c:pt idx="147">
                  <c:v>0.21284331033980672</c:v>
                </c:pt>
                <c:pt idx="148">
                  <c:v>0.21284331033980672</c:v>
                </c:pt>
                <c:pt idx="149">
                  <c:v>0.21284331033980672</c:v>
                </c:pt>
                <c:pt idx="150">
                  <c:v>0.21671323007480481</c:v>
                </c:pt>
                <c:pt idx="151">
                  <c:v>0.21671323007480481</c:v>
                </c:pt>
                <c:pt idx="152">
                  <c:v>0.21671323007480481</c:v>
                </c:pt>
                <c:pt idx="153">
                  <c:v>0.21671323007480481</c:v>
                </c:pt>
                <c:pt idx="154">
                  <c:v>0.22832753944997544</c:v>
                </c:pt>
                <c:pt idx="155">
                  <c:v>0.24379811804961507</c:v>
                </c:pt>
                <c:pt idx="156">
                  <c:v>0.25542380285022664</c:v>
                </c:pt>
                <c:pt idx="157">
                  <c:v>0.25929144750013655</c:v>
                </c:pt>
                <c:pt idx="158">
                  <c:v>0.26315909215004646</c:v>
                </c:pt>
                <c:pt idx="159">
                  <c:v>0.26315909215004646</c:v>
                </c:pt>
                <c:pt idx="160">
                  <c:v>0.26315909215004646</c:v>
                </c:pt>
                <c:pt idx="161">
                  <c:v>0.26315909215004646</c:v>
                </c:pt>
                <c:pt idx="162">
                  <c:v>0.26315909215004646</c:v>
                </c:pt>
                <c:pt idx="163">
                  <c:v>0.26315909215004646</c:v>
                </c:pt>
                <c:pt idx="164">
                  <c:v>0.26315909215004646</c:v>
                </c:pt>
                <c:pt idx="165">
                  <c:v>0.26315909215004646</c:v>
                </c:pt>
                <c:pt idx="166">
                  <c:v>0.26315909215004646</c:v>
                </c:pt>
                <c:pt idx="167">
                  <c:v>0.26315909215004646</c:v>
                </c:pt>
                <c:pt idx="168">
                  <c:v>0.26315909215004646</c:v>
                </c:pt>
                <c:pt idx="169">
                  <c:v>0.26315909215004646</c:v>
                </c:pt>
                <c:pt idx="170">
                  <c:v>0.26315909215004646</c:v>
                </c:pt>
                <c:pt idx="171">
                  <c:v>0.26702673679995637</c:v>
                </c:pt>
                <c:pt idx="172">
                  <c:v>0.26315909215004646</c:v>
                </c:pt>
                <c:pt idx="173">
                  <c:v>0.26702673679995637</c:v>
                </c:pt>
                <c:pt idx="174">
                  <c:v>0.26315909215004646</c:v>
                </c:pt>
                <c:pt idx="175">
                  <c:v>0.26702673679995637</c:v>
                </c:pt>
                <c:pt idx="176">
                  <c:v>0.26702673679995637</c:v>
                </c:pt>
                <c:pt idx="177">
                  <c:v>0.26702673679995637</c:v>
                </c:pt>
                <c:pt idx="178">
                  <c:v>0.26702673679995637</c:v>
                </c:pt>
                <c:pt idx="179">
                  <c:v>0.26702673679995637</c:v>
                </c:pt>
                <c:pt idx="180">
                  <c:v>0.27089438144986627</c:v>
                </c:pt>
                <c:pt idx="181">
                  <c:v>0.27089438144986627</c:v>
                </c:pt>
                <c:pt idx="182">
                  <c:v>0.27089438144986627</c:v>
                </c:pt>
                <c:pt idx="183">
                  <c:v>0.27476202609977612</c:v>
                </c:pt>
                <c:pt idx="184">
                  <c:v>0.27476202609977612</c:v>
                </c:pt>
                <c:pt idx="185">
                  <c:v>0.27476202609977612</c:v>
                </c:pt>
                <c:pt idx="186">
                  <c:v>0.27862967074968609</c:v>
                </c:pt>
                <c:pt idx="187">
                  <c:v>0.27862967074968609</c:v>
                </c:pt>
                <c:pt idx="188">
                  <c:v>0.27862967074968609</c:v>
                </c:pt>
                <c:pt idx="189">
                  <c:v>0.28249731539959599</c:v>
                </c:pt>
                <c:pt idx="190">
                  <c:v>0.28249731539959599</c:v>
                </c:pt>
                <c:pt idx="191">
                  <c:v>0.28636496004950585</c:v>
                </c:pt>
                <c:pt idx="192">
                  <c:v>0.29023260469941581</c:v>
                </c:pt>
                <c:pt idx="193">
                  <c:v>0.30185828950002735</c:v>
                </c:pt>
                <c:pt idx="194">
                  <c:v>0.31346122344975708</c:v>
                </c:pt>
                <c:pt idx="195">
                  <c:v>0.32893180204939665</c:v>
                </c:pt>
                <c:pt idx="196">
                  <c:v>0.3444251314999181</c:v>
                </c:pt>
                <c:pt idx="197">
                  <c:v>0.35602806544964782</c:v>
                </c:pt>
                <c:pt idx="198">
                  <c:v>0.36376335474946769</c:v>
                </c:pt>
                <c:pt idx="199">
                  <c:v>0.36763099939937754</c:v>
                </c:pt>
                <c:pt idx="200">
                  <c:v>0.37538903955007918</c:v>
                </c:pt>
                <c:pt idx="201">
                  <c:v>0.38312432884989905</c:v>
                </c:pt>
                <c:pt idx="202">
                  <c:v>0.39085961814971887</c:v>
                </c:pt>
                <c:pt idx="203">
                  <c:v>0.40246255209944864</c:v>
                </c:pt>
                <c:pt idx="204">
                  <c:v>0.41408823690006014</c:v>
                </c:pt>
                <c:pt idx="205">
                  <c:v>0.4256911708497898</c:v>
                </c:pt>
                <c:pt idx="206">
                  <c:v>0.44116174944942943</c:v>
                </c:pt>
                <c:pt idx="207">
                  <c:v>0.45278743425004103</c:v>
                </c:pt>
                <c:pt idx="208">
                  <c:v>0.4643903681997707</c:v>
                </c:pt>
                <c:pt idx="209">
                  <c:v>0.47212565749959051</c:v>
                </c:pt>
                <c:pt idx="210">
                  <c:v>0.48759623609923014</c:v>
                </c:pt>
                <c:pt idx="211">
                  <c:v>0.49922192089984174</c:v>
                </c:pt>
                <c:pt idx="212">
                  <c:v>0.51082485484957141</c:v>
                </c:pt>
                <c:pt idx="213">
                  <c:v>0.52629543344921104</c:v>
                </c:pt>
                <c:pt idx="214">
                  <c:v>0.54178876289973255</c:v>
                </c:pt>
                <c:pt idx="215">
                  <c:v>0.55725934149937217</c:v>
                </c:pt>
                <c:pt idx="216">
                  <c:v>0.57275267094989368</c:v>
                </c:pt>
                <c:pt idx="217">
                  <c:v>0.5882232495495332</c:v>
                </c:pt>
                <c:pt idx="218">
                  <c:v>0.60369382814917283</c:v>
                </c:pt>
                <c:pt idx="219">
                  <c:v>0.61918715759969434</c:v>
                </c:pt>
                <c:pt idx="220">
                  <c:v>0.63465773619933397</c:v>
                </c:pt>
                <c:pt idx="221">
                  <c:v>0.65015106564985536</c:v>
                </c:pt>
                <c:pt idx="222">
                  <c:v>0.66562164424949499</c:v>
                </c:pt>
                <c:pt idx="223">
                  <c:v>0.68109222284913473</c:v>
                </c:pt>
                <c:pt idx="224">
                  <c:v>0.69658555229965613</c:v>
                </c:pt>
                <c:pt idx="225">
                  <c:v>0.71205613089929565</c:v>
                </c:pt>
                <c:pt idx="226">
                  <c:v>0.72754946034981716</c:v>
                </c:pt>
                <c:pt idx="227">
                  <c:v>0.74302003894945678</c:v>
                </c:pt>
                <c:pt idx="228">
                  <c:v>0.75849061754909641</c:v>
                </c:pt>
                <c:pt idx="229">
                  <c:v>0.77398394699961792</c:v>
                </c:pt>
                <c:pt idx="230">
                  <c:v>0.78945452559925755</c:v>
                </c:pt>
                <c:pt idx="231">
                  <c:v>0.80494785504977895</c:v>
                </c:pt>
                <c:pt idx="232">
                  <c:v>0.82041843364941869</c:v>
                </c:pt>
                <c:pt idx="233">
                  <c:v>0.83588901224905821</c:v>
                </c:pt>
                <c:pt idx="234">
                  <c:v>0.8513823416995796</c:v>
                </c:pt>
                <c:pt idx="235">
                  <c:v>0.86685292029921923</c:v>
                </c:pt>
                <c:pt idx="236">
                  <c:v>0.88234624974974085</c:v>
                </c:pt>
                <c:pt idx="237">
                  <c:v>0.89781682834938037</c:v>
                </c:pt>
                <c:pt idx="238">
                  <c:v>0.91328740694902</c:v>
                </c:pt>
                <c:pt idx="239">
                  <c:v>0.9287807363995414</c:v>
                </c:pt>
                <c:pt idx="240">
                  <c:v>0.94425131499918102</c:v>
                </c:pt>
                <c:pt idx="241">
                  <c:v>0.95974464444970253</c:v>
                </c:pt>
                <c:pt idx="242">
                  <c:v>0.97521522304934227</c:v>
                </c:pt>
                <c:pt idx="243">
                  <c:v>0.9906858016489819</c:v>
                </c:pt>
                <c:pt idx="244">
                  <c:v>1.0061791310995032</c:v>
                </c:pt>
                <c:pt idx="245">
                  <c:v>1.0216497096991428</c:v>
                </c:pt>
                <c:pt idx="246">
                  <c:v>1.0371202882987824</c:v>
                </c:pt>
                <c:pt idx="247">
                  <c:v>1.052613617749304</c:v>
                </c:pt>
                <c:pt idx="248">
                  <c:v>1.0680841963489438</c:v>
                </c:pt>
                <c:pt idx="249">
                  <c:v>1.0835775257994651</c:v>
                </c:pt>
                <c:pt idx="250">
                  <c:v>1.0990481043991045</c:v>
                </c:pt>
                <c:pt idx="251">
                  <c:v>1.1145186829987443</c:v>
                </c:pt>
                <c:pt idx="252">
                  <c:v>1.1300120124492656</c:v>
                </c:pt>
                <c:pt idx="253">
                  <c:v>1.1454825910489055</c:v>
                </c:pt>
                <c:pt idx="254">
                  <c:v>1.1609759204994268</c:v>
                </c:pt>
                <c:pt idx="255">
                  <c:v>1.1764464990990664</c:v>
                </c:pt>
                <c:pt idx="256">
                  <c:v>1.1919170776987063</c:v>
                </c:pt>
                <c:pt idx="257">
                  <c:v>1.2074104071492275</c:v>
                </c:pt>
                <c:pt idx="258">
                  <c:v>1.2228809857488669</c:v>
                </c:pt>
                <c:pt idx="259">
                  <c:v>1.2383743151993887</c:v>
                </c:pt>
                <c:pt idx="260">
                  <c:v>1.2538448937990283</c:v>
                </c:pt>
                <c:pt idx="261">
                  <c:v>1.2693154723986679</c:v>
                </c:pt>
                <c:pt idx="262">
                  <c:v>1.2848088018491892</c:v>
                </c:pt>
                <c:pt idx="263">
                  <c:v>1.3002793804488288</c:v>
                </c:pt>
                <c:pt idx="264">
                  <c:v>1.3157727098993506</c:v>
                </c:pt>
                <c:pt idx="265">
                  <c:v>1.33124328849899</c:v>
                </c:pt>
                <c:pt idx="266">
                  <c:v>1.3467138670986296</c:v>
                </c:pt>
                <c:pt idx="267">
                  <c:v>1.3622071965491511</c:v>
                </c:pt>
                <c:pt idx="268">
                  <c:v>1.3815454197987007</c:v>
                </c:pt>
                <c:pt idx="269">
                  <c:v>1.397038749249222</c:v>
                </c:pt>
                <c:pt idx="270">
                  <c:v>1.4125093278488616</c:v>
                </c:pt>
                <c:pt idx="271">
                  <c:v>1.4279799064485015</c:v>
                </c:pt>
                <c:pt idx="272">
                  <c:v>1.4434732358990228</c:v>
                </c:pt>
                <c:pt idx="273">
                  <c:v>1.4589438144986622</c:v>
                </c:pt>
                <c:pt idx="274">
                  <c:v>1.4744371439491841</c:v>
                </c:pt>
                <c:pt idx="275">
                  <c:v>1.4899077225488235</c:v>
                </c:pt>
                <c:pt idx="276">
                  <c:v>1.5053783011484634</c:v>
                </c:pt>
                <c:pt idx="277">
                  <c:v>1.5208716305989847</c:v>
                </c:pt>
                <c:pt idx="278">
                  <c:v>1.5402098538485343</c:v>
                </c:pt>
                <c:pt idx="279">
                  <c:v>1.5557031832990555</c:v>
                </c:pt>
                <c:pt idx="280">
                  <c:v>1.5711737618986952</c:v>
                </c:pt>
                <c:pt idx="281">
                  <c:v>1.5866670913492167</c:v>
                </c:pt>
                <c:pt idx="282">
                  <c:v>1.6060053145987661</c:v>
                </c:pt>
                <c:pt idx="283">
                  <c:v>1.6214758931984059</c:v>
                </c:pt>
                <c:pt idx="284">
                  <c:v>1.6369692226489272</c:v>
                </c:pt>
                <c:pt idx="285">
                  <c:v>1.652439801248567</c:v>
                </c:pt>
                <c:pt idx="286">
                  <c:v>1.6718007753489983</c:v>
                </c:pt>
                <c:pt idx="287">
                  <c:v>1.6872713539486379</c:v>
                </c:pt>
                <c:pt idx="288">
                  <c:v>1.7027419325482775</c:v>
                </c:pt>
                <c:pt idx="289">
                  <c:v>1.7182352619987988</c:v>
                </c:pt>
                <c:pt idx="290">
                  <c:v>1.7375734852483484</c:v>
                </c:pt>
                <c:pt idx="291">
                  <c:v>1.7569344593487799</c:v>
                </c:pt>
                <c:pt idx="292">
                  <c:v>1.7762726825983295</c:v>
                </c:pt>
                <c:pt idx="293">
                  <c:v>1.791766012048851</c:v>
                </c:pt>
                <c:pt idx="294">
                  <c:v>1.8072365906484906</c:v>
                </c:pt>
                <c:pt idx="295">
                  <c:v>1.8227299200990121</c:v>
                </c:pt>
                <c:pt idx="296">
                  <c:v>1.8382004986986515</c:v>
                </c:pt>
                <c:pt idx="297">
                  <c:v>1.8536710772982912</c:v>
                </c:pt>
                <c:pt idx="298">
                  <c:v>1.8730320513987226</c:v>
                </c:pt>
                <c:pt idx="299">
                  <c:v>1.888502629998362</c:v>
                </c:pt>
                <c:pt idx="300">
                  <c:v>1.9039959594488836</c:v>
                </c:pt>
                <c:pt idx="301">
                  <c:v>1.9194665380485232</c:v>
                </c:pt>
                <c:pt idx="302">
                  <c:v>1.9349371166481633</c:v>
                </c:pt>
                <c:pt idx="303">
                  <c:v>1.9504304460986845</c:v>
                </c:pt>
                <c:pt idx="304">
                  <c:v>1.9697686693482339</c:v>
                </c:pt>
                <c:pt idx="305">
                  <c:v>1.9852619987987552</c:v>
                </c:pt>
                <c:pt idx="306">
                  <c:v>2.0007325773983951</c:v>
                </c:pt>
                <c:pt idx="307">
                  <c:v>2.0162031559980345</c:v>
                </c:pt>
                <c:pt idx="308">
                  <c:v>2.0316964854485562</c:v>
                </c:pt>
                <c:pt idx="309">
                  <c:v>2.0471670640481956</c:v>
                </c:pt>
                <c:pt idx="310">
                  <c:v>2.0665280381486268</c:v>
                </c:pt>
                <c:pt idx="311">
                  <c:v>2.0819986167482667</c:v>
                </c:pt>
                <c:pt idx="312">
                  <c:v>2.097491946198788</c:v>
                </c:pt>
                <c:pt idx="313">
                  <c:v>2.1129625247984278</c:v>
                </c:pt>
                <c:pt idx="314">
                  <c:v>2.1284331033980672</c:v>
                </c:pt>
                <c:pt idx="315">
                  <c:v>2.143926432848589</c:v>
                </c:pt>
                <c:pt idx="316">
                  <c:v>2.1632646560981379</c:v>
                </c:pt>
                <c:pt idx="317">
                  <c:v>2.1787579855486601</c:v>
                </c:pt>
                <c:pt idx="318">
                  <c:v>2.1942285641482995</c:v>
                </c:pt>
                <c:pt idx="319">
                  <c:v>2.2135895382487307</c:v>
                </c:pt>
                <c:pt idx="320">
                  <c:v>2.2290601168483706</c:v>
                </c:pt>
                <c:pt idx="321">
                  <c:v>2.24453069544801</c:v>
                </c:pt>
                <c:pt idx="322">
                  <c:v>2.2600240248985313</c:v>
                </c:pt>
                <c:pt idx="323">
                  <c:v>2.2794077498498448</c:v>
                </c:pt>
                <c:pt idx="324">
                  <c:v>2.2948783284494843</c:v>
                </c:pt>
                <c:pt idx="325">
                  <c:v>2.3103489070491241</c:v>
                </c:pt>
                <c:pt idx="326">
                  <c:v>2.325819485648764</c:v>
                </c:pt>
                <c:pt idx="327">
                  <c:v>2.3412900642484029</c:v>
                </c:pt>
                <c:pt idx="328">
                  <c:v>2.3606282874979532</c:v>
                </c:pt>
                <c:pt idx="329">
                  <c:v>2.3760988660975921</c:v>
                </c:pt>
                <c:pt idx="330">
                  <c:v>2.3954370893471424</c:v>
                </c:pt>
                <c:pt idx="331">
                  <c:v>2.4109076679467814</c:v>
                </c:pt>
                <c:pt idx="332">
                  <c:v>2.4302458911963312</c:v>
                </c:pt>
                <c:pt idx="333">
                  <c:v>2.4457164697959706</c:v>
                </c:pt>
                <c:pt idx="334">
                  <c:v>2.4650546930455204</c:v>
                </c:pt>
                <c:pt idx="335">
                  <c:v>2.4843929162950698</c:v>
                </c:pt>
                <c:pt idx="336">
                  <c:v>2.4998634948947096</c:v>
                </c:pt>
                <c:pt idx="337">
                  <c:v>2.519201718144259</c:v>
                </c:pt>
                <c:pt idx="338">
                  <c:v>2.5385399413938083</c:v>
                </c:pt>
                <c:pt idx="339">
                  <c:v>2.5542380285022666</c:v>
                </c:pt>
                <c:pt idx="340">
                  <c:v>2.5735762517518159</c:v>
                </c:pt>
                <c:pt idx="341">
                  <c:v>2.5929144750013653</c:v>
                </c:pt>
                <c:pt idx="342">
                  <c:v>2.6083850536010051</c:v>
                </c:pt>
                <c:pt idx="343">
                  <c:v>2.623855632200645</c:v>
                </c:pt>
                <c:pt idx="344">
                  <c:v>2.6393262108002844</c:v>
                </c:pt>
                <c:pt idx="345">
                  <c:v>2.6586644340498342</c:v>
                </c:pt>
                <c:pt idx="346">
                  <c:v>2.6780026572993831</c:v>
                </c:pt>
                <c:pt idx="347">
                  <c:v>2.6934732358990234</c:v>
                </c:pt>
                <c:pt idx="348">
                  <c:v>2.7089438144986624</c:v>
                </c:pt>
                <c:pt idx="349">
                  <c:v>2.7282820377482122</c:v>
                </c:pt>
                <c:pt idx="350">
                  <c:v>2.7437526163478516</c:v>
                </c:pt>
                <c:pt idx="351">
                  <c:v>2.7630908395974014</c:v>
                </c:pt>
                <c:pt idx="352">
                  <c:v>2.7824290628469508</c:v>
                </c:pt>
                <c:pt idx="353">
                  <c:v>2.8017672860965006</c:v>
                </c:pt>
                <c:pt idx="354">
                  <c:v>2.81723786469614</c:v>
                </c:pt>
                <c:pt idx="355">
                  <c:v>2.8327084432957794</c:v>
                </c:pt>
                <c:pt idx="356">
                  <c:v>2.8481790218954193</c:v>
                </c:pt>
                <c:pt idx="357">
                  <c:v>2.8675172451449686</c:v>
                </c:pt>
                <c:pt idx="358">
                  <c:v>2.8868554683945185</c:v>
                </c:pt>
                <c:pt idx="359">
                  <c:v>2.9023260469941579</c:v>
                </c:pt>
                <c:pt idx="360">
                  <c:v>2.9216642702437072</c:v>
                </c:pt>
                <c:pt idx="361">
                  <c:v>2.9412300020020754</c:v>
                </c:pt>
                <c:pt idx="362">
                  <c:v>2.9605682252516248</c:v>
                </c:pt>
                <c:pt idx="363">
                  <c:v>2.9760388038512646</c:v>
                </c:pt>
                <c:pt idx="364">
                  <c:v>3.0031123164006335</c:v>
                </c:pt>
                <c:pt idx="365">
                  <c:v>3.0263181843000933</c:v>
                </c:pt>
                <c:pt idx="366">
                  <c:v>3.0533916968494625</c:v>
                </c:pt>
                <c:pt idx="367">
                  <c:v>3.0765975647489219</c:v>
                </c:pt>
                <c:pt idx="368">
                  <c:v>3.1036710772982912</c:v>
                </c:pt>
                <c:pt idx="369">
                  <c:v>3.1307445898476609</c:v>
                </c:pt>
                <c:pt idx="370">
                  <c:v>3.1539504577471198</c:v>
                </c:pt>
                <c:pt idx="371">
                  <c:v>3.1810239702964895</c:v>
                </c:pt>
                <c:pt idx="372">
                  <c:v>3.2042298381959489</c:v>
                </c:pt>
                <c:pt idx="373">
                  <c:v>3.2274357060954086</c:v>
                </c:pt>
                <c:pt idx="374">
                  <c:v>3.250641573994868</c:v>
                </c:pt>
                <c:pt idx="375">
                  <c:v>3.2777150865442373</c:v>
                </c:pt>
                <c:pt idx="376">
                  <c:v>3.3047885990936061</c:v>
                </c:pt>
                <c:pt idx="377">
                  <c:v>3.3320896201517947</c:v>
                </c:pt>
                <c:pt idx="378">
                  <c:v>3.3591631327011635</c:v>
                </c:pt>
                <c:pt idx="379">
                  <c:v>3.3862366452505328</c:v>
                </c:pt>
                <c:pt idx="380">
                  <c:v>3.4133101577999025</c:v>
                </c:pt>
                <c:pt idx="381">
                  <c:v>3.4403836703492714</c:v>
                </c:pt>
                <c:pt idx="382">
                  <c:v>3.4635895382487312</c:v>
                </c:pt>
                <c:pt idx="383">
                  <c:v>3.4906630507981005</c:v>
                </c:pt>
                <c:pt idx="384">
                  <c:v>3.5138689186975598</c:v>
                </c:pt>
                <c:pt idx="385">
                  <c:v>3.5409424312469291</c:v>
                </c:pt>
                <c:pt idx="386">
                  <c:v>3.5641482991463889</c:v>
                </c:pt>
                <c:pt idx="387">
                  <c:v>3.5912218116957577</c:v>
                </c:pt>
                <c:pt idx="388">
                  <c:v>3.6144276795952175</c:v>
                </c:pt>
                <c:pt idx="389">
                  <c:v>3.6415011921445868</c:v>
                </c:pt>
                <c:pt idx="390">
                  <c:v>3.6647070600440466</c:v>
                </c:pt>
                <c:pt idx="391">
                  <c:v>3.6879129279435054</c:v>
                </c:pt>
                <c:pt idx="392">
                  <c:v>3.7149864404928747</c:v>
                </c:pt>
                <c:pt idx="393">
                  <c:v>3.7384198169011524</c:v>
                </c:pt>
                <c:pt idx="394">
                  <c:v>3.7654933294505217</c:v>
                </c:pt>
                <c:pt idx="395">
                  <c:v>3.7886991973499815</c:v>
                </c:pt>
                <c:pt idx="396">
                  <c:v>3.8157727098993504</c:v>
                </c:pt>
                <c:pt idx="397">
                  <c:v>3.8389785777988101</c:v>
                </c:pt>
                <c:pt idx="398">
                  <c:v>3.8660520903481799</c:v>
                </c:pt>
                <c:pt idx="399">
                  <c:v>3.8892579582476388</c:v>
                </c:pt>
                <c:pt idx="400">
                  <c:v>3.9124638261470985</c:v>
                </c:pt>
                <c:pt idx="401">
                  <c:v>3.9356696940465579</c:v>
                </c:pt>
                <c:pt idx="402">
                  <c:v>3.9588755619460172</c:v>
                </c:pt>
                <c:pt idx="403">
                  <c:v>3.9859490744953865</c:v>
                </c:pt>
                <c:pt idx="404">
                  <c:v>4.0207578763445753</c:v>
                </c:pt>
                <c:pt idx="405">
                  <c:v>4.0516990335438559</c:v>
                </c:pt>
                <c:pt idx="406">
                  <c:v>4.0826401907431338</c:v>
                </c:pt>
                <c:pt idx="407">
                  <c:v>4.1138088564512314</c:v>
                </c:pt>
                <c:pt idx="408">
                  <c:v>4.1447500136505111</c:v>
                </c:pt>
                <c:pt idx="409">
                  <c:v>4.1756911708497899</c:v>
                </c:pt>
                <c:pt idx="410">
                  <c:v>4.2066323280490705</c:v>
                </c:pt>
                <c:pt idx="411">
                  <c:v>4.2414411298982593</c:v>
                </c:pt>
                <c:pt idx="412">
                  <c:v>4.2723822870975381</c:v>
                </c:pt>
                <c:pt idx="413">
                  <c:v>4.3033234442968169</c:v>
                </c:pt>
                <c:pt idx="414">
                  <c:v>4.3381322461460066</c:v>
                </c:pt>
                <c:pt idx="415">
                  <c:v>4.3690734033452863</c:v>
                </c:pt>
                <c:pt idx="416">
                  <c:v>4.403882205194475</c:v>
                </c:pt>
                <c:pt idx="417">
                  <c:v>4.4386910070436647</c:v>
                </c:pt>
                <c:pt idx="418">
                  <c:v>4.4696321642429435</c:v>
                </c:pt>
                <c:pt idx="419">
                  <c:v>4.5046684746009502</c:v>
                </c:pt>
                <c:pt idx="420">
                  <c:v>4.5394772764501399</c:v>
                </c:pt>
                <c:pt idx="421">
                  <c:v>4.5742860782993287</c:v>
                </c:pt>
                <c:pt idx="422">
                  <c:v>4.6090948801485183</c:v>
                </c:pt>
                <c:pt idx="423">
                  <c:v>4.6439036819977071</c:v>
                </c:pt>
                <c:pt idx="424">
                  <c:v>4.6787124838468968</c:v>
                </c:pt>
                <c:pt idx="425">
                  <c:v>4.7135212856960855</c:v>
                </c:pt>
                <c:pt idx="426">
                  <c:v>4.7521977321951843</c:v>
                </c:pt>
                <c:pt idx="427">
                  <c:v>4.7870065340443739</c:v>
                </c:pt>
                <c:pt idx="428">
                  <c:v>4.8218153358935627</c:v>
                </c:pt>
                <c:pt idx="429">
                  <c:v>4.8604917823926623</c:v>
                </c:pt>
                <c:pt idx="430">
                  <c:v>4.895528092750669</c:v>
                </c:pt>
                <c:pt idx="431">
                  <c:v>4.9303368945998587</c:v>
                </c:pt>
                <c:pt idx="432">
                  <c:v>4.9690133410989574</c:v>
                </c:pt>
                <c:pt idx="433">
                  <c:v>5.0154250768978761</c:v>
                </c:pt>
                <c:pt idx="434">
                  <c:v>5.0618368126967956</c:v>
                </c:pt>
                <c:pt idx="435">
                  <c:v>5.1005132591958953</c:v>
                </c:pt>
                <c:pt idx="436">
                  <c:v>5.1391897056949931</c:v>
                </c:pt>
                <c:pt idx="437">
                  <c:v>5.1778661521940927</c:v>
                </c:pt>
                <c:pt idx="438">
                  <c:v>5.2165425986931924</c:v>
                </c:pt>
                <c:pt idx="439">
                  <c:v>5.2552190451922911</c:v>
                </c:pt>
                <c:pt idx="440">
                  <c:v>5.2941230002002087</c:v>
                </c:pt>
                <c:pt idx="441">
                  <c:v>5.3327994466993074</c:v>
                </c:pt>
                <c:pt idx="442">
                  <c:v>5.3714758931984061</c:v>
                </c:pt>
                <c:pt idx="443">
                  <c:v>5.4101523396975058</c:v>
                </c:pt>
                <c:pt idx="444">
                  <c:v>5.4526964308465145</c:v>
                </c:pt>
                <c:pt idx="445">
                  <c:v>5.4913728773456132</c:v>
                </c:pt>
                <c:pt idx="446">
                  <c:v>5.5300493238447119</c:v>
                </c:pt>
                <c:pt idx="447">
                  <c:v>5.5687257703438124</c:v>
                </c:pt>
                <c:pt idx="448">
                  <c:v>5.6074022168429103</c:v>
                </c:pt>
                <c:pt idx="449">
                  <c:v>5.6499463079919199</c:v>
                </c:pt>
                <c:pt idx="450">
                  <c:v>5.6888502629998374</c:v>
                </c:pt>
                <c:pt idx="451">
                  <c:v>5.7275267094989362</c:v>
                </c:pt>
                <c:pt idx="452">
                  <c:v>5.7700708006479449</c:v>
                </c:pt>
                <c:pt idx="453">
                  <c:v>5.8087472471470445</c:v>
                </c:pt>
                <c:pt idx="454">
                  <c:v>5.8512913382960532</c:v>
                </c:pt>
                <c:pt idx="455">
                  <c:v>5.8899677847951519</c:v>
                </c:pt>
                <c:pt idx="456">
                  <c:v>5.9325118759441606</c:v>
                </c:pt>
                <c:pt idx="457">
                  <c:v>5.9711883224432603</c:v>
                </c:pt>
                <c:pt idx="458">
                  <c:v>6.0214677028920889</c:v>
                </c:pt>
                <c:pt idx="459">
                  <c:v>6.0719745918497363</c:v>
                </c:pt>
                <c:pt idx="460">
                  <c:v>6.1222539722985649</c:v>
                </c:pt>
                <c:pt idx="461">
                  <c:v>6.1725333527473936</c:v>
                </c:pt>
                <c:pt idx="462">
                  <c:v>6.2228127331962222</c:v>
                </c:pt>
                <c:pt idx="463">
                  <c:v>6.2692244689951417</c:v>
                </c:pt>
                <c:pt idx="464">
                  <c:v>6.3195038494439695</c:v>
                </c:pt>
                <c:pt idx="465">
                  <c:v>6.3697832298927999</c:v>
                </c:pt>
                <c:pt idx="466">
                  <c:v>6.4200626103416285</c:v>
                </c:pt>
                <c:pt idx="467">
                  <c:v>6.4705694992992759</c:v>
                </c:pt>
                <c:pt idx="468">
                  <c:v>6.5208488797481028</c:v>
                </c:pt>
                <c:pt idx="469">
                  <c:v>6.5711282601969314</c:v>
                </c:pt>
                <c:pt idx="470">
                  <c:v>6.6214076406457618</c:v>
                </c:pt>
                <c:pt idx="471">
                  <c:v>6.6716870210945896</c:v>
                </c:pt>
                <c:pt idx="472">
                  <c:v>6.7219664015434182</c:v>
                </c:pt>
                <c:pt idx="473">
                  <c:v>6.7722457819922486</c:v>
                </c:pt>
                <c:pt idx="474">
                  <c:v>6.8225251624410754</c:v>
                </c:pt>
                <c:pt idx="475">
                  <c:v>6.8730320513987238</c:v>
                </c:pt>
                <c:pt idx="476">
                  <c:v>6.9271790764974623</c:v>
                </c:pt>
                <c:pt idx="477">
                  <c:v>6.977458456946291</c:v>
                </c:pt>
                <c:pt idx="478">
                  <c:v>7.0354731266949404</c:v>
                </c:pt>
                <c:pt idx="479">
                  <c:v>7.0896201517936781</c:v>
                </c:pt>
                <c:pt idx="480">
                  <c:v>7.1476348215423275</c:v>
                </c:pt>
                <c:pt idx="481">
                  <c:v>7.2017818466410652</c:v>
                </c:pt>
                <c:pt idx="482">
                  <c:v>7.2561563802486218</c:v>
                </c:pt>
                <c:pt idx="483">
                  <c:v>7.318038694647182</c:v>
                </c:pt>
                <c:pt idx="484">
                  <c:v>7.3721857197459197</c:v>
                </c:pt>
                <c:pt idx="485">
                  <c:v>7.4340680341444783</c:v>
                </c:pt>
                <c:pt idx="486">
                  <c:v>7.488215059243216</c:v>
                </c:pt>
                <c:pt idx="487">
                  <c:v>7.5423620843419554</c:v>
                </c:pt>
                <c:pt idx="488">
                  <c:v>7.6042443987405139</c:v>
                </c:pt>
                <c:pt idx="489">
                  <c:v>7.6586189323480705</c:v>
                </c:pt>
                <c:pt idx="490">
                  <c:v>7.7127659574468099</c:v>
                </c:pt>
                <c:pt idx="491">
                  <c:v>7.7669129825455485</c:v>
                </c:pt>
                <c:pt idx="492">
                  <c:v>7.8210600076442862</c:v>
                </c:pt>
                <c:pt idx="493">
                  <c:v>7.8752070327430257</c:v>
                </c:pt>
                <c:pt idx="494">
                  <c:v>7.9293540578417634</c:v>
                </c:pt>
                <c:pt idx="495">
                  <c:v>7.9951040168902336</c:v>
                </c:pt>
                <c:pt idx="496">
                  <c:v>8.06108148444752</c:v>
                </c:pt>
                <c:pt idx="497">
                  <c:v>8.1268314434959876</c:v>
                </c:pt>
                <c:pt idx="498">
                  <c:v>8.1964490471943652</c:v>
                </c:pt>
                <c:pt idx="499">
                  <c:v>8.2621990062428345</c:v>
                </c:pt>
                <c:pt idx="500">
                  <c:v>8.3318166099412139</c:v>
                </c:pt>
                <c:pt idx="501">
                  <c:v>8.4014342136395914</c:v>
                </c:pt>
                <c:pt idx="502">
                  <c:v>8.4635440365469687</c:v>
                </c:pt>
                <c:pt idx="503">
                  <c:v>8.5254263509455264</c:v>
                </c:pt>
                <c:pt idx="504">
                  <c:v>8.5873086653440858</c:v>
                </c:pt>
                <c:pt idx="505">
                  <c:v>8.6530586243925516</c:v>
                </c:pt>
                <c:pt idx="506">
                  <c:v>8.7149409387911128</c:v>
                </c:pt>
                <c:pt idx="507">
                  <c:v>8.7768232531896704</c:v>
                </c:pt>
                <c:pt idx="508">
                  <c:v>8.8389330760970477</c:v>
                </c:pt>
                <c:pt idx="509">
                  <c:v>8.9008153904956053</c:v>
                </c:pt>
                <c:pt idx="510">
                  <c:v>8.9665653495440747</c:v>
                </c:pt>
                <c:pt idx="511">
                  <c:v>9.0439182425422722</c:v>
                </c:pt>
                <c:pt idx="512">
                  <c:v>9.1174034908905615</c:v>
                </c:pt>
                <c:pt idx="513">
                  <c:v>9.187021094588939</c:v>
                </c:pt>
                <c:pt idx="514">
                  <c:v>9.2646014960959562</c:v>
                </c:pt>
                <c:pt idx="515">
                  <c:v>9.3380867444442437</c:v>
                </c:pt>
                <c:pt idx="516">
                  <c:v>9.4154396374424412</c:v>
                </c:pt>
                <c:pt idx="517">
                  <c:v>9.4889248857907305</c:v>
                </c:pt>
                <c:pt idx="518">
                  <c:v>9.5662777787889279</c:v>
                </c:pt>
                <c:pt idx="519">
                  <c:v>9.6399905356460351</c:v>
                </c:pt>
                <c:pt idx="520">
                  <c:v>9.7173434286442326</c:v>
                </c:pt>
                <c:pt idx="521">
                  <c:v>9.7946963216424301</c:v>
                </c:pt>
                <c:pt idx="522">
                  <c:v>9.8720492146406293</c:v>
                </c:pt>
                <c:pt idx="523">
                  <c:v>9.9494021076388268</c:v>
                </c:pt>
                <c:pt idx="524">
                  <c:v>10.026982509145844</c:v>
                </c:pt>
                <c:pt idx="525">
                  <c:v>10.104335402144041</c:v>
                </c:pt>
                <c:pt idx="526">
                  <c:v>10.181688295142239</c:v>
                </c:pt>
                <c:pt idx="527">
                  <c:v>10.259041188140438</c:v>
                </c:pt>
                <c:pt idx="528">
                  <c:v>10.340261725788547</c:v>
                </c:pt>
                <c:pt idx="529">
                  <c:v>10.417842127295563</c:v>
                </c:pt>
                <c:pt idx="530">
                  <c:v>10.49906266494367</c:v>
                </c:pt>
                <c:pt idx="531">
                  <c:v>10.576415557941869</c:v>
                </c:pt>
                <c:pt idx="532">
                  <c:v>10.653768450940067</c:v>
                </c:pt>
                <c:pt idx="533">
                  <c:v>10.731121343938264</c:v>
                </c:pt>
                <c:pt idx="534">
                  <c:v>10.808701745445282</c:v>
                </c:pt>
                <c:pt idx="535">
                  <c:v>10.889922283093389</c:v>
                </c:pt>
                <c:pt idx="536">
                  <c:v>10.967275176091587</c:v>
                </c:pt>
                <c:pt idx="537">
                  <c:v>11.056231003039516</c:v>
                </c:pt>
                <c:pt idx="538">
                  <c:v>11.145186829987441</c:v>
                </c:pt>
                <c:pt idx="539">
                  <c:v>11.2382378100941</c:v>
                </c:pt>
                <c:pt idx="540">
                  <c:v>11.331061281691937</c:v>
                </c:pt>
                <c:pt idx="541">
                  <c:v>11.423884753289775</c:v>
                </c:pt>
                <c:pt idx="542">
                  <c:v>11.520575869537524</c:v>
                </c:pt>
                <c:pt idx="543">
                  <c:v>11.613626849644179</c:v>
                </c:pt>
                <c:pt idx="544">
                  <c:v>11.710317965891928</c:v>
                </c:pt>
                <c:pt idx="545">
                  <c:v>11.807009082139675</c:v>
                </c:pt>
                <c:pt idx="546">
                  <c:v>11.899832553737509</c:v>
                </c:pt>
                <c:pt idx="547">
                  <c:v>11.996751178494076</c:v>
                </c:pt>
                <c:pt idx="548">
                  <c:v>12.093442294741823</c:v>
                </c:pt>
                <c:pt idx="549">
                  <c:v>12.186265766339664</c:v>
                </c:pt>
                <c:pt idx="550">
                  <c:v>12.28295688258741</c:v>
                </c:pt>
                <c:pt idx="551">
                  <c:v>12.379875507343975</c:v>
                </c:pt>
                <c:pt idx="552">
                  <c:v>12.480434268241634</c:v>
                </c:pt>
                <c:pt idx="553">
                  <c:v>12.577125384489383</c:v>
                </c:pt>
                <c:pt idx="554">
                  <c:v>12.67381650073713</c:v>
                </c:pt>
                <c:pt idx="555">
                  <c:v>12.770735125493696</c:v>
                </c:pt>
                <c:pt idx="556">
                  <c:v>12.867426241741443</c:v>
                </c:pt>
                <c:pt idx="557">
                  <c:v>12.9679850026391</c:v>
                </c:pt>
                <c:pt idx="558">
                  <c:v>13.068543763536757</c:v>
                </c:pt>
                <c:pt idx="559">
                  <c:v>13.169330032943234</c:v>
                </c:pt>
                <c:pt idx="560">
                  <c:v>13.273756438490802</c:v>
                </c:pt>
                <c:pt idx="561">
                  <c:v>13.374315199388459</c:v>
                </c:pt>
                <c:pt idx="562">
                  <c:v>13.478741604936028</c:v>
                </c:pt>
                <c:pt idx="563">
                  <c:v>13.579527874342503</c:v>
                </c:pt>
                <c:pt idx="564">
                  <c:v>13.68395427989007</c:v>
                </c:pt>
                <c:pt idx="565">
                  <c:v>13.788380685437636</c:v>
                </c:pt>
                <c:pt idx="566">
                  <c:v>13.892807090985205</c:v>
                </c:pt>
                <c:pt idx="567">
                  <c:v>14.01293158364123</c:v>
                </c:pt>
                <c:pt idx="568">
                  <c:v>14.132828567788438</c:v>
                </c:pt>
                <c:pt idx="569">
                  <c:v>14.241122617985916</c:v>
                </c:pt>
                <c:pt idx="570">
                  <c:v>14.349644176692211</c:v>
                </c:pt>
                <c:pt idx="571">
                  <c:v>14.457938226889688</c:v>
                </c:pt>
                <c:pt idx="572">
                  <c:v>14.566232277087165</c:v>
                </c:pt>
                <c:pt idx="573">
                  <c:v>14.674526327284642</c:v>
                </c:pt>
                <c:pt idx="574">
                  <c:v>14.783047885990937</c:v>
                </c:pt>
                <c:pt idx="575">
                  <c:v>14.891341936188415</c:v>
                </c:pt>
                <c:pt idx="576">
                  <c:v>15.015106564985532</c:v>
                </c:pt>
                <c:pt idx="577">
                  <c:v>15.142966346941378</c:v>
                </c:pt>
                <c:pt idx="578">
                  <c:v>15.266730975738493</c:v>
                </c:pt>
                <c:pt idx="579">
                  <c:v>15.39436324918552</c:v>
                </c:pt>
                <c:pt idx="580">
                  <c:v>15.518355386491457</c:v>
                </c:pt>
                <c:pt idx="581">
                  <c:v>15.645987659938484</c:v>
                </c:pt>
                <c:pt idx="582">
                  <c:v>15.773619933385511</c:v>
                </c:pt>
                <c:pt idx="583">
                  <c:v>15.901479715341358</c:v>
                </c:pt>
                <c:pt idx="584">
                  <c:v>16.02911198878838</c:v>
                </c:pt>
                <c:pt idx="585">
                  <c:v>16.15674426223541</c:v>
                </c:pt>
                <c:pt idx="586">
                  <c:v>16.284604044191255</c:v>
                </c:pt>
                <c:pt idx="587">
                  <c:v>16.412236317638282</c:v>
                </c:pt>
                <c:pt idx="588">
                  <c:v>16.536000946435401</c:v>
                </c:pt>
                <c:pt idx="589">
                  <c:v>16.663860728391246</c:v>
                </c:pt>
                <c:pt idx="590">
                  <c:v>16.787625357188361</c:v>
                </c:pt>
                <c:pt idx="591">
                  <c:v>16.919125275285296</c:v>
                </c:pt>
                <c:pt idx="592">
                  <c:v>17.066323280490693</c:v>
                </c:pt>
                <c:pt idx="593">
                  <c:v>17.197823198587631</c:v>
                </c:pt>
                <c:pt idx="594">
                  <c:v>17.329323116684566</c:v>
                </c:pt>
                <c:pt idx="595">
                  <c:v>17.46105054329032</c:v>
                </c:pt>
                <c:pt idx="596">
                  <c:v>17.592550461387258</c:v>
                </c:pt>
                <c:pt idx="597">
                  <c:v>17.735653313433922</c:v>
                </c:pt>
                <c:pt idx="598">
                  <c:v>17.882851318639318</c:v>
                </c:pt>
                <c:pt idx="599">
                  <c:v>18.025954170685988</c:v>
                </c:pt>
                <c:pt idx="600">
                  <c:v>18.176792312032472</c:v>
                </c:pt>
                <c:pt idx="601">
                  <c:v>18.323990317237865</c:v>
                </c:pt>
                <c:pt idx="602">
                  <c:v>18.474828458584355</c:v>
                </c:pt>
                <c:pt idx="603">
                  <c:v>18.629761753089568</c:v>
                </c:pt>
                <c:pt idx="604">
                  <c:v>18.780599894436055</c:v>
                </c:pt>
                <c:pt idx="605">
                  <c:v>18.931438035782541</c:v>
                </c:pt>
                <c:pt idx="606">
                  <c:v>19.082503685637846</c:v>
                </c:pt>
                <c:pt idx="607">
                  <c:v>19.233341826984329</c:v>
                </c:pt>
                <c:pt idx="608">
                  <c:v>19.388275121489546</c:v>
                </c:pt>
                <c:pt idx="609">
                  <c:v>19.542980907485944</c:v>
                </c:pt>
                <c:pt idx="610">
                  <c:v>19.693819048832427</c:v>
                </c:pt>
                <c:pt idx="611">
                  <c:v>19.852619987987556</c:v>
                </c:pt>
                <c:pt idx="612">
                  <c:v>20.007325773983947</c:v>
                </c:pt>
                <c:pt idx="613">
                  <c:v>20.165899204630257</c:v>
                </c:pt>
                <c:pt idx="614">
                  <c:v>20.320832499135474</c:v>
                </c:pt>
                <c:pt idx="615">
                  <c:v>20.475538285131869</c:v>
                </c:pt>
                <c:pt idx="616">
                  <c:v>20.634339224286993</c:v>
                </c:pt>
                <c:pt idx="617">
                  <c:v>20.7929126549333</c:v>
                </c:pt>
                <c:pt idx="618">
                  <c:v>20.951486085579603</c:v>
                </c:pt>
                <c:pt idx="619">
                  <c:v>21.125757603334367</c:v>
                </c:pt>
                <c:pt idx="620">
                  <c:v>21.295933967930402</c:v>
                </c:pt>
                <c:pt idx="621">
                  <c:v>21.47020548568517</c:v>
                </c:pt>
                <c:pt idx="622">
                  <c:v>21.648117139581025</c:v>
                </c:pt>
                <c:pt idx="623">
                  <c:v>21.818521012685878</c:v>
                </c:pt>
                <c:pt idx="624">
                  <c:v>21.992565021931824</c:v>
                </c:pt>
                <c:pt idx="625">
                  <c:v>22.166836539686585</c:v>
                </c:pt>
                <c:pt idx="626">
                  <c:v>22.337012904282624</c:v>
                </c:pt>
                <c:pt idx="627">
                  <c:v>22.51105691352857</c:v>
                </c:pt>
                <c:pt idx="628">
                  <c:v>22.685328431283331</c:v>
                </c:pt>
                <c:pt idx="629">
                  <c:v>22.860054966055731</c:v>
                </c:pt>
                <c:pt idx="630">
                  <c:v>23.048887028374864</c:v>
                </c:pt>
                <c:pt idx="631">
                  <c:v>23.242269260870358</c:v>
                </c:pt>
                <c:pt idx="632">
                  <c:v>23.435651493365853</c:v>
                </c:pt>
                <c:pt idx="633">
                  <c:v>23.626758640773168</c:v>
                </c:pt>
                <c:pt idx="634">
                  <c:v>23.820140873268663</c:v>
                </c:pt>
                <c:pt idx="635">
                  <c:v>24.008972935587792</c:v>
                </c:pt>
                <c:pt idx="636">
                  <c:v>24.202355168083287</c:v>
                </c:pt>
                <c:pt idx="637">
                  <c:v>24.391187230402416</c:v>
                </c:pt>
                <c:pt idx="638">
                  <c:v>24.584569462897914</c:v>
                </c:pt>
                <c:pt idx="639">
                  <c:v>24.777951695393408</c:v>
                </c:pt>
                <c:pt idx="640">
                  <c:v>24.971333927888903</c:v>
                </c:pt>
                <c:pt idx="641">
                  <c:v>25.166991245472584</c:v>
                </c:pt>
                <c:pt idx="642">
                  <c:v>25.362648563056261</c:v>
                </c:pt>
                <c:pt idx="643">
                  <c:v>25.560580965728121</c:v>
                </c:pt>
                <c:pt idx="644">
                  <c:v>25.758513368399981</c:v>
                </c:pt>
                <c:pt idx="645">
                  <c:v>25.974646451777303</c:v>
                </c:pt>
                <c:pt idx="646">
                  <c:v>26.188504450066432</c:v>
                </c:pt>
                <c:pt idx="647">
                  <c:v>26.388711937826482</c:v>
                </c:pt>
                <c:pt idx="648">
                  <c:v>26.604845021203797</c:v>
                </c:pt>
                <c:pt idx="649">
                  <c:v>26.823253189669295</c:v>
                </c:pt>
                <c:pt idx="650">
                  <c:v>27.039386273046617</c:v>
                </c:pt>
                <c:pt idx="651">
                  <c:v>27.255519356423932</c:v>
                </c:pt>
                <c:pt idx="652">
                  <c:v>27.471652439801254</c:v>
                </c:pt>
                <c:pt idx="653">
                  <c:v>27.690060608266752</c:v>
                </c:pt>
                <c:pt idx="654">
                  <c:v>27.90619369164407</c:v>
                </c:pt>
                <c:pt idx="655">
                  <c:v>28.122326775021389</c:v>
                </c:pt>
                <c:pt idx="656">
                  <c:v>28.349835283839617</c:v>
                </c:pt>
                <c:pt idx="657">
                  <c:v>28.579618877746036</c:v>
                </c:pt>
                <c:pt idx="658">
                  <c:v>28.811677556740626</c:v>
                </c:pt>
                <c:pt idx="659">
                  <c:v>29.039186065558859</c:v>
                </c:pt>
                <c:pt idx="660">
                  <c:v>29.271244744553446</c:v>
                </c:pt>
                <c:pt idx="661">
                  <c:v>29.501028338459864</c:v>
                </c:pt>
                <c:pt idx="662">
                  <c:v>29.733087017454459</c:v>
                </c:pt>
                <c:pt idx="663">
                  <c:v>29.965145696449049</c:v>
                </c:pt>
                <c:pt idx="664">
                  <c:v>30.197204375443643</c:v>
                </c:pt>
                <c:pt idx="665">
                  <c:v>30.440638479879151</c:v>
                </c:pt>
                <c:pt idx="666">
                  <c:v>30.688622754491025</c:v>
                </c:pt>
                <c:pt idx="667">
                  <c:v>30.932056858926526</c:v>
                </c:pt>
                <c:pt idx="668">
                  <c:v>31.180041133538399</c:v>
                </c:pt>
                <c:pt idx="669">
                  <c:v>31.430300493238452</c:v>
                </c:pt>
                <c:pt idx="670">
                  <c:v>31.682834938026684</c:v>
                </c:pt>
                <c:pt idx="671">
                  <c:v>31.926269042462192</c:v>
                </c:pt>
                <c:pt idx="672">
                  <c:v>32.178803487250427</c:v>
                </c:pt>
                <c:pt idx="673">
                  <c:v>32.433613017126845</c:v>
                </c:pt>
                <c:pt idx="674">
                  <c:v>32.697522887355994</c:v>
                </c:pt>
                <c:pt idx="675">
                  <c:v>32.956882587408771</c:v>
                </c:pt>
                <c:pt idx="676">
                  <c:v>33.216242287461554</c:v>
                </c:pt>
                <c:pt idx="677">
                  <c:v>33.471051817337973</c:v>
                </c:pt>
                <c:pt idx="678">
                  <c:v>33.725861347214391</c:v>
                </c:pt>
                <c:pt idx="679">
                  <c:v>34.00114664288445</c:v>
                </c:pt>
                <c:pt idx="680">
                  <c:v>34.271881768378144</c:v>
                </c:pt>
                <c:pt idx="681">
                  <c:v>34.542616893871838</c:v>
                </c:pt>
                <c:pt idx="682">
                  <c:v>34.813352019365524</c:v>
                </c:pt>
                <c:pt idx="683">
                  <c:v>35.084087144859218</c:v>
                </c:pt>
                <c:pt idx="684">
                  <c:v>35.354822270352912</c:v>
                </c:pt>
                <c:pt idx="685">
                  <c:v>35.641482991463882</c:v>
                </c:pt>
                <c:pt idx="686">
                  <c:v>35.923593542398493</c:v>
                </c:pt>
                <c:pt idx="687">
                  <c:v>36.214804433685828</c:v>
                </c:pt>
                <c:pt idx="688">
                  <c:v>36.496914984620432</c:v>
                </c:pt>
                <c:pt idx="689">
                  <c:v>36.779025535555036</c:v>
                </c:pt>
                <c:pt idx="690">
                  <c:v>37.077061682106923</c:v>
                </c:pt>
                <c:pt idx="691">
                  <c:v>37.379647998835161</c:v>
                </c:pt>
                <c:pt idx="692">
                  <c:v>37.682234315563406</c:v>
                </c:pt>
                <c:pt idx="693">
                  <c:v>37.982545547203472</c:v>
                </c:pt>
                <c:pt idx="694">
                  <c:v>38.276031523578986</c:v>
                </c:pt>
                <c:pt idx="695">
                  <c:v>38.578617840307238</c:v>
                </c:pt>
                <c:pt idx="696">
                  <c:v>38.881204157035476</c:v>
                </c:pt>
                <c:pt idx="697">
                  <c:v>39.183790473763729</c:v>
                </c:pt>
                <c:pt idx="698">
                  <c:v>39.484101705403788</c:v>
                </c:pt>
                <c:pt idx="699">
                  <c:v>39.791238192308398</c:v>
                </c:pt>
                <c:pt idx="700">
                  <c:v>40.112025189742106</c:v>
                </c:pt>
                <c:pt idx="701">
                  <c:v>40.425986931911261</c:v>
                </c:pt>
                <c:pt idx="702">
                  <c:v>40.735398503904051</c:v>
                </c:pt>
                <c:pt idx="703">
                  <c:v>41.058460586425937</c:v>
                </c:pt>
                <c:pt idx="704">
                  <c:v>41.38379775403601</c:v>
                </c:pt>
                <c:pt idx="705">
                  <c:v>41.706859836557896</c:v>
                </c:pt>
                <c:pt idx="706">
                  <c:v>42.034472089256148</c:v>
                </c:pt>
                <c:pt idx="707">
                  <c:v>42.366634512130759</c:v>
                </c:pt>
                <c:pt idx="708">
                  <c:v>42.701072020093562</c:v>
                </c:pt>
                <c:pt idx="709">
                  <c:v>43.044609868409083</c:v>
                </c:pt>
                <c:pt idx="710">
                  <c:v>43.381322461460059</c:v>
                </c:pt>
                <c:pt idx="711">
                  <c:v>43.713484884334683</c:v>
                </c:pt>
                <c:pt idx="712">
                  <c:v>44.066123073002942</c:v>
                </c:pt>
                <c:pt idx="713">
                  <c:v>44.411936006406641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FC-4C76-A0AB-017AF58953C2}"/>
            </c:ext>
          </c:extLst>
        </c:ser>
        <c:ser>
          <c:idx val="4"/>
          <c:order val="4"/>
          <c:tx>
            <c:strRef>
              <c:f>{"A11-5"}</c:f>
              <c:strCache>
                <c:ptCount val="1"/>
                <c:pt idx="0">
                  <c:v>A11-5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'A11-4'!$C$2:$C$715</c:f>
              <c:numCache>
                <c:formatCode>0.00</c:formatCode>
                <c:ptCount val="714"/>
                <c:pt idx="0">
                  <c:v>1.1166999999999999E-4</c:v>
                </c:pt>
                <c:pt idx="1">
                  <c:v>6.5605999999999998E-3</c:v>
                </c:pt>
                <c:pt idx="2">
                  <c:v>6.6163999999999997E-3</c:v>
                </c:pt>
                <c:pt idx="3">
                  <c:v>6.6722000000000005E-3</c:v>
                </c:pt>
                <c:pt idx="4">
                  <c:v>6.7279999999999996E-3</c:v>
                </c:pt>
                <c:pt idx="5">
                  <c:v>6.7840000000000001E-3</c:v>
                </c:pt>
                <c:pt idx="6">
                  <c:v>6.8379999999999995E-3</c:v>
                </c:pt>
                <c:pt idx="7">
                  <c:v>6.8955999999999991E-3</c:v>
                </c:pt>
                <c:pt idx="8">
                  <c:v>6.9496000000000002E-3</c:v>
                </c:pt>
                <c:pt idx="9">
                  <c:v>7.0071999999999999E-3</c:v>
                </c:pt>
                <c:pt idx="10">
                  <c:v>7.0612000000000001E-3</c:v>
                </c:pt>
                <c:pt idx="11">
                  <c:v>7.1189999999999995E-3</c:v>
                </c:pt>
                <c:pt idx="12">
                  <c:v>7.1730000000000006E-3</c:v>
                </c:pt>
                <c:pt idx="13">
                  <c:v>7.2287999999999996E-3</c:v>
                </c:pt>
                <c:pt idx="14">
                  <c:v>7.2845999999999996E-3</c:v>
                </c:pt>
                <c:pt idx="15">
                  <c:v>7.3663999999999995E-3</c:v>
                </c:pt>
                <c:pt idx="16">
                  <c:v>7.4224E-3</c:v>
                </c:pt>
                <c:pt idx="17">
                  <c:v>7.5060000000000005E-3</c:v>
                </c:pt>
                <c:pt idx="18">
                  <c:v>7.5880000000000001E-3</c:v>
                </c:pt>
                <c:pt idx="19">
                  <c:v>7.6455999999999998E-3</c:v>
                </c:pt>
                <c:pt idx="20">
                  <c:v>7.7276000000000003E-3</c:v>
                </c:pt>
                <c:pt idx="21">
                  <c:v>7.8112000000000008E-3</c:v>
                </c:pt>
                <c:pt idx="22">
                  <c:v>7.8931999999999995E-3</c:v>
                </c:pt>
                <c:pt idx="23">
                  <c:v>7.9769999999999997E-3</c:v>
                </c:pt>
                <c:pt idx="24">
                  <c:v>8.0625999999999996E-3</c:v>
                </c:pt>
                <c:pt idx="25">
                  <c:v>8.1444000000000013E-3</c:v>
                </c:pt>
                <c:pt idx="26">
                  <c:v>8.2281999999999998E-3</c:v>
                </c:pt>
                <c:pt idx="27">
                  <c:v>8.3099999999999997E-3</c:v>
                </c:pt>
                <c:pt idx="28">
                  <c:v>8.3937999999999999E-3</c:v>
                </c:pt>
                <c:pt idx="29">
                  <c:v>8.4776000000000001E-3</c:v>
                </c:pt>
                <c:pt idx="30">
                  <c:v>8.5614000000000003E-3</c:v>
                </c:pt>
                <c:pt idx="31">
                  <c:v>8.6449999999999999E-3</c:v>
                </c:pt>
                <c:pt idx="32">
                  <c:v>8.7288000000000001E-3</c:v>
                </c:pt>
                <c:pt idx="33">
                  <c:v>8.8088000000000003E-3</c:v>
                </c:pt>
                <c:pt idx="34">
                  <c:v>8.8944000000000002E-3</c:v>
                </c:pt>
                <c:pt idx="35">
                  <c:v>8.9781999999999987E-3</c:v>
                </c:pt>
                <c:pt idx="36">
                  <c:v>9.0620000000000006E-3</c:v>
                </c:pt>
                <c:pt idx="37">
                  <c:v>9.1438000000000005E-3</c:v>
                </c:pt>
                <c:pt idx="38">
                  <c:v>9.2276000000000007E-3</c:v>
                </c:pt>
                <c:pt idx="39">
                  <c:v>9.3113999999999992E-3</c:v>
                </c:pt>
                <c:pt idx="40">
                  <c:v>9.3951999999999994E-3</c:v>
                </c:pt>
                <c:pt idx="41">
                  <c:v>9.478799999999999E-3</c:v>
                </c:pt>
                <c:pt idx="42">
                  <c:v>9.5608000000000012E-3</c:v>
                </c:pt>
                <c:pt idx="43">
                  <c:v>9.6445999999999997E-3</c:v>
                </c:pt>
                <c:pt idx="44">
                  <c:v>9.7263999999999996E-3</c:v>
                </c:pt>
                <c:pt idx="45">
                  <c:v>9.8119999999999995E-3</c:v>
                </c:pt>
                <c:pt idx="46">
                  <c:v>9.894E-3</c:v>
                </c:pt>
                <c:pt idx="47">
                  <c:v>9.9775999999999997E-3</c:v>
                </c:pt>
                <c:pt idx="48">
                  <c:v>1.00596E-2</c:v>
                </c:pt>
                <c:pt idx="49">
                  <c:v>1.01434E-2</c:v>
                </c:pt>
                <c:pt idx="50">
                  <c:v>1.0227E-2</c:v>
                </c:pt>
                <c:pt idx="51">
                  <c:v>1.03108E-2</c:v>
                </c:pt>
                <c:pt idx="52">
                  <c:v>1.03946E-2</c:v>
                </c:pt>
                <c:pt idx="53">
                  <c:v>1.0476399999999999E-2</c:v>
                </c:pt>
                <c:pt idx="54">
                  <c:v>1.0560199999999999E-2</c:v>
                </c:pt>
                <c:pt idx="55">
                  <c:v>1.0644000000000001E-2</c:v>
                </c:pt>
                <c:pt idx="56">
                  <c:v>1.0727800000000001E-2</c:v>
                </c:pt>
                <c:pt idx="57">
                  <c:v>1.0811400000000001E-2</c:v>
                </c:pt>
                <c:pt idx="58">
                  <c:v>1.0895200000000001E-2</c:v>
                </c:pt>
                <c:pt idx="59">
                  <c:v>1.1006999999999999E-2</c:v>
                </c:pt>
                <c:pt idx="60">
                  <c:v>1.11168E-2</c:v>
                </c:pt>
                <c:pt idx="61">
                  <c:v>1.1228400000000001E-2</c:v>
                </c:pt>
                <c:pt idx="62">
                  <c:v>1.1339999999999999E-2</c:v>
                </c:pt>
                <c:pt idx="63">
                  <c:v>1.1449800000000001E-2</c:v>
                </c:pt>
                <c:pt idx="64">
                  <c:v>1.15616E-2</c:v>
                </c:pt>
                <c:pt idx="65">
                  <c:v>1.16732E-2</c:v>
                </c:pt>
                <c:pt idx="66">
                  <c:v>1.1782999999999998E-2</c:v>
                </c:pt>
                <c:pt idx="67">
                  <c:v>1.18946E-2</c:v>
                </c:pt>
                <c:pt idx="68">
                  <c:v>1.2006399999999999E-2</c:v>
                </c:pt>
                <c:pt idx="69">
                  <c:v>1.2116199999999999E-2</c:v>
                </c:pt>
                <c:pt idx="70">
                  <c:v>1.2225999999999999E-2</c:v>
                </c:pt>
                <c:pt idx="71">
                  <c:v>1.2337599999999999E-2</c:v>
                </c:pt>
                <c:pt idx="72">
                  <c:v>1.2449200000000001E-2</c:v>
                </c:pt>
                <c:pt idx="73">
                  <c:v>1.2560999999999999E-2</c:v>
                </c:pt>
                <c:pt idx="74">
                  <c:v>1.2672600000000001E-2</c:v>
                </c:pt>
                <c:pt idx="75">
                  <c:v>1.27844E-2</c:v>
                </c:pt>
                <c:pt idx="76">
                  <c:v>1.2896000000000001E-2</c:v>
                </c:pt>
                <c:pt idx="77">
                  <c:v>1.3005800000000001E-2</c:v>
                </c:pt>
                <c:pt idx="78">
                  <c:v>1.31174E-2</c:v>
                </c:pt>
                <c:pt idx="79">
                  <c:v>1.3229200000000002E-2</c:v>
                </c:pt>
                <c:pt idx="80">
                  <c:v>1.3339E-2</c:v>
                </c:pt>
                <c:pt idx="81">
                  <c:v>1.34488E-2</c:v>
                </c:pt>
                <c:pt idx="82">
                  <c:v>1.3560399999999998E-2</c:v>
                </c:pt>
                <c:pt idx="83">
                  <c:v>1.3672E-2</c:v>
                </c:pt>
                <c:pt idx="84">
                  <c:v>1.37818E-2</c:v>
                </c:pt>
                <c:pt idx="85">
                  <c:v>1.3893599999999999E-2</c:v>
                </c:pt>
                <c:pt idx="86">
                  <c:v>1.4005200000000001E-2</c:v>
                </c:pt>
                <c:pt idx="87">
                  <c:v>1.4116800000000001E-2</c:v>
                </c:pt>
                <c:pt idx="88">
                  <c:v>1.4228600000000001E-2</c:v>
                </c:pt>
                <c:pt idx="89">
                  <c:v>1.4340200000000001E-2</c:v>
                </c:pt>
                <c:pt idx="90">
                  <c:v>1.4478E-2</c:v>
                </c:pt>
                <c:pt idx="91">
                  <c:v>1.4589600000000001E-2</c:v>
                </c:pt>
                <c:pt idx="92">
                  <c:v>1.47274E-2</c:v>
                </c:pt>
                <c:pt idx="93">
                  <c:v>1.4866999999999998E-2</c:v>
                </c:pt>
                <c:pt idx="94">
                  <c:v>1.50046E-2</c:v>
                </c:pt>
                <c:pt idx="95">
                  <c:v>1.5144200000000002E-2</c:v>
                </c:pt>
                <c:pt idx="96">
                  <c:v>1.52838E-2</c:v>
                </c:pt>
                <c:pt idx="97">
                  <c:v>1.5421600000000001E-2</c:v>
                </c:pt>
                <c:pt idx="98">
                  <c:v>1.5561199999999999E-2</c:v>
                </c:pt>
                <c:pt idx="99">
                  <c:v>1.5700800000000001E-2</c:v>
                </c:pt>
                <c:pt idx="100">
                  <c:v>1.5838399999999999E-2</c:v>
                </c:pt>
                <c:pt idx="101">
                  <c:v>1.5978000000000003E-2</c:v>
                </c:pt>
                <c:pt idx="102">
                  <c:v>1.6117599999999999E-2</c:v>
                </c:pt>
                <c:pt idx="103">
                  <c:v>1.62536E-2</c:v>
                </c:pt>
                <c:pt idx="104">
                  <c:v>1.6395E-2</c:v>
                </c:pt>
                <c:pt idx="105">
                  <c:v>1.65346E-2</c:v>
                </c:pt>
                <c:pt idx="106">
                  <c:v>1.6672199999999998E-2</c:v>
                </c:pt>
                <c:pt idx="107">
                  <c:v>1.6811799999999998E-2</c:v>
                </c:pt>
                <c:pt idx="108">
                  <c:v>1.6949599999999999E-2</c:v>
                </c:pt>
                <c:pt idx="109">
                  <c:v>1.7089199999999999E-2</c:v>
                </c:pt>
                <c:pt idx="110">
                  <c:v>1.7228799999999999E-2</c:v>
                </c:pt>
                <c:pt idx="111">
                  <c:v>1.7366400000000001E-2</c:v>
                </c:pt>
                <c:pt idx="112">
                  <c:v>1.7504200000000001E-2</c:v>
                </c:pt>
                <c:pt idx="113">
                  <c:v>1.7643800000000001E-2</c:v>
                </c:pt>
                <c:pt idx="114">
                  <c:v>1.7783400000000001E-2</c:v>
                </c:pt>
                <c:pt idx="115">
                  <c:v>1.7921199999999998E-2</c:v>
                </c:pt>
                <c:pt idx="116">
                  <c:v>1.8062599999999998E-2</c:v>
                </c:pt>
                <c:pt idx="117">
                  <c:v>1.82282E-2</c:v>
                </c:pt>
                <c:pt idx="118">
                  <c:v>1.83958E-2</c:v>
                </c:pt>
                <c:pt idx="119">
                  <c:v>1.8561399999999999E-2</c:v>
                </c:pt>
                <c:pt idx="120">
                  <c:v>1.8727000000000001E-2</c:v>
                </c:pt>
                <c:pt idx="121">
                  <c:v>1.8894399999999999E-2</c:v>
                </c:pt>
                <c:pt idx="122">
                  <c:v>1.9060199999999999E-2</c:v>
                </c:pt>
                <c:pt idx="123">
                  <c:v>1.9227600000000001E-2</c:v>
                </c:pt>
                <c:pt idx="124">
                  <c:v>1.9395199999999998E-2</c:v>
                </c:pt>
                <c:pt idx="125">
                  <c:v>1.95608E-2</c:v>
                </c:pt>
                <c:pt idx="126">
                  <c:v>1.9728200000000001E-2</c:v>
                </c:pt>
                <c:pt idx="127">
                  <c:v>1.9894000000000002E-2</c:v>
                </c:pt>
                <c:pt idx="128">
                  <c:v>2.0062000000000003E-2</c:v>
                </c:pt>
                <c:pt idx="129">
                  <c:v>2.0228000000000003E-2</c:v>
                </c:pt>
                <c:pt idx="130">
                  <c:v>2.0394000000000002E-2</c:v>
                </c:pt>
                <c:pt idx="131">
                  <c:v>2.0562E-2</c:v>
                </c:pt>
                <c:pt idx="132">
                  <c:v>2.0728E-2</c:v>
                </c:pt>
                <c:pt idx="133">
                  <c:v>2.0893999999999999E-2</c:v>
                </c:pt>
                <c:pt idx="134">
                  <c:v>2.1059999999999999E-2</c:v>
                </c:pt>
                <c:pt idx="135">
                  <c:v>2.1225999999999998E-2</c:v>
                </c:pt>
                <c:pt idx="136">
                  <c:v>2.1394000000000003E-2</c:v>
                </c:pt>
                <c:pt idx="137">
                  <c:v>2.1562000000000001E-2</c:v>
                </c:pt>
                <c:pt idx="138">
                  <c:v>2.1756000000000001E-2</c:v>
                </c:pt>
                <c:pt idx="139">
                  <c:v>2.1949999999999997E-2</c:v>
                </c:pt>
                <c:pt idx="140">
                  <c:v>2.2144E-2</c:v>
                </c:pt>
                <c:pt idx="141">
                  <c:v>2.2339999999999999E-2</c:v>
                </c:pt>
                <c:pt idx="142">
                  <c:v>2.2534000000000002E-2</c:v>
                </c:pt>
                <c:pt idx="143">
                  <c:v>2.2728000000000002E-2</c:v>
                </c:pt>
                <c:pt idx="144">
                  <c:v>2.2921999999999998E-2</c:v>
                </c:pt>
                <c:pt idx="145">
                  <c:v>2.3118E-2</c:v>
                </c:pt>
                <c:pt idx="146">
                  <c:v>2.3311999999999999E-2</c:v>
                </c:pt>
                <c:pt idx="147">
                  <c:v>2.3504000000000001E-2</c:v>
                </c:pt>
                <c:pt idx="148">
                  <c:v>2.3698E-2</c:v>
                </c:pt>
                <c:pt idx="149">
                  <c:v>2.3894000000000002E-2</c:v>
                </c:pt>
                <c:pt idx="150">
                  <c:v>2.4087999999999998E-2</c:v>
                </c:pt>
                <c:pt idx="151">
                  <c:v>2.4284E-2</c:v>
                </c:pt>
                <c:pt idx="152">
                  <c:v>2.4478E-2</c:v>
                </c:pt>
                <c:pt idx="153">
                  <c:v>2.4671999999999999E-2</c:v>
                </c:pt>
                <c:pt idx="154">
                  <c:v>2.4866000000000003E-2</c:v>
                </c:pt>
                <c:pt idx="155">
                  <c:v>2.5006E-2</c:v>
                </c:pt>
                <c:pt idx="156">
                  <c:v>2.52E-2</c:v>
                </c:pt>
                <c:pt idx="157">
                  <c:v>2.5424000000000002E-2</c:v>
                </c:pt>
                <c:pt idx="158">
                  <c:v>2.5644E-2</c:v>
                </c:pt>
                <c:pt idx="159">
                  <c:v>2.5865999999999997E-2</c:v>
                </c:pt>
                <c:pt idx="160">
                  <c:v>2.6088E-2</c:v>
                </c:pt>
                <c:pt idx="161">
                  <c:v>2.6312000000000002E-2</c:v>
                </c:pt>
                <c:pt idx="162">
                  <c:v>2.6532E-2</c:v>
                </c:pt>
                <c:pt idx="163">
                  <c:v>2.6756000000000002E-2</c:v>
                </c:pt>
                <c:pt idx="164">
                  <c:v>2.6977999999999999E-2</c:v>
                </c:pt>
                <c:pt idx="165">
                  <c:v>2.7200000000000002E-2</c:v>
                </c:pt>
                <c:pt idx="166">
                  <c:v>2.742E-2</c:v>
                </c:pt>
                <c:pt idx="167">
                  <c:v>2.7646E-2</c:v>
                </c:pt>
                <c:pt idx="168">
                  <c:v>2.7868E-2</c:v>
                </c:pt>
                <c:pt idx="169">
                  <c:v>2.8088000000000002E-2</c:v>
                </c:pt>
                <c:pt idx="170">
                  <c:v>2.8312E-2</c:v>
                </c:pt>
                <c:pt idx="171">
                  <c:v>2.8534E-2</c:v>
                </c:pt>
                <c:pt idx="172">
                  <c:v>2.8753999999999998E-2</c:v>
                </c:pt>
                <c:pt idx="173">
                  <c:v>2.9005999999999997E-2</c:v>
                </c:pt>
                <c:pt idx="174">
                  <c:v>2.9256000000000001E-2</c:v>
                </c:pt>
                <c:pt idx="175">
                  <c:v>2.9506000000000001E-2</c:v>
                </c:pt>
                <c:pt idx="176">
                  <c:v>2.9756000000000001E-2</c:v>
                </c:pt>
                <c:pt idx="177">
                  <c:v>3.0005999999999998E-2</c:v>
                </c:pt>
                <c:pt idx="178">
                  <c:v>3.0255999999999998E-2</c:v>
                </c:pt>
                <c:pt idx="179">
                  <c:v>3.0506000000000002E-2</c:v>
                </c:pt>
                <c:pt idx="180">
                  <c:v>3.0756000000000002E-2</c:v>
                </c:pt>
                <c:pt idx="181">
                  <c:v>3.1005999999999999E-2</c:v>
                </c:pt>
                <c:pt idx="182">
                  <c:v>3.1253999999999997E-2</c:v>
                </c:pt>
                <c:pt idx="183">
                  <c:v>3.1505999999999999E-2</c:v>
                </c:pt>
                <c:pt idx="184">
                  <c:v>3.1756E-2</c:v>
                </c:pt>
                <c:pt idx="185">
                  <c:v>3.2006E-2</c:v>
                </c:pt>
                <c:pt idx="186">
                  <c:v>3.2256E-2</c:v>
                </c:pt>
                <c:pt idx="187">
                  <c:v>3.2534E-2</c:v>
                </c:pt>
                <c:pt idx="188">
                  <c:v>3.2809999999999999E-2</c:v>
                </c:pt>
                <c:pt idx="189">
                  <c:v>3.3090000000000001E-2</c:v>
                </c:pt>
                <c:pt idx="190">
                  <c:v>3.3366E-2</c:v>
                </c:pt>
                <c:pt idx="191">
                  <c:v>3.3644E-2</c:v>
                </c:pt>
                <c:pt idx="192">
                  <c:v>3.3922000000000001E-2</c:v>
                </c:pt>
                <c:pt idx="193">
                  <c:v>3.4200000000000001E-2</c:v>
                </c:pt>
                <c:pt idx="194">
                  <c:v>3.4478000000000002E-2</c:v>
                </c:pt>
                <c:pt idx="195">
                  <c:v>3.4644000000000001E-2</c:v>
                </c:pt>
                <c:pt idx="196">
                  <c:v>3.4894000000000001E-2</c:v>
                </c:pt>
                <c:pt idx="197">
                  <c:v>3.517E-2</c:v>
                </c:pt>
                <c:pt idx="198">
                  <c:v>3.5450000000000002E-2</c:v>
                </c:pt>
                <c:pt idx="199">
                  <c:v>3.5728000000000003E-2</c:v>
                </c:pt>
                <c:pt idx="200">
                  <c:v>3.6006000000000003E-2</c:v>
                </c:pt>
                <c:pt idx="201">
                  <c:v>3.6312000000000004E-2</c:v>
                </c:pt>
                <c:pt idx="202">
                  <c:v>3.6616000000000003E-2</c:v>
                </c:pt>
                <c:pt idx="203">
                  <c:v>3.6922000000000003E-2</c:v>
                </c:pt>
                <c:pt idx="204">
                  <c:v>3.7226000000000002E-2</c:v>
                </c:pt>
                <c:pt idx="205">
                  <c:v>3.7533999999999998E-2</c:v>
                </c:pt>
                <c:pt idx="206">
                  <c:v>3.7839999999999999E-2</c:v>
                </c:pt>
                <c:pt idx="207">
                  <c:v>3.8143999999999997E-2</c:v>
                </c:pt>
                <c:pt idx="208">
                  <c:v>3.8450000000000005E-2</c:v>
                </c:pt>
                <c:pt idx="209">
                  <c:v>3.8755999999999999E-2</c:v>
                </c:pt>
                <c:pt idx="210">
                  <c:v>3.8977999999999999E-2</c:v>
                </c:pt>
                <c:pt idx="211">
                  <c:v>3.9283999999999999E-2</c:v>
                </c:pt>
                <c:pt idx="212">
                  <c:v>3.9587999999999998E-2</c:v>
                </c:pt>
                <c:pt idx="213">
                  <c:v>3.9809999999999998E-2</c:v>
                </c:pt>
                <c:pt idx="214">
                  <c:v>4.0115999999999999E-2</c:v>
                </c:pt>
                <c:pt idx="215">
                  <c:v>4.0422E-2</c:v>
                </c:pt>
                <c:pt idx="216">
                  <c:v>4.0646000000000002E-2</c:v>
                </c:pt>
                <c:pt idx="217">
                  <c:v>4.0866E-2</c:v>
                </c:pt>
                <c:pt idx="218">
                  <c:v>4.1031999999999999E-2</c:v>
                </c:pt>
                <c:pt idx="219">
                  <c:v>4.1200000000000001E-2</c:v>
                </c:pt>
                <c:pt idx="220">
                  <c:v>4.1365999999999993E-2</c:v>
                </c:pt>
                <c:pt idx="221">
                  <c:v>4.1534000000000001E-2</c:v>
                </c:pt>
                <c:pt idx="222">
                  <c:v>4.1672000000000001E-2</c:v>
                </c:pt>
                <c:pt idx="223">
                  <c:v>4.1838E-2</c:v>
                </c:pt>
                <c:pt idx="224">
                  <c:v>4.2004E-2</c:v>
                </c:pt>
                <c:pt idx="225">
                  <c:v>4.2144000000000001E-2</c:v>
                </c:pt>
                <c:pt idx="226">
                  <c:v>4.231E-2</c:v>
                </c:pt>
                <c:pt idx="227">
                  <c:v>4.2450000000000002E-2</c:v>
                </c:pt>
                <c:pt idx="228">
                  <c:v>4.2588000000000001E-2</c:v>
                </c:pt>
                <c:pt idx="229">
                  <c:v>4.2754E-2</c:v>
                </c:pt>
                <c:pt idx="230">
                  <c:v>4.2893999999999995E-2</c:v>
                </c:pt>
                <c:pt idx="231">
                  <c:v>4.3033999999999996E-2</c:v>
                </c:pt>
                <c:pt idx="232">
                  <c:v>4.3174000000000004E-2</c:v>
                </c:pt>
                <c:pt idx="233">
                  <c:v>4.3311999999999996E-2</c:v>
                </c:pt>
                <c:pt idx="234">
                  <c:v>4.3449999999999996E-2</c:v>
                </c:pt>
                <c:pt idx="235">
                  <c:v>4.3589999999999997E-2</c:v>
                </c:pt>
                <c:pt idx="236">
                  <c:v>4.3727999999999996E-2</c:v>
                </c:pt>
                <c:pt idx="237">
                  <c:v>4.3895999999999998E-2</c:v>
                </c:pt>
                <c:pt idx="238">
                  <c:v>4.4062000000000004E-2</c:v>
                </c:pt>
                <c:pt idx="239">
                  <c:v>4.4198000000000001E-2</c:v>
                </c:pt>
                <c:pt idx="240">
                  <c:v>4.4366000000000003E-2</c:v>
                </c:pt>
                <c:pt idx="241">
                  <c:v>4.4534000000000004E-2</c:v>
                </c:pt>
                <c:pt idx="242">
                  <c:v>4.4699999999999997E-2</c:v>
                </c:pt>
                <c:pt idx="243">
                  <c:v>4.4839999999999998E-2</c:v>
                </c:pt>
                <c:pt idx="244">
                  <c:v>4.4950000000000004E-2</c:v>
                </c:pt>
                <c:pt idx="245">
                  <c:v>4.5087999999999996E-2</c:v>
                </c:pt>
                <c:pt idx="246">
                  <c:v>4.5199999999999997E-2</c:v>
                </c:pt>
                <c:pt idx="247">
                  <c:v>4.5339999999999998E-2</c:v>
                </c:pt>
                <c:pt idx="248">
                  <c:v>4.5449999999999997E-2</c:v>
                </c:pt>
                <c:pt idx="249">
                  <c:v>4.5589999999999999E-2</c:v>
                </c:pt>
                <c:pt idx="250">
                  <c:v>4.5700000000000005E-2</c:v>
                </c:pt>
                <c:pt idx="251">
                  <c:v>4.5810000000000003E-2</c:v>
                </c:pt>
                <c:pt idx="252">
                  <c:v>4.5949999999999998E-2</c:v>
                </c:pt>
                <c:pt idx="253">
                  <c:v>4.6059999999999997E-2</c:v>
                </c:pt>
                <c:pt idx="254">
                  <c:v>4.6199999999999998E-2</c:v>
                </c:pt>
                <c:pt idx="255">
                  <c:v>4.6311999999999999E-2</c:v>
                </c:pt>
                <c:pt idx="256">
                  <c:v>4.6421999999999998E-2</c:v>
                </c:pt>
                <c:pt idx="257">
                  <c:v>4.6559999999999997E-2</c:v>
                </c:pt>
                <c:pt idx="258">
                  <c:v>4.6669999999999996E-2</c:v>
                </c:pt>
                <c:pt idx="259">
                  <c:v>4.6783999999999999E-2</c:v>
                </c:pt>
                <c:pt idx="260">
                  <c:v>4.6896000000000007E-2</c:v>
                </c:pt>
                <c:pt idx="261">
                  <c:v>4.7033999999999999E-2</c:v>
                </c:pt>
                <c:pt idx="262">
                  <c:v>4.7146E-2</c:v>
                </c:pt>
                <c:pt idx="263">
                  <c:v>4.7253999999999997E-2</c:v>
                </c:pt>
                <c:pt idx="264">
                  <c:v>4.7337999999999998E-2</c:v>
                </c:pt>
                <c:pt idx="265">
                  <c:v>4.7449999999999999E-2</c:v>
                </c:pt>
                <c:pt idx="266">
                  <c:v>4.7560000000000005E-2</c:v>
                </c:pt>
                <c:pt idx="267">
                  <c:v>4.7671999999999999E-2</c:v>
                </c:pt>
                <c:pt idx="268">
                  <c:v>4.7784000000000007E-2</c:v>
                </c:pt>
                <c:pt idx="269">
                  <c:v>4.7893999999999999E-2</c:v>
                </c:pt>
                <c:pt idx="270">
                  <c:v>4.8006E-2</c:v>
                </c:pt>
                <c:pt idx="271">
                  <c:v>4.8087999999999999E-2</c:v>
                </c:pt>
                <c:pt idx="272">
                  <c:v>4.8197999999999998E-2</c:v>
                </c:pt>
                <c:pt idx="273">
                  <c:v>4.8284000000000001E-2</c:v>
                </c:pt>
                <c:pt idx="274">
                  <c:v>4.8394000000000006E-2</c:v>
                </c:pt>
                <c:pt idx="275">
                  <c:v>4.8478E-2</c:v>
                </c:pt>
                <c:pt idx="276">
                  <c:v>4.8590000000000001E-2</c:v>
                </c:pt>
                <c:pt idx="277">
                  <c:v>4.8672000000000007E-2</c:v>
                </c:pt>
                <c:pt idx="278">
                  <c:v>4.8781999999999999E-2</c:v>
                </c:pt>
                <c:pt idx="279">
                  <c:v>4.8894E-2</c:v>
                </c:pt>
                <c:pt idx="280">
                  <c:v>4.8978000000000001E-2</c:v>
                </c:pt>
                <c:pt idx="281">
                  <c:v>4.9062000000000001E-2</c:v>
                </c:pt>
                <c:pt idx="282">
                  <c:v>4.9172E-2</c:v>
                </c:pt>
                <c:pt idx="283">
                  <c:v>4.9284000000000001E-2</c:v>
                </c:pt>
                <c:pt idx="284">
                  <c:v>4.9367999999999995E-2</c:v>
                </c:pt>
                <c:pt idx="285">
                  <c:v>4.9450000000000001E-2</c:v>
                </c:pt>
                <c:pt idx="286">
                  <c:v>4.9560000000000007E-2</c:v>
                </c:pt>
                <c:pt idx="287">
                  <c:v>4.9672000000000001E-2</c:v>
                </c:pt>
                <c:pt idx="288">
                  <c:v>4.9753999999999993E-2</c:v>
                </c:pt>
                <c:pt idx="289">
                  <c:v>4.9837999999999993E-2</c:v>
                </c:pt>
                <c:pt idx="290">
                  <c:v>4.9950000000000001E-2</c:v>
                </c:pt>
                <c:pt idx="291">
                  <c:v>5.006E-2</c:v>
                </c:pt>
                <c:pt idx="292">
                  <c:v>5.0172000000000001E-2</c:v>
                </c:pt>
                <c:pt idx="293">
                  <c:v>5.0282E-2</c:v>
                </c:pt>
                <c:pt idx="294">
                  <c:v>5.0364000000000006E-2</c:v>
                </c:pt>
                <c:pt idx="295">
                  <c:v>5.0450000000000002E-2</c:v>
                </c:pt>
                <c:pt idx="296">
                  <c:v>5.0533999999999996E-2</c:v>
                </c:pt>
                <c:pt idx="297">
                  <c:v>5.0617999999999996E-2</c:v>
                </c:pt>
                <c:pt idx="298">
                  <c:v>5.0728000000000002E-2</c:v>
                </c:pt>
                <c:pt idx="299">
                  <c:v>5.0811999999999996E-2</c:v>
                </c:pt>
                <c:pt idx="300">
                  <c:v>5.0894000000000002E-2</c:v>
                </c:pt>
                <c:pt idx="301">
                  <c:v>5.0978000000000002E-2</c:v>
                </c:pt>
                <c:pt idx="302">
                  <c:v>5.1062000000000003E-2</c:v>
                </c:pt>
                <c:pt idx="303">
                  <c:v>5.1143999999999995E-2</c:v>
                </c:pt>
                <c:pt idx="304">
                  <c:v>5.1256000000000003E-2</c:v>
                </c:pt>
                <c:pt idx="305">
                  <c:v>5.1338000000000002E-2</c:v>
                </c:pt>
                <c:pt idx="306">
                  <c:v>5.1421999999999995E-2</c:v>
                </c:pt>
                <c:pt idx="307">
                  <c:v>5.1505999999999996E-2</c:v>
                </c:pt>
                <c:pt idx="308">
                  <c:v>5.1589999999999997E-2</c:v>
                </c:pt>
                <c:pt idx="309">
                  <c:v>5.1673999999999998E-2</c:v>
                </c:pt>
                <c:pt idx="310">
                  <c:v>5.1756000000000003E-2</c:v>
                </c:pt>
                <c:pt idx="311">
                  <c:v>5.1837999999999995E-2</c:v>
                </c:pt>
                <c:pt idx="312">
                  <c:v>5.1920000000000001E-2</c:v>
                </c:pt>
                <c:pt idx="313">
                  <c:v>5.2005999999999997E-2</c:v>
                </c:pt>
                <c:pt idx="314">
                  <c:v>5.2088000000000002E-2</c:v>
                </c:pt>
                <c:pt idx="315">
                  <c:v>5.2172000000000003E-2</c:v>
                </c:pt>
                <c:pt idx="316">
                  <c:v>5.2255999999999997E-2</c:v>
                </c:pt>
                <c:pt idx="317">
                  <c:v>5.2337999999999996E-2</c:v>
                </c:pt>
                <c:pt idx="318">
                  <c:v>5.2423999999999998E-2</c:v>
                </c:pt>
                <c:pt idx="319">
                  <c:v>5.2506000000000004E-2</c:v>
                </c:pt>
                <c:pt idx="320">
                  <c:v>5.2587999999999996E-2</c:v>
                </c:pt>
                <c:pt idx="321">
                  <c:v>5.2671999999999997E-2</c:v>
                </c:pt>
                <c:pt idx="322">
                  <c:v>5.2754000000000002E-2</c:v>
                </c:pt>
                <c:pt idx="323">
                  <c:v>5.2838000000000003E-2</c:v>
                </c:pt>
                <c:pt idx="324">
                  <c:v>5.2922000000000004E-2</c:v>
                </c:pt>
                <c:pt idx="325">
                  <c:v>5.3006000000000005E-2</c:v>
                </c:pt>
                <c:pt idx="326">
                  <c:v>5.3089999999999998E-2</c:v>
                </c:pt>
                <c:pt idx="327">
                  <c:v>5.3171999999999997E-2</c:v>
                </c:pt>
                <c:pt idx="328">
                  <c:v>5.3255999999999998E-2</c:v>
                </c:pt>
                <c:pt idx="329">
                  <c:v>5.3338000000000003E-2</c:v>
                </c:pt>
                <c:pt idx="330">
                  <c:v>5.3421999999999997E-2</c:v>
                </c:pt>
                <c:pt idx="331">
                  <c:v>5.3503999999999996E-2</c:v>
                </c:pt>
                <c:pt idx="332">
                  <c:v>5.3587999999999997E-2</c:v>
                </c:pt>
                <c:pt idx="333">
                  <c:v>5.3672000000000004E-2</c:v>
                </c:pt>
                <c:pt idx="334">
                  <c:v>5.3756000000000005E-2</c:v>
                </c:pt>
                <c:pt idx="335">
                  <c:v>5.3840000000000006E-2</c:v>
                </c:pt>
                <c:pt idx="336">
                  <c:v>5.3921999999999998E-2</c:v>
                </c:pt>
                <c:pt idx="337">
                  <c:v>5.4005999999999998E-2</c:v>
                </c:pt>
                <c:pt idx="338">
                  <c:v>5.4088000000000004E-2</c:v>
                </c:pt>
                <c:pt idx="339">
                  <c:v>5.4172000000000005E-2</c:v>
                </c:pt>
                <c:pt idx="340">
                  <c:v>5.4255999999999999E-2</c:v>
                </c:pt>
                <c:pt idx="341">
                  <c:v>5.4337999999999997E-2</c:v>
                </c:pt>
                <c:pt idx="342">
                  <c:v>5.4420000000000003E-2</c:v>
                </c:pt>
                <c:pt idx="343">
                  <c:v>5.4477999999999999E-2</c:v>
                </c:pt>
                <c:pt idx="344">
                  <c:v>5.4561999999999999E-2</c:v>
                </c:pt>
                <c:pt idx="345">
                  <c:v>5.4646E-2</c:v>
                </c:pt>
                <c:pt idx="346">
                  <c:v>5.4728000000000006E-2</c:v>
                </c:pt>
                <c:pt idx="347">
                  <c:v>5.4812E-2</c:v>
                </c:pt>
                <c:pt idx="348">
                  <c:v>5.4865999999999998E-2</c:v>
                </c:pt>
                <c:pt idx="349">
                  <c:v>5.4949999999999999E-2</c:v>
                </c:pt>
                <c:pt idx="350">
                  <c:v>5.5031999999999998E-2</c:v>
                </c:pt>
                <c:pt idx="351">
                  <c:v>5.5115999999999998E-2</c:v>
                </c:pt>
                <c:pt idx="352">
                  <c:v>5.5199999999999999E-2</c:v>
                </c:pt>
                <c:pt idx="353">
                  <c:v>5.5284000000000007E-2</c:v>
                </c:pt>
                <c:pt idx="354">
                  <c:v>5.5365999999999999E-2</c:v>
                </c:pt>
                <c:pt idx="355">
                  <c:v>5.5424000000000001E-2</c:v>
                </c:pt>
                <c:pt idx="356">
                  <c:v>5.5507999999999995E-2</c:v>
                </c:pt>
                <c:pt idx="357">
                  <c:v>5.5590000000000001E-2</c:v>
                </c:pt>
                <c:pt idx="358">
                  <c:v>5.5671999999999999E-2</c:v>
                </c:pt>
                <c:pt idx="359">
                  <c:v>5.5753999999999998E-2</c:v>
                </c:pt>
                <c:pt idx="360">
                  <c:v>5.5837999999999999E-2</c:v>
                </c:pt>
                <c:pt idx="361">
                  <c:v>5.5921999999999999E-2</c:v>
                </c:pt>
                <c:pt idx="362">
                  <c:v>5.6006E-2</c:v>
                </c:pt>
                <c:pt idx="363">
                  <c:v>5.6090000000000001E-2</c:v>
                </c:pt>
                <c:pt idx="364">
                  <c:v>5.62E-2</c:v>
                </c:pt>
                <c:pt idx="365">
                  <c:v>5.6312000000000001E-2</c:v>
                </c:pt>
                <c:pt idx="366">
                  <c:v>5.6422E-2</c:v>
                </c:pt>
                <c:pt idx="367">
                  <c:v>5.6534000000000001E-2</c:v>
                </c:pt>
                <c:pt idx="368">
                  <c:v>5.6644E-2</c:v>
                </c:pt>
                <c:pt idx="369">
                  <c:v>5.6756000000000001E-2</c:v>
                </c:pt>
                <c:pt idx="370">
                  <c:v>5.6866E-2</c:v>
                </c:pt>
                <c:pt idx="371">
                  <c:v>5.6978000000000001E-2</c:v>
                </c:pt>
                <c:pt idx="372">
                  <c:v>5.7089999999999995E-2</c:v>
                </c:pt>
                <c:pt idx="373">
                  <c:v>5.7172000000000001E-2</c:v>
                </c:pt>
                <c:pt idx="374">
                  <c:v>5.7282E-2</c:v>
                </c:pt>
                <c:pt idx="375">
                  <c:v>5.7394000000000001E-2</c:v>
                </c:pt>
                <c:pt idx="376">
                  <c:v>5.7504E-2</c:v>
                </c:pt>
                <c:pt idx="377">
                  <c:v>5.7615999999999994E-2</c:v>
                </c:pt>
                <c:pt idx="378">
                  <c:v>5.7728000000000002E-2</c:v>
                </c:pt>
                <c:pt idx="379">
                  <c:v>5.7838000000000001E-2</c:v>
                </c:pt>
                <c:pt idx="380">
                  <c:v>5.7950000000000002E-2</c:v>
                </c:pt>
                <c:pt idx="381">
                  <c:v>5.806E-2</c:v>
                </c:pt>
                <c:pt idx="382">
                  <c:v>5.8141999999999999E-2</c:v>
                </c:pt>
                <c:pt idx="383">
                  <c:v>5.8255999999999995E-2</c:v>
                </c:pt>
                <c:pt idx="384">
                  <c:v>5.8338000000000001E-2</c:v>
                </c:pt>
                <c:pt idx="385">
                  <c:v>5.8449999999999995E-2</c:v>
                </c:pt>
                <c:pt idx="386">
                  <c:v>5.8533999999999996E-2</c:v>
                </c:pt>
                <c:pt idx="387">
                  <c:v>5.8644000000000002E-2</c:v>
                </c:pt>
                <c:pt idx="388">
                  <c:v>5.8727999999999995E-2</c:v>
                </c:pt>
                <c:pt idx="389">
                  <c:v>5.8838000000000001E-2</c:v>
                </c:pt>
                <c:pt idx="390">
                  <c:v>5.8922000000000002E-2</c:v>
                </c:pt>
                <c:pt idx="391">
                  <c:v>5.9005999999999996E-2</c:v>
                </c:pt>
                <c:pt idx="392">
                  <c:v>5.9118000000000004E-2</c:v>
                </c:pt>
                <c:pt idx="393">
                  <c:v>5.9202000000000005E-2</c:v>
                </c:pt>
                <c:pt idx="394">
                  <c:v>5.9311999999999997E-2</c:v>
                </c:pt>
                <c:pt idx="395">
                  <c:v>5.9396000000000004E-2</c:v>
                </c:pt>
                <c:pt idx="396">
                  <c:v>5.9505999999999996E-2</c:v>
                </c:pt>
                <c:pt idx="397">
                  <c:v>5.9588000000000002E-2</c:v>
                </c:pt>
                <c:pt idx="398">
                  <c:v>5.9698000000000001E-2</c:v>
                </c:pt>
                <c:pt idx="399">
                  <c:v>5.9782000000000002E-2</c:v>
                </c:pt>
                <c:pt idx="400">
                  <c:v>5.9866000000000003E-2</c:v>
                </c:pt>
                <c:pt idx="401">
                  <c:v>5.9950000000000003E-2</c:v>
                </c:pt>
                <c:pt idx="402">
                  <c:v>6.0034000000000004E-2</c:v>
                </c:pt>
                <c:pt idx="403">
                  <c:v>6.0145999999999998E-2</c:v>
                </c:pt>
                <c:pt idx="404">
                  <c:v>6.0255999999999997E-2</c:v>
                </c:pt>
                <c:pt idx="405">
                  <c:v>6.0366000000000003E-2</c:v>
                </c:pt>
                <c:pt idx="406">
                  <c:v>6.0477999999999997E-2</c:v>
                </c:pt>
                <c:pt idx="407">
                  <c:v>6.0587999999999996E-2</c:v>
                </c:pt>
                <c:pt idx="408">
                  <c:v>6.0700000000000004E-2</c:v>
                </c:pt>
                <c:pt idx="409">
                  <c:v>6.0811999999999998E-2</c:v>
                </c:pt>
                <c:pt idx="410">
                  <c:v>6.0922000000000004E-2</c:v>
                </c:pt>
                <c:pt idx="411">
                  <c:v>6.1033999999999998E-2</c:v>
                </c:pt>
                <c:pt idx="412">
                  <c:v>6.1143999999999997E-2</c:v>
                </c:pt>
                <c:pt idx="413">
                  <c:v>6.1256000000000005E-2</c:v>
                </c:pt>
                <c:pt idx="414">
                  <c:v>6.1365999999999997E-2</c:v>
                </c:pt>
                <c:pt idx="415">
                  <c:v>6.1478000000000005E-2</c:v>
                </c:pt>
                <c:pt idx="416">
                  <c:v>6.1589999999999999E-2</c:v>
                </c:pt>
                <c:pt idx="417">
                  <c:v>6.1702000000000007E-2</c:v>
                </c:pt>
                <c:pt idx="418">
                  <c:v>6.1810000000000004E-2</c:v>
                </c:pt>
                <c:pt idx="419">
                  <c:v>6.1921999999999998E-2</c:v>
                </c:pt>
                <c:pt idx="420">
                  <c:v>6.2034000000000006E-2</c:v>
                </c:pt>
                <c:pt idx="421">
                  <c:v>6.2144000000000005E-2</c:v>
                </c:pt>
                <c:pt idx="422">
                  <c:v>6.2255999999999999E-2</c:v>
                </c:pt>
                <c:pt idx="423">
                  <c:v>6.2366000000000005E-2</c:v>
                </c:pt>
                <c:pt idx="424">
                  <c:v>6.2476000000000004E-2</c:v>
                </c:pt>
                <c:pt idx="425">
                  <c:v>6.2588000000000005E-2</c:v>
                </c:pt>
                <c:pt idx="426">
                  <c:v>6.2699999999999992E-2</c:v>
                </c:pt>
                <c:pt idx="427">
                  <c:v>6.2809999999999991E-2</c:v>
                </c:pt>
                <c:pt idx="428">
                  <c:v>6.2923999999999994E-2</c:v>
                </c:pt>
                <c:pt idx="429">
                  <c:v>6.3033999999999993E-2</c:v>
                </c:pt>
                <c:pt idx="430">
                  <c:v>6.3146000000000008E-2</c:v>
                </c:pt>
                <c:pt idx="431">
                  <c:v>6.3255999999999993E-2</c:v>
                </c:pt>
                <c:pt idx="432">
                  <c:v>6.3365999999999992E-2</c:v>
                </c:pt>
                <c:pt idx="433">
                  <c:v>6.3503999999999991E-2</c:v>
                </c:pt>
                <c:pt idx="434">
                  <c:v>6.3643999999999992E-2</c:v>
                </c:pt>
                <c:pt idx="435">
                  <c:v>6.3756000000000007E-2</c:v>
                </c:pt>
                <c:pt idx="436">
                  <c:v>6.3867999999999994E-2</c:v>
                </c:pt>
                <c:pt idx="437">
                  <c:v>6.3979999999999995E-2</c:v>
                </c:pt>
                <c:pt idx="438">
                  <c:v>6.4089999999999994E-2</c:v>
                </c:pt>
                <c:pt idx="439">
                  <c:v>6.4199999999999993E-2</c:v>
                </c:pt>
                <c:pt idx="440">
                  <c:v>6.4310000000000006E-2</c:v>
                </c:pt>
                <c:pt idx="441">
                  <c:v>6.4421999999999993E-2</c:v>
                </c:pt>
                <c:pt idx="442">
                  <c:v>6.4534000000000008E-2</c:v>
                </c:pt>
                <c:pt idx="443">
                  <c:v>6.4644000000000007E-2</c:v>
                </c:pt>
                <c:pt idx="444">
                  <c:v>6.4755999999999994E-2</c:v>
                </c:pt>
                <c:pt idx="445">
                  <c:v>6.4867999999999995E-2</c:v>
                </c:pt>
                <c:pt idx="446">
                  <c:v>6.4977999999999994E-2</c:v>
                </c:pt>
                <c:pt idx="447">
                  <c:v>6.5087999999999993E-2</c:v>
                </c:pt>
                <c:pt idx="448">
                  <c:v>6.5199999999999994E-2</c:v>
                </c:pt>
                <c:pt idx="449">
                  <c:v>6.5311999999999995E-2</c:v>
                </c:pt>
                <c:pt idx="450">
                  <c:v>6.5422000000000008E-2</c:v>
                </c:pt>
                <c:pt idx="451">
                  <c:v>6.5533999999999995E-2</c:v>
                </c:pt>
                <c:pt idx="452">
                  <c:v>6.5643999999999994E-2</c:v>
                </c:pt>
                <c:pt idx="453">
                  <c:v>6.5755999999999995E-2</c:v>
                </c:pt>
                <c:pt idx="454">
                  <c:v>6.5865999999999994E-2</c:v>
                </c:pt>
                <c:pt idx="455">
                  <c:v>6.5978000000000009E-2</c:v>
                </c:pt>
                <c:pt idx="456">
                  <c:v>6.6087999999999994E-2</c:v>
                </c:pt>
                <c:pt idx="457">
                  <c:v>6.6197999999999993E-2</c:v>
                </c:pt>
                <c:pt idx="458">
                  <c:v>6.634000000000001E-2</c:v>
                </c:pt>
                <c:pt idx="459">
                  <c:v>6.6475999999999993E-2</c:v>
                </c:pt>
                <c:pt idx="460">
                  <c:v>6.6615999999999995E-2</c:v>
                </c:pt>
                <c:pt idx="461">
                  <c:v>6.6755999999999996E-2</c:v>
                </c:pt>
                <c:pt idx="462">
                  <c:v>6.6896000000000011E-2</c:v>
                </c:pt>
                <c:pt idx="463">
                  <c:v>6.7033999999999996E-2</c:v>
                </c:pt>
                <c:pt idx="464">
                  <c:v>6.7171999999999996E-2</c:v>
                </c:pt>
                <c:pt idx="465">
                  <c:v>6.7309999999999995E-2</c:v>
                </c:pt>
                <c:pt idx="466">
                  <c:v>6.7447999999999994E-2</c:v>
                </c:pt>
                <c:pt idx="467">
                  <c:v>6.7587999999999995E-2</c:v>
                </c:pt>
                <c:pt idx="468">
                  <c:v>6.7727999999999997E-2</c:v>
                </c:pt>
                <c:pt idx="469">
                  <c:v>6.7865999999999996E-2</c:v>
                </c:pt>
                <c:pt idx="470">
                  <c:v>6.8003999999999995E-2</c:v>
                </c:pt>
                <c:pt idx="471">
                  <c:v>6.8143999999999996E-2</c:v>
                </c:pt>
                <c:pt idx="472">
                  <c:v>6.8281999999999995E-2</c:v>
                </c:pt>
                <c:pt idx="473">
                  <c:v>6.8421999999999997E-2</c:v>
                </c:pt>
                <c:pt idx="474">
                  <c:v>6.8561999999999998E-2</c:v>
                </c:pt>
                <c:pt idx="475">
                  <c:v>6.8701999999999999E-2</c:v>
                </c:pt>
                <c:pt idx="476">
                  <c:v>6.8837999999999996E-2</c:v>
                </c:pt>
                <c:pt idx="477">
                  <c:v>6.8975999999999996E-2</c:v>
                </c:pt>
                <c:pt idx="478">
                  <c:v>6.9143999999999997E-2</c:v>
                </c:pt>
                <c:pt idx="479">
                  <c:v>6.928200000000001E-2</c:v>
                </c:pt>
                <c:pt idx="480">
                  <c:v>6.9452E-2</c:v>
                </c:pt>
                <c:pt idx="481">
                  <c:v>6.9587999999999997E-2</c:v>
                </c:pt>
                <c:pt idx="482">
                  <c:v>6.9725999999999996E-2</c:v>
                </c:pt>
                <c:pt idx="483">
                  <c:v>6.9893999999999998E-2</c:v>
                </c:pt>
                <c:pt idx="484">
                  <c:v>7.0033999999999999E-2</c:v>
                </c:pt>
                <c:pt idx="485">
                  <c:v>7.0199999999999999E-2</c:v>
                </c:pt>
                <c:pt idx="486">
                  <c:v>7.0337999999999998E-2</c:v>
                </c:pt>
                <c:pt idx="487">
                  <c:v>7.0477999999999999E-2</c:v>
                </c:pt>
                <c:pt idx="488">
                  <c:v>7.0643999999999998E-2</c:v>
                </c:pt>
                <c:pt idx="489">
                  <c:v>7.0784E-2</c:v>
                </c:pt>
                <c:pt idx="490">
                  <c:v>7.0924000000000001E-2</c:v>
                </c:pt>
                <c:pt idx="491">
                  <c:v>7.1059999999999998E-2</c:v>
                </c:pt>
                <c:pt idx="492">
                  <c:v>7.1199999999999999E-2</c:v>
                </c:pt>
                <c:pt idx="493">
                  <c:v>7.1340000000000001E-2</c:v>
                </c:pt>
                <c:pt idx="494">
                  <c:v>7.1475999999999998E-2</c:v>
                </c:pt>
                <c:pt idx="495">
                  <c:v>7.1646000000000001E-2</c:v>
                </c:pt>
                <c:pt idx="496">
                  <c:v>7.1809999999999999E-2</c:v>
                </c:pt>
                <c:pt idx="497">
                  <c:v>7.1975999999999998E-2</c:v>
                </c:pt>
                <c:pt idx="498">
                  <c:v>7.2144E-2</c:v>
                </c:pt>
                <c:pt idx="499">
                  <c:v>7.2312000000000001E-2</c:v>
                </c:pt>
                <c:pt idx="500">
                  <c:v>7.2480000000000003E-2</c:v>
                </c:pt>
                <c:pt idx="501">
                  <c:v>7.2644E-2</c:v>
                </c:pt>
                <c:pt idx="502">
                  <c:v>7.2784000000000001E-2</c:v>
                </c:pt>
                <c:pt idx="503">
                  <c:v>7.2922000000000001E-2</c:v>
                </c:pt>
                <c:pt idx="504">
                  <c:v>7.3062000000000002E-2</c:v>
                </c:pt>
                <c:pt idx="505">
                  <c:v>7.3202000000000003E-2</c:v>
                </c:pt>
                <c:pt idx="506">
                  <c:v>7.3338E-2</c:v>
                </c:pt>
                <c:pt idx="507">
                  <c:v>7.3478000000000002E-2</c:v>
                </c:pt>
                <c:pt idx="508">
                  <c:v>7.3616000000000001E-2</c:v>
                </c:pt>
                <c:pt idx="509">
                  <c:v>7.3756000000000002E-2</c:v>
                </c:pt>
                <c:pt idx="510">
                  <c:v>7.3896000000000003E-2</c:v>
                </c:pt>
                <c:pt idx="511">
                  <c:v>7.4062000000000003E-2</c:v>
                </c:pt>
                <c:pt idx="512">
                  <c:v>7.4228000000000002E-2</c:v>
                </c:pt>
                <c:pt idx="513">
                  <c:v>7.4394000000000002E-2</c:v>
                </c:pt>
                <c:pt idx="514">
                  <c:v>7.4560000000000001E-2</c:v>
                </c:pt>
                <c:pt idx="515">
                  <c:v>7.4728000000000003E-2</c:v>
                </c:pt>
                <c:pt idx="516">
                  <c:v>7.4894000000000002E-2</c:v>
                </c:pt>
                <c:pt idx="517">
                  <c:v>7.5062000000000004E-2</c:v>
                </c:pt>
                <c:pt idx="518">
                  <c:v>7.5228000000000003E-2</c:v>
                </c:pt>
                <c:pt idx="519">
                  <c:v>7.5394000000000003E-2</c:v>
                </c:pt>
                <c:pt idx="520">
                  <c:v>7.556199999999999E-2</c:v>
                </c:pt>
                <c:pt idx="521">
                  <c:v>7.5726000000000002E-2</c:v>
                </c:pt>
                <c:pt idx="522">
                  <c:v>7.5894000000000003E-2</c:v>
                </c:pt>
                <c:pt idx="523">
                  <c:v>7.6062000000000005E-2</c:v>
                </c:pt>
                <c:pt idx="524">
                  <c:v>7.6228000000000004E-2</c:v>
                </c:pt>
                <c:pt idx="525">
                  <c:v>7.6395999999999992E-2</c:v>
                </c:pt>
                <c:pt idx="526">
                  <c:v>7.6560000000000003E-2</c:v>
                </c:pt>
                <c:pt idx="527">
                  <c:v>7.6726000000000003E-2</c:v>
                </c:pt>
                <c:pt idx="528">
                  <c:v>7.6894000000000004E-2</c:v>
                </c:pt>
                <c:pt idx="529">
                  <c:v>7.7060000000000003E-2</c:v>
                </c:pt>
                <c:pt idx="530">
                  <c:v>7.7226000000000003E-2</c:v>
                </c:pt>
                <c:pt idx="531">
                  <c:v>7.7394000000000004E-2</c:v>
                </c:pt>
                <c:pt idx="532">
                  <c:v>7.7560000000000004E-2</c:v>
                </c:pt>
                <c:pt idx="533">
                  <c:v>7.7728000000000005E-2</c:v>
                </c:pt>
                <c:pt idx="534">
                  <c:v>7.7896000000000007E-2</c:v>
                </c:pt>
                <c:pt idx="535">
                  <c:v>7.8061999999999993E-2</c:v>
                </c:pt>
                <c:pt idx="536">
                  <c:v>7.8228000000000006E-2</c:v>
                </c:pt>
                <c:pt idx="537">
                  <c:v>7.8422000000000006E-2</c:v>
                </c:pt>
                <c:pt idx="538">
                  <c:v>7.8616000000000005E-2</c:v>
                </c:pt>
                <c:pt idx="539">
                  <c:v>7.8810000000000005E-2</c:v>
                </c:pt>
                <c:pt idx="540">
                  <c:v>7.9005999999999993E-2</c:v>
                </c:pt>
                <c:pt idx="541">
                  <c:v>7.9199999999999993E-2</c:v>
                </c:pt>
                <c:pt idx="542">
                  <c:v>7.9396000000000008E-2</c:v>
                </c:pt>
                <c:pt idx="543">
                  <c:v>7.9588000000000006E-2</c:v>
                </c:pt>
                <c:pt idx="544">
                  <c:v>7.9783999999999994E-2</c:v>
                </c:pt>
                <c:pt idx="545">
                  <c:v>7.9977999999999994E-2</c:v>
                </c:pt>
                <c:pt idx="546">
                  <c:v>8.0172000000000007E-2</c:v>
                </c:pt>
                <c:pt idx="547">
                  <c:v>8.0364000000000005E-2</c:v>
                </c:pt>
                <c:pt idx="548">
                  <c:v>8.0559999999999993E-2</c:v>
                </c:pt>
                <c:pt idx="549">
                  <c:v>8.0755999999999994E-2</c:v>
                </c:pt>
                <c:pt idx="550">
                  <c:v>8.0950000000000008E-2</c:v>
                </c:pt>
                <c:pt idx="551">
                  <c:v>8.1143999999999994E-2</c:v>
                </c:pt>
                <c:pt idx="552">
                  <c:v>8.134000000000001E-2</c:v>
                </c:pt>
                <c:pt idx="553">
                  <c:v>8.1533999999999995E-2</c:v>
                </c:pt>
                <c:pt idx="554">
                  <c:v>8.1729999999999997E-2</c:v>
                </c:pt>
                <c:pt idx="555">
                  <c:v>8.1920000000000007E-2</c:v>
                </c:pt>
                <c:pt idx="556">
                  <c:v>8.2116000000000008E-2</c:v>
                </c:pt>
                <c:pt idx="557">
                  <c:v>8.2309999999999994E-2</c:v>
                </c:pt>
                <c:pt idx="558">
                  <c:v>8.250600000000001E-2</c:v>
                </c:pt>
                <c:pt idx="559">
                  <c:v>8.2699999999999996E-2</c:v>
                </c:pt>
                <c:pt idx="560">
                  <c:v>8.2894000000000009E-2</c:v>
                </c:pt>
                <c:pt idx="561">
                  <c:v>8.3089999999999997E-2</c:v>
                </c:pt>
                <c:pt idx="562">
                  <c:v>8.3283999999999997E-2</c:v>
                </c:pt>
                <c:pt idx="563">
                  <c:v>8.3477999999999997E-2</c:v>
                </c:pt>
                <c:pt idx="564">
                  <c:v>8.367200000000001E-2</c:v>
                </c:pt>
                <c:pt idx="565">
                  <c:v>8.3865999999999996E-2</c:v>
                </c:pt>
                <c:pt idx="566">
                  <c:v>8.4061999999999998E-2</c:v>
                </c:pt>
                <c:pt idx="567">
                  <c:v>8.428200000000001E-2</c:v>
                </c:pt>
                <c:pt idx="568">
                  <c:v>8.4503999999999996E-2</c:v>
                </c:pt>
                <c:pt idx="569">
                  <c:v>8.4700000000000011E-2</c:v>
                </c:pt>
                <c:pt idx="570">
                  <c:v>8.4893999999999997E-2</c:v>
                </c:pt>
                <c:pt idx="571">
                  <c:v>8.5088000000000011E-2</c:v>
                </c:pt>
                <c:pt idx="572">
                  <c:v>8.5283999999999999E-2</c:v>
                </c:pt>
                <c:pt idx="573">
                  <c:v>8.548E-2</c:v>
                </c:pt>
                <c:pt idx="574">
                  <c:v>8.5671999999999998E-2</c:v>
                </c:pt>
                <c:pt idx="575">
                  <c:v>8.5866000000000012E-2</c:v>
                </c:pt>
                <c:pt idx="576">
                  <c:v>8.609E-2</c:v>
                </c:pt>
                <c:pt idx="577">
                  <c:v>8.6312E-2</c:v>
                </c:pt>
                <c:pt idx="578">
                  <c:v>8.6531999999999998E-2</c:v>
                </c:pt>
                <c:pt idx="579">
                  <c:v>8.6756E-2</c:v>
                </c:pt>
                <c:pt idx="580">
                  <c:v>8.6975999999999998E-2</c:v>
                </c:pt>
                <c:pt idx="581">
                  <c:v>8.72E-2</c:v>
                </c:pt>
                <c:pt idx="582">
                  <c:v>8.7422E-2</c:v>
                </c:pt>
                <c:pt idx="583">
                  <c:v>8.7646000000000002E-2</c:v>
                </c:pt>
                <c:pt idx="584">
                  <c:v>8.7868000000000002E-2</c:v>
                </c:pt>
                <c:pt idx="585">
                  <c:v>8.8088E-2</c:v>
                </c:pt>
                <c:pt idx="586">
                  <c:v>8.831E-2</c:v>
                </c:pt>
                <c:pt idx="587">
                  <c:v>8.8532E-2</c:v>
                </c:pt>
                <c:pt idx="588">
                  <c:v>8.8754000000000013E-2</c:v>
                </c:pt>
                <c:pt idx="589">
                  <c:v>8.8978000000000002E-2</c:v>
                </c:pt>
                <c:pt idx="590">
                  <c:v>8.920199999999999E-2</c:v>
                </c:pt>
                <c:pt idx="591">
                  <c:v>8.942399999999999E-2</c:v>
                </c:pt>
                <c:pt idx="592">
                  <c:v>8.967E-2</c:v>
                </c:pt>
                <c:pt idx="593">
                  <c:v>8.9894000000000002E-2</c:v>
                </c:pt>
                <c:pt idx="594">
                  <c:v>9.011799999999999E-2</c:v>
                </c:pt>
                <c:pt idx="595">
                  <c:v>9.0337999999999988E-2</c:v>
                </c:pt>
                <c:pt idx="596">
                  <c:v>9.0562000000000004E-2</c:v>
                </c:pt>
                <c:pt idx="597">
                  <c:v>9.0810000000000002E-2</c:v>
                </c:pt>
                <c:pt idx="598">
                  <c:v>9.1060000000000002E-2</c:v>
                </c:pt>
                <c:pt idx="599">
                  <c:v>9.1310000000000002E-2</c:v>
                </c:pt>
                <c:pt idx="600">
                  <c:v>9.1562000000000004E-2</c:v>
                </c:pt>
                <c:pt idx="601">
                  <c:v>9.1812000000000005E-2</c:v>
                </c:pt>
                <c:pt idx="602">
                  <c:v>9.2059999999999989E-2</c:v>
                </c:pt>
                <c:pt idx="603">
                  <c:v>9.2311999999999991E-2</c:v>
                </c:pt>
                <c:pt idx="604">
                  <c:v>9.2560000000000003E-2</c:v>
                </c:pt>
                <c:pt idx="605">
                  <c:v>9.2812000000000006E-2</c:v>
                </c:pt>
                <c:pt idx="606">
                  <c:v>9.3062000000000006E-2</c:v>
                </c:pt>
                <c:pt idx="607">
                  <c:v>9.3312000000000006E-2</c:v>
                </c:pt>
                <c:pt idx="608">
                  <c:v>9.3561999999999992E-2</c:v>
                </c:pt>
                <c:pt idx="609">
                  <c:v>9.3810000000000004E-2</c:v>
                </c:pt>
                <c:pt idx="610">
                  <c:v>9.4062000000000007E-2</c:v>
                </c:pt>
                <c:pt idx="611">
                  <c:v>9.4309999999999991E-2</c:v>
                </c:pt>
                <c:pt idx="612">
                  <c:v>9.4562000000000007E-2</c:v>
                </c:pt>
                <c:pt idx="613">
                  <c:v>9.4811999999999994E-2</c:v>
                </c:pt>
                <c:pt idx="614">
                  <c:v>9.5060000000000006E-2</c:v>
                </c:pt>
                <c:pt idx="615">
                  <c:v>9.5312000000000008E-2</c:v>
                </c:pt>
                <c:pt idx="616">
                  <c:v>9.5562000000000008E-2</c:v>
                </c:pt>
                <c:pt idx="617">
                  <c:v>9.5809999999999992E-2</c:v>
                </c:pt>
                <c:pt idx="618">
                  <c:v>9.6061999999999995E-2</c:v>
                </c:pt>
                <c:pt idx="619">
                  <c:v>9.6340000000000009E-2</c:v>
                </c:pt>
                <c:pt idx="620">
                  <c:v>9.6615999999999994E-2</c:v>
                </c:pt>
                <c:pt idx="621">
                  <c:v>9.6893999999999994E-2</c:v>
                </c:pt>
                <c:pt idx="622">
                  <c:v>9.7173999999999996E-2</c:v>
                </c:pt>
                <c:pt idx="623">
                  <c:v>9.7449999999999995E-2</c:v>
                </c:pt>
                <c:pt idx="624">
                  <c:v>9.7727999999999995E-2</c:v>
                </c:pt>
                <c:pt idx="625">
                  <c:v>9.8005999999999996E-2</c:v>
                </c:pt>
                <c:pt idx="626">
                  <c:v>9.8282000000000008E-2</c:v>
                </c:pt>
                <c:pt idx="627">
                  <c:v>9.8559999999999995E-2</c:v>
                </c:pt>
                <c:pt idx="628">
                  <c:v>9.8838000000000009E-2</c:v>
                </c:pt>
                <c:pt idx="629">
                  <c:v>9.9115999999999996E-2</c:v>
                </c:pt>
                <c:pt idx="630">
                  <c:v>9.9423999999999998E-2</c:v>
                </c:pt>
                <c:pt idx="631">
                  <c:v>9.9727999999999997E-2</c:v>
                </c:pt>
                <c:pt idx="632">
                  <c:v>0.100034</c:v>
                </c:pt>
                <c:pt idx="633">
                  <c:v>0.100338</c:v>
                </c:pt>
                <c:pt idx="634">
                  <c:v>0.100644</c:v>
                </c:pt>
                <c:pt idx="635">
                  <c:v>0.10095000000000001</c:v>
                </c:pt>
                <c:pt idx="636">
                  <c:v>0.10125400000000001</c:v>
                </c:pt>
                <c:pt idx="637">
                  <c:v>0.10156000000000001</c:v>
                </c:pt>
                <c:pt idx="638">
                  <c:v>0.101866</c:v>
                </c:pt>
                <c:pt idx="639">
                  <c:v>0.102172</c:v>
                </c:pt>
                <c:pt idx="640">
                  <c:v>0.102478</c:v>
                </c:pt>
                <c:pt idx="641">
                  <c:v>0.102782</c:v>
                </c:pt>
                <c:pt idx="642">
                  <c:v>0.103088</c:v>
                </c:pt>
                <c:pt idx="643">
                  <c:v>0.103394</c:v>
                </c:pt>
                <c:pt idx="644">
                  <c:v>0.10369999999999999</c:v>
                </c:pt>
                <c:pt idx="645">
                  <c:v>0.104034</c:v>
                </c:pt>
                <c:pt idx="646">
                  <c:v>0.104366</c:v>
                </c:pt>
                <c:pt idx="647">
                  <c:v>0.104672</c:v>
                </c:pt>
                <c:pt idx="648">
                  <c:v>0.105006</c:v>
                </c:pt>
                <c:pt idx="649">
                  <c:v>0.10534</c:v>
                </c:pt>
                <c:pt idx="650">
                  <c:v>0.105672</c:v>
                </c:pt>
                <c:pt idx="651">
                  <c:v>0.106004</c:v>
                </c:pt>
                <c:pt idx="652">
                  <c:v>0.10634</c:v>
                </c:pt>
                <c:pt idx="653">
                  <c:v>0.10667199999999999</c:v>
                </c:pt>
                <c:pt idx="654">
                  <c:v>0.10700599999999999</c:v>
                </c:pt>
                <c:pt idx="655">
                  <c:v>0.107338</c:v>
                </c:pt>
                <c:pt idx="656">
                  <c:v>0.10770200000000001</c:v>
                </c:pt>
                <c:pt idx="657">
                  <c:v>0.10805999999999999</c:v>
                </c:pt>
                <c:pt idx="658">
                  <c:v>0.108422</c:v>
                </c:pt>
                <c:pt idx="659">
                  <c:v>0.10878199999999999</c:v>
                </c:pt>
                <c:pt idx="660">
                  <c:v>0.109144</c:v>
                </c:pt>
                <c:pt idx="661">
                  <c:v>0.10950599999999999</c:v>
                </c:pt>
                <c:pt idx="662">
                  <c:v>0.10986599999999999</c:v>
                </c:pt>
                <c:pt idx="663">
                  <c:v>0.11022800000000001</c:v>
                </c:pt>
                <c:pt idx="664">
                  <c:v>0.11058999999999999</c:v>
                </c:pt>
                <c:pt idx="665">
                  <c:v>0.11097799999999999</c:v>
                </c:pt>
                <c:pt idx="666">
                  <c:v>0.11136799999999999</c:v>
                </c:pt>
                <c:pt idx="667">
                  <c:v>0.11175599999999999</c:v>
                </c:pt>
                <c:pt idx="668">
                  <c:v>0.11214399999999999</c:v>
                </c:pt>
                <c:pt idx="669">
                  <c:v>0.112534</c:v>
                </c:pt>
                <c:pt idx="670">
                  <c:v>0.11292199999999999</c:v>
                </c:pt>
                <c:pt idx="671">
                  <c:v>0.113284</c:v>
                </c:pt>
                <c:pt idx="672">
                  <c:v>0.11367200000000001</c:v>
                </c:pt>
                <c:pt idx="673">
                  <c:v>0.114062</c:v>
                </c:pt>
                <c:pt idx="674">
                  <c:v>0.11445</c:v>
                </c:pt>
                <c:pt idx="675">
                  <c:v>0.11484</c:v>
                </c:pt>
                <c:pt idx="676">
                  <c:v>0.115228</c:v>
                </c:pt>
                <c:pt idx="677">
                  <c:v>0.115618</c:v>
                </c:pt>
                <c:pt idx="678">
                  <c:v>0.116006</c:v>
                </c:pt>
                <c:pt idx="679">
                  <c:v>0.11642200000000001</c:v>
                </c:pt>
                <c:pt idx="680">
                  <c:v>0.11684</c:v>
                </c:pt>
                <c:pt idx="681">
                  <c:v>0.11725400000000001</c:v>
                </c:pt>
                <c:pt idx="682">
                  <c:v>0.11767200000000001</c:v>
                </c:pt>
                <c:pt idx="683">
                  <c:v>0.118088</c:v>
                </c:pt>
                <c:pt idx="684">
                  <c:v>0.118506</c:v>
                </c:pt>
                <c:pt idx="685">
                  <c:v>0.11895</c:v>
                </c:pt>
                <c:pt idx="686">
                  <c:v>0.119396</c:v>
                </c:pt>
                <c:pt idx="687">
                  <c:v>0.119838</c:v>
                </c:pt>
                <c:pt idx="688">
                  <c:v>0.120284</c:v>
                </c:pt>
                <c:pt idx="689">
                  <c:v>0.120728</c:v>
                </c:pt>
                <c:pt idx="690">
                  <c:v>0.12119999999999999</c:v>
                </c:pt>
                <c:pt idx="691">
                  <c:v>0.121674</c:v>
                </c:pt>
                <c:pt idx="692">
                  <c:v>0.12214399999999999</c:v>
                </c:pt>
                <c:pt idx="693">
                  <c:v>0.122616</c:v>
                </c:pt>
                <c:pt idx="694">
                  <c:v>0.12308999999999999</c:v>
                </c:pt>
                <c:pt idx="695">
                  <c:v>0.12356</c:v>
                </c:pt>
                <c:pt idx="696">
                  <c:v>0.12403399999999999</c:v>
                </c:pt>
                <c:pt idx="697">
                  <c:v>0.124504</c:v>
                </c:pt>
                <c:pt idx="698">
                  <c:v>0.12497799999999999</c:v>
                </c:pt>
                <c:pt idx="699">
                  <c:v>0.12545000000000001</c:v>
                </c:pt>
                <c:pt idx="700">
                  <c:v>0.12595000000000001</c:v>
                </c:pt>
                <c:pt idx="701">
                  <c:v>0.12645000000000001</c:v>
                </c:pt>
                <c:pt idx="702">
                  <c:v>0.12695000000000001</c:v>
                </c:pt>
                <c:pt idx="703">
                  <c:v>0.12747800000000001</c:v>
                </c:pt>
                <c:pt idx="704">
                  <c:v>0.12800599999999998</c:v>
                </c:pt>
                <c:pt idx="705">
                  <c:v>0.12853199999999998</c:v>
                </c:pt>
                <c:pt idx="706">
                  <c:v>0.12909000000000001</c:v>
                </c:pt>
                <c:pt idx="707">
                  <c:v>0.12964399999999998</c:v>
                </c:pt>
                <c:pt idx="708">
                  <c:v>0.13019999999999998</c:v>
                </c:pt>
                <c:pt idx="709">
                  <c:v>0.13078400000000001</c:v>
                </c:pt>
                <c:pt idx="710">
                  <c:v>0.13136599999999998</c:v>
                </c:pt>
                <c:pt idx="711">
                  <c:v>0.13194800000000001</c:v>
                </c:pt>
                <c:pt idx="712">
                  <c:v>0.13258800000000001</c:v>
                </c:pt>
                <c:pt idx="713">
                  <c:v>0.13328400000000001</c:v>
                </c:pt>
              </c:numCache>
            </c:numRef>
          </c:cat>
          <c:val>
            <c:numRef>
              <c:f>'A11-5'!$F$2:$F$715</c:f>
              <c:numCache>
                <c:formatCode>0.00</c:formatCode>
                <c:ptCount val="714"/>
                <c:pt idx="0">
                  <c:v>0</c:v>
                </c:pt>
                <c:pt idx="1">
                  <c:v>1.1548802346423335E-2</c:v>
                </c:pt>
                <c:pt idx="2">
                  <c:v>2.309760469284667E-2</c:v>
                </c:pt>
                <c:pt idx="3">
                  <c:v>3.8496007821411118E-2</c:v>
                </c:pt>
                <c:pt idx="4">
                  <c:v>5.3894410949975574E-2</c:v>
                </c:pt>
                <c:pt idx="5">
                  <c:v>6.9292814078540002E-2</c:v>
                </c:pt>
                <c:pt idx="6">
                  <c:v>8.8540817989245582E-2</c:v>
                </c:pt>
                <c:pt idx="7">
                  <c:v>0.10393922111781001</c:v>
                </c:pt>
                <c:pt idx="8">
                  <c:v>0.12318722502851558</c:v>
                </c:pt>
                <c:pt idx="9">
                  <c:v>0.14243522893922114</c:v>
                </c:pt>
                <c:pt idx="10">
                  <c:v>0.16553057049227818</c:v>
                </c:pt>
                <c:pt idx="11">
                  <c:v>0.18477857440298373</c:v>
                </c:pt>
                <c:pt idx="12">
                  <c:v>0.20402657831368931</c:v>
                </c:pt>
                <c:pt idx="13">
                  <c:v>0.22712870928611523</c:v>
                </c:pt>
                <c:pt idx="14">
                  <c:v>0.24636539749787267</c:v>
                </c:pt>
                <c:pt idx="15">
                  <c:v>0.26947205474987784</c:v>
                </c:pt>
                <c:pt idx="16">
                  <c:v>0.29257871200188301</c:v>
                </c:pt>
                <c:pt idx="17">
                  <c:v>0.31566273785599192</c:v>
                </c:pt>
                <c:pt idx="18">
                  <c:v>0.33876939510799708</c:v>
                </c:pt>
                <c:pt idx="19">
                  <c:v>0.36185342096210604</c:v>
                </c:pt>
                <c:pt idx="20">
                  <c:v>0.38496007821411121</c:v>
                </c:pt>
                <c:pt idx="21">
                  <c:v>0.4041967664258686</c:v>
                </c:pt>
                <c:pt idx="22">
                  <c:v>0.42730342367787377</c:v>
                </c:pt>
                <c:pt idx="23">
                  <c:v>0.450410080929879</c:v>
                </c:pt>
                <c:pt idx="24">
                  <c:v>0.4734941067839879</c:v>
                </c:pt>
                <c:pt idx="25">
                  <c:v>0.49660076403599307</c:v>
                </c:pt>
                <c:pt idx="26">
                  <c:v>0.51968478989010203</c:v>
                </c:pt>
                <c:pt idx="27">
                  <c:v>0.54279144714210714</c:v>
                </c:pt>
                <c:pt idx="28">
                  <c:v>0.56202813535386464</c:v>
                </c:pt>
                <c:pt idx="29">
                  <c:v>0.58513479260586987</c:v>
                </c:pt>
                <c:pt idx="30">
                  <c:v>0.60824144985787487</c:v>
                </c:pt>
                <c:pt idx="31">
                  <c:v>0.62747813806963237</c:v>
                </c:pt>
                <c:pt idx="32">
                  <c:v>0.65058479532163749</c:v>
                </c:pt>
                <c:pt idx="33">
                  <c:v>0.67366882117574656</c:v>
                </c:pt>
                <c:pt idx="34">
                  <c:v>0.69677547842775156</c:v>
                </c:pt>
                <c:pt idx="35">
                  <c:v>0.71601216663950917</c:v>
                </c:pt>
                <c:pt idx="36">
                  <c:v>0.73911882389151418</c:v>
                </c:pt>
                <c:pt idx="37">
                  <c:v>0.7622254811435194</c:v>
                </c:pt>
                <c:pt idx="38">
                  <c:v>0.7814621693552769</c:v>
                </c:pt>
                <c:pt idx="39">
                  <c:v>0.80456882660728202</c:v>
                </c:pt>
                <c:pt idx="40">
                  <c:v>0.82765285246139086</c:v>
                </c:pt>
                <c:pt idx="41">
                  <c:v>0.84691217207104452</c:v>
                </c:pt>
                <c:pt idx="42">
                  <c:v>0.86999619792515359</c:v>
                </c:pt>
                <c:pt idx="43">
                  <c:v>0.89310285517715871</c:v>
                </c:pt>
                <c:pt idx="44">
                  <c:v>0.91233954338891621</c:v>
                </c:pt>
                <c:pt idx="45">
                  <c:v>0.93544620064092132</c:v>
                </c:pt>
                <c:pt idx="46">
                  <c:v>0.95470552025057498</c:v>
                </c:pt>
                <c:pt idx="47">
                  <c:v>0.97778954610468394</c:v>
                </c:pt>
                <c:pt idx="48">
                  <c:v>0.9970488657143376</c:v>
                </c:pt>
                <c:pt idx="49">
                  <c:v>1.0201328915684464</c:v>
                </c:pt>
                <c:pt idx="50">
                  <c:v>1.0393922111781002</c:v>
                </c:pt>
                <c:pt idx="51">
                  <c:v>1.0624762370322094</c:v>
                </c:pt>
                <c:pt idx="52">
                  <c:v>1.0817355566418627</c:v>
                </c:pt>
                <c:pt idx="53">
                  <c:v>1.1009722448536203</c:v>
                </c:pt>
                <c:pt idx="54">
                  <c:v>1.1240789021056252</c:v>
                </c:pt>
                <c:pt idx="55">
                  <c:v>1.1433155903173828</c:v>
                </c:pt>
                <c:pt idx="56">
                  <c:v>1.1625749099270364</c:v>
                </c:pt>
                <c:pt idx="57">
                  <c:v>1.1856589357811456</c:v>
                </c:pt>
                <c:pt idx="58">
                  <c:v>1.2049182553907991</c:v>
                </c:pt>
                <c:pt idx="59">
                  <c:v>1.2241549436025565</c:v>
                </c:pt>
                <c:pt idx="60">
                  <c:v>1.2472616008545618</c:v>
                </c:pt>
                <c:pt idx="61">
                  <c:v>1.2665209204642154</c:v>
                </c:pt>
                <c:pt idx="62">
                  <c:v>1.285757608675973</c:v>
                </c:pt>
                <c:pt idx="63">
                  <c:v>1.3049942968877302</c:v>
                </c:pt>
                <c:pt idx="64">
                  <c:v>1.3281009541397353</c:v>
                </c:pt>
                <c:pt idx="65">
                  <c:v>1.347360273749389</c:v>
                </c:pt>
                <c:pt idx="66">
                  <c:v>1.3665969619611464</c:v>
                </c:pt>
                <c:pt idx="67">
                  <c:v>1.3858562815708002</c:v>
                </c:pt>
                <c:pt idx="68">
                  <c:v>1.4089403074249092</c:v>
                </c:pt>
                <c:pt idx="69">
                  <c:v>1.4281996270345629</c:v>
                </c:pt>
                <c:pt idx="70">
                  <c:v>1.4474363152463203</c:v>
                </c:pt>
                <c:pt idx="71">
                  <c:v>1.4666956348559743</c:v>
                </c:pt>
                <c:pt idx="72">
                  <c:v>1.4859323230677315</c:v>
                </c:pt>
                <c:pt idx="73">
                  <c:v>1.505191642677385</c:v>
                </c:pt>
                <c:pt idx="74">
                  <c:v>1.5244283308891424</c:v>
                </c:pt>
                <c:pt idx="75">
                  <c:v>1.5475349881411478</c:v>
                </c:pt>
                <c:pt idx="76">
                  <c:v>1.5667716763529054</c:v>
                </c:pt>
                <c:pt idx="77">
                  <c:v>1.5860309959625587</c:v>
                </c:pt>
                <c:pt idx="78">
                  <c:v>1.6052676841743163</c:v>
                </c:pt>
                <c:pt idx="79">
                  <c:v>1.6245270037839699</c:v>
                </c:pt>
                <c:pt idx="80">
                  <c:v>1.6437636919957277</c:v>
                </c:pt>
                <c:pt idx="81">
                  <c:v>1.6630230116053812</c:v>
                </c:pt>
                <c:pt idx="82">
                  <c:v>1.6822596998171384</c:v>
                </c:pt>
                <c:pt idx="83">
                  <c:v>1.7015190194267922</c:v>
                </c:pt>
                <c:pt idx="84">
                  <c:v>1.7207557076385498</c:v>
                </c:pt>
                <c:pt idx="85">
                  <c:v>1.7400150272482036</c:v>
                </c:pt>
                <c:pt idx="86">
                  <c:v>1.7592517154599607</c:v>
                </c:pt>
                <c:pt idx="87">
                  <c:v>1.7823583727119658</c:v>
                </c:pt>
                <c:pt idx="88">
                  <c:v>1.7977477232813721</c:v>
                </c:pt>
                <c:pt idx="89">
                  <c:v>1.8170070428910259</c:v>
                </c:pt>
                <c:pt idx="90">
                  <c:v>1.8400910687451346</c:v>
                </c:pt>
                <c:pt idx="91">
                  <c:v>1.8593503883547882</c:v>
                </c:pt>
                <c:pt idx="92">
                  <c:v>1.8785870765665456</c:v>
                </c:pt>
                <c:pt idx="93">
                  <c:v>1.8978463961761991</c:v>
                </c:pt>
                <c:pt idx="94">
                  <c:v>1.9170830843879569</c:v>
                </c:pt>
                <c:pt idx="95">
                  <c:v>1.9363424039976103</c:v>
                </c:pt>
                <c:pt idx="96">
                  <c:v>1.9555790922093679</c:v>
                </c:pt>
                <c:pt idx="97">
                  <c:v>1.9748384118190214</c:v>
                </c:pt>
                <c:pt idx="98">
                  <c:v>1.994075100030779</c:v>
                </c:pt>
                <c:pt idx="99">
                  <c:v>2.0133344196404326</c:v>
                </c:pt>
                <c:pt idx="100">
                  <c:v>2.0325711078521902</c:v>
                </c:pt>
                <c:pt idx="101">
                  <c:v>2.0518304274618435</c:v>
                </c:pt>
                <c:pt idx="102">
                  <c:v>2.0710671156736016</c:v>
                </c:pt>
                <c:pt idx="103">
                  <c:v>2.0864790976409036</c:v>
                </c:pt>
                <c:pt idx="104">
                  <c:v>2.1057157858526607</c:v>
                </c:pt>
                <c:pt idx="105">
                  <c:v>2.1249751054623145</c:v>
                </c:pt>
                <c:pt idx="106">
                  <c:v>2.1442117936740721</c:v>
                </c:pt>
                <c:pt idx="107">
                  <c:v>2.1634711132837254</c:v>
                </c:pt>
                <c:pt idx="108">
                  <c:v>2.182707801495483</c:v>
                </c:pt>
                <c:pt idx="109">
                  <c:v>2.2019671211051368</c:v>
                </c:pt>
                <c:pt idx="110">
                  <c:v>2.2212038093168944</c:v>
                </c:pt>
                <c:pt idx="111">
                  <c:v>2.2404631289265478</c:v>
                </c:pt>
                <c:pt idx="112">
                  <c:v>2.2596998171383054</c:v>
                </c:pt>
                <c:pt idx="113">
                  <c:v>2.2789817681458548</c:v>
                </c:pt>
                <c:pt idx="114">
                  <c:v>2.2982184563576129</c:v>
                </c:pt>
                <c:pt idx="115">
                  <c:v>2.3174551445693701</c:v>
                </c:pt>
                <c:pt idx="116">
                  <c:v>2.3366918327811277</c:v>
                </c:pt>
                <c:pt idx="117">
                  <c:v>2.3520811833505335</c:v>
                </c:pt>
                <c:pt idx="118">
                  <c:v>2.3713178715622911</c:v>
                </c:pt>
                <c:pt idx="119">
                  <c:v>2.3905545597740483</c:v>
                </c:pt>
                <c:pt idx="120">
                  <c:v>2.4097912479858059</c:v>
                </c:pt>
                <c:pt idx="121">
                  <c:v>2.4290279361975635</c:v>
                </c:pt>
                <c:pt idx="122">
                  <c:v>2.4482646244093207</c:v>
                </c:pt>
                <c:pt idx="123">
                  <c:v>2.4675013126210783</c:v>
                </c:pt>
                <c:pt idx="124">
                  <c:v>2.4828906631904841</c:v>
                </c:pt>
                <c:pt idx="125">
                  <c:v>2.5021273514022417</c:v>
                </c:pt>
                <c:pt idx="126">
                  <c:v>2.5213640396139989</c:v>
                </c:pt>
                <c:pt idx="127">
                  <c:v>2.5408270418047185</c:v>
                </c:pt>
                <c:pt idx="128">
                  <c:v>2.5600637300164761</c:v>
                </c:pt>
                <c:pt idx="129">
                  <c:v>2.575453080585882</c:v>
                </c:pt>
                <c:pt idx="130">
                  <c:v>2.5946897687976396</c:v>
                </c:pt>
                <c:pt idx="131">
                  <c:v>2.6139264570093972</c:v>
                </c:pt>
                <c:pt idx="132">
                  <c:v>2.6331631452211544</c:v>
                </c:pt>
                <c:pt idx="133">
                  <c:v>2.652399833432912</c:v>
                </c:pt>
                <c:pt idx="134">
                  <c:v>2.6677891840023173</c:v>
                </c:pt>
                <c:pt idx="135">
                  <c:v>2.687025872214075</c:v>
                </c:pt>
                <c:pt idx="136">
                  <c:v>2.706262560425833</c:v>
                </c:pt>
                <c:pt idx="137">
                  <c:v>2.7254992486375906</c:v>
                </c:pt>
                <c:pt idx="138">
                  <c:v>2.740888599206996</c:v>
                </c:pt>
                <c:pt idx="139">
                  <c:v>2.7601252874187532</c:v>
                </c:pt>
                <c:pt idx="140">
                  <c:v>2.7793619756305112</c:v>
                </c:pt>
                <c:pt idx="141">
                  <c:v>2.7947513261999171</c:v>
                </c:pt>
                <c:pt idx="142">
                  <c:v>2.8139880144116747</c:v>
                </c:pt>
                <c:pt idx="143">
                  <c:v>2.8332247026234318</c:v>
                </c:pt>
                <c:pt idx="144">
                  <c:v>2.8486140531928381</c:v>
                </c:pt>
                <c:pt idx="145">
                  <c:v>2.8678507414045953</c:v>
                </c:pt>
                <c:pt idx="146">
                  <c:v>2.8870874296163525</c:v>
                </c:pt>
                <c:pt idx="147">
                  <c:v>2.9024767801857592</c:v>
                </c:pt>
                <c:pt idx="148">
                  <c:v>2.9217134683975163</c:v>
                </c:pt>
                <c:pt idx="149">
                  <c:v>2.9411764705882355</c:v>
                </c:pt>
                <c:pt idx="150">
                  <c:v>2.9565658211576413</c:v>
                </c:pt>
                <c:pt idx="151">
                  <c:v>2.9950391975811566</c:v>
                </c:pt>
                <c:pt idx="152">
                  <c:v>3.02966523636232</c:v>
                </c:pt>
                <c:pt idx="153">
                  <c:v>3.0642912751434839</c:v>
                </c:pt>
                <c:pt idx="154">
                  <c:v>3.1027646515669982</c:v>
                </c:pt>
                <c:pt idx="155">
                  <c:v>3.1373906903481616</c:v>
                </c:pt>
                <c:pt idx="156">
                  <c:v>3.1720167291293251</c:v>
                </c:pt>
                <c:pt idx="157">
                  <c:v>3.206642767910489</c:v>
                </c:pt>
                <c:pt idx="158">
                  <c:v>3.241268806691652</c:v>
                </c:pt>
                <c:pt idx="159">
                  <c:v>3.2797421831151667</c:v>
                </c:pt>
                <c:pt idx="160">
                  <c:v>3.3145945358752926</c:v>
                </c:pt>
                <c:pt idx="161">
                  <c:v>3.3492205746564561</c:v>
                </c:pt>
                <c:pt idx="162">
                  <c:v>3.3838466134376195</c:v>
                </c:pt>
                <c:pt idx="163">
                  <c:v>3.4184726522187829</c:v>
                </c:pt>
                <c:pt idx="164">
                  <c:v>3.4530986909999464</c:v>
                </c:pt>
                <c:pt idx="165">
                  <c:v>3.4877247297811098</c:v>
                </c:pt>
                <c:pt idx="166">
                  <c:v>3.5223507685622728</c:v>
                </c:pt>
                <c:pt idx="167">
                  <c:v>3.5569768073434358</c:v>
                </c:pt>
                <c:pt idx="168">
                  <c:v>3.5916028461245997</c:v>
                </c:pt>
                <c:pt idx="169">
                  <c:v>3.6262288849057631</c:v>
                </c:pt>
                <c:pt idx="170">
                  <c:v>3.6570075860445757</c:v>
                </c:pt>
                <c:pt idx="171">
                  <c:v>3.6916336248257386</c:v>
                </c:pt>
                <c:pt idx="172">
                  <c:v>3.7264859775858636</c:v>
                </c:pt>
                <c:pt idx="173">
                  <c:v>3.7572646787246762</c:v>
                </c:pt>
                <c:pt idx="174">
                  <c:v>3.7918907175058396</c:v>
                </c:pt>
                <c:pt idx="175">
                  <c:v>3.8265167562870031</c:v>
                </c:pt>
                <c:pt idx="176">
                  <c:v>3.8572954574258147</c:v>
                </c:pt>
                <c:pt idx="177">
                  <c:v>3.8919214962069781</c:v>
                </c:pt>
                <c:pt idx="178">
                  <c:v>3.9227001973457907</c:v>
                </c:pt>
                <c:pt idx="179">
                  <c:v>3.9573262361269537</c:v>
                </c:pt>
                <c:pt idx="180">
                  <c:v>3.9881049372657653</c:v>
                </c:pt>
                <c:pt idx="181">
                  <c:v>4.0188836384045779</c:v>
                </c:pt>
                <c:pt idx="182">
                  <c:v>4.0535096771857413</c:v>
                </c:pt>
                <c:pt idx="183">
                  <c:v>4.0842883783245529</c:v>
                </c:pt>
                <c:pt idx="184">
                  <c:v>4.115293393442327</c:v>
                </c:pt>
                <c:pt idx="185">
                  <c:v>4.1460720945811387</c:v>
                </c:pt>
                <c:pt idx="186">
                  <c:v>4.1806981333623012</c:v>
                </c:pt>
                <c:pt idx="187">
                  <c:v>4.2114768345011138</c:v>
                </c:pt>
                <c:pt idx="188">
                  <c:v>4.2422555356399263</c:v>
                </c:pt>
                <c:pt idx="189">
                  <c:v>4.2730342367787379</c:v>
                </c:pt>
                <c:pt idx="190">
                  <c:v>4.3038129379175496</c:v>
                </c:pt>
                <c:pt idx="191">
                  <c:v>4.338438976698713</c:v>
                </c:pt>
                <c:pt idx="192">
                  <c:v>4.3653703401951738</c:v>
                </c:pt>
                <c:pt idx="193">
                  <c:v>4.3999963789763363</c:v>
                </c:pt>
                <c:pt idx="194">
                  <c:v>4.4307750801151489</c:v>
                </c:pt>
                <c:pt idx="195">
                  <c:v>4.4577064436116096</c:v>
                </c:pt>
                <c:pt idx="196">
                  <c:v>4.4887114587293837</c:v>
                </c:pt>
                <c:pt idx="197">
                  <c:v>4.5194901598681945</c:v>
                </c:pt>
                <c:pt idx="198">
                  <c:v>4.5502688610070079</c:v>
                </c:pt>
                <c:pt idx="199">
                  <c:v>4.5810475621458187</c:v>
                </c:pt>
                <c:pt idx="200">
                  <c:v>4.6118262632846312</c:v>
                </c:pt>
                <c:pt idx="201">
                  <c:v>4.6387576267810919</c:v>
                </c:pt>
                <c:pt idx="202">
                  <c:v>4.6695363279199045</c:v>
                </c:pt>
                <c:pt idx="203">
                  <c:v>4.7118570419857697</c:v>
                </c:pt>
                <c:pt idx="204">
                  <c:v>4.7426357431245822</c:v>
                </c:pt>
                <c:pt idx="205">
                  <c:v>4.7849564571904484</c:v>
                </c:pt>
                <c:pt idx="206">
                  <c:v>4.8157351583292609</c:v>
                </c:pt>
                <c:pt idx="207">
                  <c:v>4.858055872395127</c:v>
                </c:pt>
                <c:pt idx="208">
                  <c:v>4.8852135498705493</c:v>
                </c:pt>
                <c:pt idx="209">
                  <c:v>4.915992251009361</c:v>
                </c:pt>
                <c:pt idx="210">
                  <c:v>4.9583129650752271</c:v>
                </c:pt>
                <c:pt idx="211">
                  <c:v>5.0006336791410941</c:v>
                </c:pt>
                <c:pt idx="212">
                  <c:v>5.0429543932069603</c:v>
                </c:pt>
                <c:pt idx="213">
                  <c:v>5.0852751072728264</c:v>
                </c:pt>
                <c:pt idx="214">
                  <c:v>5.1275958213386925</c:v>
                </c:pt>
                <c:pt idx="215">
                  <c:v>5.1699165354045595</c:v>
                </c:pt>
                <c:pt idx="216">
                  <c:v>5.2122372494704257</c:v>
                </c:pt>
                <c:pt idx="217">
                  <c:v>5.2545579635362927</c:v>
                </c:pt>
                <c:pt idx="218">
                  <c:v>5.2932576539387686</c:v>
                </c:pt>
                <c:pt idx="219">
                  <c:v>5.3355783680046347</c:v>
                </c:pt>
                <c:pt idx="220">
                  <c:v>5.3778990820705017</c:v>
                </c:pt>
                <c:pt idx="221">
                  <c:v>5.4202197961363678</c:v>
                </c:pt>
                <c:pt idx="222">
                  <c:v>5.4586931725598831</c:v>
                </c:pt>
                <c:pt idx="223">
                  <c:v>5.5010138866257501</c:v>
                </c:pt>
                <c:pt idx="224">
                  <c:v>5.5433346006916162</c:v>
                </c:pt>
                <c:pt idx="225">
                  <c:v>5.5856553147574832</c:v>
                </c:pt>
                <c:pt idx="226">
                  <c:v>5.6279760288233494</c:v>
                </c:pt>
                <c:pt idx="227">
                  <c:v>5.6666757192258261</c:v>
                </c:pt>
                <c:pt idx="228">
                  <c:v>5.7089964332916923</c:v>
                </c:pt>
                <c:pt idx="229">
                  <c:v>5.7513171473575584</c:v>
                </c:pt>
                <c:pt idx="230">
                  <c:v>5.7936378614234254</c:v>
                </c:pt>
                <c:pt idx="231">
                  <c:v>5.8359585754892915</c:v>
                </c:pt>
                <c:pt idx="232">
                  <c:v>5.8782792895551585</c:v>
                </c:pt>
                <c:pt idx="233">
                  <c:v>5.9206000036210247</c:v>
                </c:pt>
                <c:pt idx="234">
                  <c:v>5.9590733800445399</c:v>
                </c:pt>
                <c:pt idx="235">
                  <c:v>6.001394094110406</c:v>
                </c:pt>
                <c:pt idx="236">
                  <c:v>6.0439411221552346</c:v>
                </c:pt>
                <c:pt idx="237">
                  <c:v>6.0862618362211007</c:v>
                </c:pt>
                <c:pt idx="238">
                  <c:v>6.1285825502869677</c:v>
                </c:pt>
                <c:pt idx="239">
                  <c:v>6.1709032643528339</c:v>
                </c:pt>
                <c:pt idx="240">
                  <c:v>6.2132239784187</c:v>
                </c:pt>
                <c:pt idx="241">
                  <c:v>6.255544692484567</c:v>
                </c:pt>
                <c:pt idx="242">
                  <c:v>6.2978654065504314</c:v>
                </c:pt>
                <c:pt idx="243">
                  <c:v>6.3401861206162984</c:v>
                </c:pt>
                <c:pt idx="244">
                  <c:v>6.3825068346821645</c:v>
                </c:pt>
                <c:pt idx="245">
                  <c:v>6.4248275487480315</c:v>
                </c:pt>
                <c:pt idx="246">
                  <c:v>6.4673745767928592</c:v>
                </c:pt>
                <c:pt idx="247">
                  <c:v>6.5250846414281325</c:v>
                </c:pt>
                <c:pt idx="248">
                  <c:v>6.5827947060634049</c:v>
                </c:pt>
                <c:pt idx="249">
                  <c:v>6.6405047706986782</c:v>
                </c:pt>
                <c:pt idx="250">
                  <c:v>6.6982148353339506</c:v>
                </c:pt>
                <c:pt idx="251">
                  <c:v>6.7559248999692221</c:v>
                </c:pt>
                <c:pt idx="252">
                  <c:v>6.8136349646044945</c:v>
                </c:pt>
                <c:pt idx="253">
                  <c:v>6.8715713432187293</c:v>
                </c:pt>
                <c:pt idx="254">
                  <c:v>6.9292814078540008</c:v>
                </c:pt>
                <c:pt idx="255">
                  <c:v>6.9869914724892741</c:v>
                </c:pt>
                <c:pt idx="256">
                  <c:v>7.0447015371245456</c:v>
                </c:pt>
                <c:pt idx="257">
                  <c:v>7.102411601759818</c:v>
                </c:pt>
                <c:pt idx="258">
                  <c:v>7.1562743287527386</c:v>
                </c:pt>
                <c:pt idx="259">
                  <c:v>7.2142107073669735</c:v>
                </c:pt>
                <c:pt idx="260">
                  <c:v>7.2757681096445976</c:v>
                </c:pt>
                <c:pt idx="261">
                  <c:v>7.3296308366375182</c:v>
                </c:pt>
                <c:pt idx="262">
                  <c:v>7.3873409012727915</c:v>
                </c:pt>
                <c:pt idx="263">
                  <c:v>7.4488983035504148</c:v>
                </c:pt>
                <c:pt idx="264">
                  <c:v>7.5066083681856872</c:v>
                </c:pt>
                <c:pt idx="265">
                  <c:v>7.5643184328209596</c:v>
                </c:pt>
                <c:pt idx="266">
                  <c:v>7.6222548114351936</c:v>
                </c:pt>
                <c:pt idx="267">
                  <c:v>7.6838122137128169</c:v>
                </c:pt>
                <c:pt idx="268">
                  <c:v>7.7415222783480901</c:v>
                </c:pt>
                <c:pt idx="269">
                  <c:v>7.7992323429833625</c:v>
                </c:pt>
                <c:pt idx="270">
                  <c:v>7.8607897452609858</c:v>
                </c:pt>
                <c:pt idx="271">
                  <c:v>7.9184998098962582</c:v>
                </c:pt>
                <c:pt idx="272">
                  <c:v>7.9762098745315306</c:v>
                </c:pt>
                <c:pt idx="273">
                  <c:v>8.0341462531457655</c:v>
                </c:pt>
                <c:pt idx="274">
                  <c:v>8.0957036554233905</c:v>
                </c:pt>
                <c:pt idx="275">
                  <c:v>8.1572610577010138</c:v>
                </c:pt>
                <c:pt idx="276">
                  <c:v>8.2149711223362853</c:v>
                </c:pt>
                <c:pt idx="277">
                  <c:v>8.2726811869715586</c:v>
                </c:pt>
                <c:pt idx="278">
                  <c:v>8.3342385892491819</c:v>
                </c:pt>
                <c:pt idx="279">
                  <c:v>8.4075643184328221</c:v>
                </c:pt>
                <c:pt idx="280">
                  <c:v>8.4691217207104472</c:v>
                </c:pt>
                <c:pt idx="281">
                  <c:v>8.5268317853457187</c:v>
                </c:pt>
                <c:pt idx="282">
                  <c:v>8.588389187623342</c:v>
                </c:pt>
                <c:pt idx="283">
                  <c:v>8.6499465899009653</c:v>
                </c:pt>
                <c:pt idx="284">
                  <c:v>8.7115039921785904</c:v>
                </c:pt>
                <c:pt idx="285">
                  <c:v>8.7848297213622306</c:v>
                </c:pt>
                <c:pt idx="286">
                  <c:v>8.8463871236398539</c:v>
                </c:pt>
                <c:pt idx="287">
                  <c:v>8.9194865388445326</c:v>
                </c:pt>
                <c:pt idx="288">
                  <c:v>8.996433291691563</c:v>
                </c:pt>
                <c:pt idx="289">
                  <c:v>9.0695327068962399</c:v>
                </c:pt>
                <c:pt idx="290">
                  <c:v>9.1464794597432704</c:v>
                </c:pt>
                <c:pt idx="291">
                  <c:v>9.2236525265692624</c:v>
                </c:pt>
                <c:pt idx="292">
                  <c:v>9.3005992794162911</c:v>
                </c:pt>
                <c:pt idx="293">
                  <c:v>9.3775460322633215</c:v>
                </c:pt>
                <c:pt idx="294">
                  <c:v>9.454492785110352</c:v>
                </c:pt>
                <c:pt idx="295">
                  <c:v>9.5314395379573806</c:v>
                </c:pt>
                <c:pt idx="296">
                  <c:v>9.6086126047833726</c:v>
                </c:pt>
                <c:pt idx="297">
                  <c:v>9.6855593576304031</c:v>
                </c:pt>
                <c:pt idx="298">
                  <c:v>9.7663534481197853</c:v>
                </c:pt>
                <c:pt idx="299">
                  <c:v>9.8356055256821122</c:v>
                </c:pt>
                <c:pt idx="300">
                  <c:v>9.9163996161714945</c:v>
                </c:pt>
                <c:pt idx="301">
                  <c:v>9.9935726829974829</c:v>
                </c:pt>
                <c:pt idx="302">
                  <c:v>10.074366773486865</c:v>
                </c:pt>
                <c:pt idx="303">
                  <c:v>10.159008201618599</c:v>
                </c:pt>
                <c:pt idx="304">
                  <c:v>10.239802292107981</c:v>
                </c:pt>
                <c:pt idx="305">
                  <c:v>10.32059638259736</c:v>
                </c:pt>
                <c:pt idx="306">
                  <c:v>10.401616787065706</c:v>
                </c:pt>
                <c:pt idx="307">
                  <c:v>10.482410877555088</c:v>
                </c:pt>
                <c:pt idx="308">
                  <c:v>10.563204968044467</c:v>
                </c:pt>
                <c:pt idx="309">
                  <c:v>10.643999058533849</c:v>
                </c:pt>
                <c:pt idx="310">
                  <c:v>10.728866800644543</c:v>
                </c:pt>
                <c:pt idx="311">
                  <c:v>10.809660891133925</c:v>
                </c:pt>
                <c:pt idx="312">
                  <c:v>10.890454981623305</c:v>
                </c:pt>
                <c:pt idx="313">
                  <c:v>10.986638422682093</c:v>
                </c:pt>
                <c:pt idx="314">
                  <c:v>11.086669201383232</c:v>
                </c:pt>
                <c:pt idx="315">
                  <c:v>11.183078956420982</c:v>
                </c:pt>
                <c:pt idx="316">
                  <c:v>11.267720384552716</c:v>
                </c:pt>
                <c:pt idx="317">
                  <c:v>11.363903825611501</c:v>
                </c:pt>
                <c:pt idx="318">
                  <c:v>11.448545253743236</c:v>
                </c:pt>
                <c:pt idx="319">
                  <c:v>11.548802346423335</c:v>
                </c:pt>
                <c:pt idx="320">
                  <c:v>11.644985787482122</c:v>
                </c:pt>
                <c:pt idx="321">
                  <c:v>11.729627215613855</c:v>
                </c:pt>
                <c:pt idx="322">
                  <c:v>11.829657994314994</c:v>
                </c:pt>
                <c:pt idx="323">
                  <c:v>11.929915086995095</c:v>
                </c:pt>
                <c:pt idx="324">
                  <c:v>12.029945865696233</c:v>
                </c:pt>
                <c:pt idx="325">
                  <c:v>12.12612930675502</c:v>
                </c:pt>
                <c:pt idx="326">
                  <c:v>12.226160085456161</c:v>
                </c:pt>
                <c:pt idx="327">
                  <c:v>12.326417178136259</c:v>
                </c:pt>
                <c:pt idx="328">
                  <c:v>12.4264479568374</c:v>
                </c:pt>
                <c:pt idx="329">
                  <c:v>12.526478735538539</c:v>
                </c:pt>
                <c:pt idx="330">
                  <c:v>12.626509514239677</c:v>
                </c:pt>
                <c:pt idx="331">
                  <c:v>12.726766606919778</c:v>
                </c:pt>
                <c:pt idx="332">
                  <c:v>12.826797385620916</c:v>
                </c:pt>
                <c:pt idx="333">
                  <c:v>12.942217514891462</c:v>
                </c:pt>
                <c:pt idx="334">
                  <c:v>13.0422482935926</c:v>
                </c:pt>
                <c:pt idx="335">
                  <c:v>13.142505386272703</c:v>
                </c:pt>
                <c:pt idx="336">
                  <c:v>13.24253616497384</c:v>
                </c:pt>
                <c:pt idx="337">
                  <c:v>13.342566943674978</c:v>
                </c:pt>
                <c:pt idx="338">
                  <c:v>13.442824036355081</c:v>
                </c:pt>
                <c:pt idx="339">
                  <c:v>13.542854815056218</c:v>
                </c:pt>
                <c:pt idx="340">
                  <c:v>13.642885593757358</c:v>
                </c:pt>
                <c:pt idx="341">
                  <c:v>13.742916372458495</c:v>
                </c:pt>
                <c:pt idx="342">
                  <c:v>13.843173465138596</c:v>
                </c:pt>
                <c:pt idx="343">
                  <c:v>13.958593594409139</c:v>
                </c:pt>
                <c:pt idx="344">
                  <c:v>14.077861061322038</c:v>
                </c:pt>
                <c:pt idx="345">
                  <c:v>14.193281190592581</c:v>
                </c:pt>
                <c:pt idx="346">
                  <c:v>14.308927633842089</c:v>
                </c:pt>
                <c:pt idx="347">
                  <c:v>14.424347763112634</c:v>
                </c:pt>
                <c:pt idx="348">
                  <c:v>14.54361523002553</c:v>
                </c:pt>
                <c:pt idx="349">
                  <c:v>14.659261673275036</c:v>
                </c:pt>
                <c:pt idx="350">
                  <c:v>14.778529140187931</c:v>
                </c:pt>
                <c:pt idx="351">
                  <c:v>14.893949269458478</c:v>
                </c:pt>
                <c:pt idx="352">
                  <c:v>15.013443050350336</c:v>
                </c:pt>
                <c:pt idx="353">
                  <c:v>15.128863179620881</c:v>
                </c:pt>
                <c:pt idx="354">
                  <c:v>15.244283308891427</c:v>
                </c:pt>
                <c:pt idx="355">
                  <c:v>15.363550775804322</c:v>
                </c:pt>
                <c:pt idx="356">
                  <c:v>15.479197219053829</c:v>
                </c:pt>
                <c:pt idx="357">
                  <c:v>15.598464685966725</c:v>
                </c:pt>
                <c:pt idx="358">
                  <c:v>15.71388481523727</c:v>
                </c:pt>
                <c:pt idx="359">
                  <c:v>15.833378596129128</c:v>
                </c:pt>
                <c:pt idx="360">
                  <c:v>15.96803541361143</c:v>
                </c:pt>
                <c:pt idx="361">
                  <c:v>16.106539568736085</c:v>
                </c:pt>
                <c:pt idx="362">
                  <c:v>16.245270037839703</c:v>
                </c:pt>
                <c:pt idx="363">
                  <c:v>16.379926855322001</c:v>
                </c:pt>
                <c:pt idx="364">
                  <c:v>16.503041659877251</c:v>
                </c:pt>
                <c:pt idx="365">
                  <c:v>16.637924791338513</c:v>
                </c:pt>
                <c:pt idx="366">
                  <c:v>16.761039595893759</c:v>
                </c:pt>
                <c:pt idx="367">
                  <c:v>16.903391088660765</c:v>
                </c:pt>
                <c:pt idx="368">
                  <c:v>17.042121557764382</c:v>
                </c:pt>
                <c:pt idx="369">
                  <c:v>17.180625712889036</c:v>
                </c:pt>
                <c:pt idx="370">
                  <c:v>17.322977205656045</c:v>
                </c:pt>
                <c:pt idx="371">
                  <c:v>17.461707674759655</c:v>
                </c:pt>
                <c:pt idx="372">
                  <c:v>17.600211829884312</c:v>
                </c:pt>
                <c:pt idx="373">
                  <c:v>17.738942298987929</c:v>
                </c:pt>
                <c:pt idx="374">
                  <c:v>17.877446454112583</c:v>
                </c:pt>
                <c:pt idx="375">
                  <c:v>18.019797946879585</c:v>
                </c:pt>
                <c:pt idx="376">
                  <c:v>18.158528415983199</c:v>
                </c:pt>
                <c:pt idx="377">
                  <c:v>18.297032571107852</c:v>
                </c:pt>
                <c:pt idx="378">
                  <c:v>18.43553672623251</c:v>
                </c:pt>
                <c:pt idx="379">
                  <c:v>18.585809208263179</c:v>
                </c:pt>
                <c:pt idx="380">
                  <c:v>18.735855376314888</c:v>
                </c:pt>
                <c:pt idx="381">
                  <c:v>18.8935962196513</c:v>
                </c:pt>
                <c:pt idx="382">
                  <c:v>19.047716039324317</c:v>
                </c:pt>
                <c:pt idx="383">
                  <c:v>19.20545688266073</c:v>
                </c:pt>
                <c:pt idx="384">
                  <c:v>19.363424039976106</c:v>
                </c:pt>
                <c:pt idx="385">
                  <c:v>19.517317545670164</c:v>
                </c:pt>
                <c:pt idx="386">
                  <c:v>19.671211051364224</c:v>
                </c:pt>
                <c:pt idx="387">
                  <c:v>19.825330871037245</c:v>
                </c:pt>
                <c:pt idx="388">
                  <c:v>19.979224376731302</c:v>
                </c:pt>
                <c:pt idx="389">
                  <c:v>20.133344196404327</c:v>
                </c:pt>
                <c:pt idx="390">
                  <c:v>20.291085039740736</c:v>
                </c:pt>
                <c:pt idx="391">
                  <c:v>20.444978545434797</c:v>
                </c:pt>
                <c:pt idx="392">
                  <c:v>20.599098365107821</c:v>
                </c:pt>
                <c:pt idx="393">
                  <c:v>20.75683920844423</c:v>
                </c:pt>
                <c:pt idx="394">
                  <c:v>20.926348378686654</c:v>
                </c:pt>
                <c:pt idx="395">
                  <c:v>21.099478572592474</c:v>
                </c:pt>
                <c:pt idx="396">
                  <c:v>21.268987742834899</c:v>
                </c:pt>
                <c:pt idx="397">
                  <c:v>21.438270599098367</c:v>
                </c:pt>
                <c:pt idx="398">
                  <c:v>21.611400793004186</c:v>
                </c:pt>
                <c:pt idx="399">
                  <c:v>21.784757300888963</c:v>
                </c:pt>
                <c:pt idx="400">
                  <c:v>21.961734832437131</c:v>
                </c:pt>
                <c:pt idx="401">
                  <c:v>22.138938677964262</c:v>
                </c:pt>
                <c:pt idx="402">
                  <c:v>22.319763547154785</c:v>
                </c:pt>
                <c:pt idx="403">
                  <c:v>22.49696739268191</c:v>
                </c:pt>
                <c:pt idx="404">
                  <c:v>22.669871272608773</c:v>
                </c:pt>
                <c:pt idx="405">
                  <c:v>22.850922455778253</c:v>
                </c:pt>
                <c:pt idx="406">
                  <c:v>23.031973638947733</c:v>
                </c:pt>
                <c:pt idx="407">
                  <c:v>23.213024822117216</c:v>
                </c:pt>
                <c:pt idx="408">
                  <c:v>23.394076005286696</c:v>
                </c:pt>
                <c:pt idx="409">
                  <c:v>23.570600908876944</c:v>
                </c:pt>
                <c:pt idx="410">
                  <c:v>23.751652092046424</c:v>
                </c:pt>
                <c:pt idx="411">
                  <c:v>23.944018974163999</c:v>
                </c:pt>
                <c:pt idx="412">
                  <c:v>24.140912135860813</c:v>
                </c:pt>
                <c:pt idx="413">
                  <c:v>24.337805297557626</c:v>
                </c:pt>
                <c:pt idx="414">
                  <c:v>24.530172179675198</c:v>
                </c:pt>
                <c:pt idx="415">
                  <c:v>24.718012782213535</c:v>
                </c:pt>
                <c:pt idx="416">
                  <c:v>24.910379664331114</c:v>
                </c:pt>
                <c:pt idx="417">
                  <c:v>25.102746546448685</c:v>
                </c:pt>
                <c:pt idx="418">
                  <c:v>25.295113428566257</c:v>
                </c:pt>
                <c:pt idx="419">
                  <c:v>25.503322289211166</c:v>
                </c:pt>
                <c:pt idx="420">
                  <c:v>25.695689171328738</c:v>
                </c:pt>
                <c:pt idx="421">
                  <c:v>25.90389803197364</c:v>
                </c:pt>
                <c:pt idx="422">
                  <c:v>26.112106892618545</c:v>
                </c:pt>
                <c:pt idx="423">
                  <c:v>26.320315753263451</c:v>
                </c:pt>
                <c:pt idx="424">
                  <c:v>26.528524613908356</c:v>
                </c:pt>
                <c:pt idx="425">
                  <c:v>26.738996614342881</c:v>
                </c:pt>
                <c:pt idx="426">
                  <c:v>26.947205474987783</c:v>
                </c:pt>
                <c:pt idx="427">
                  <c:v>27.16673003458078</c:v>
                </c:pt>
                <c:pt idx="428">
                  <c:v>27.386254594173774</c:v>
                </c:pt>
                <c:pt idx="429">
                  <c:v>27.59446345481868</c:v>
                </c:pt>
                <c:pt idx="430">
                  <c:v>27.816251154201296</c:v>
                </c:pt>
                <c:pt idx="431">
                  <c:v>28.040301993373532</c:v>
                </c:pt>
                <c:pt idx="432">
                  <c:v>28.266615972335384</c:v>
                </c:pt>
                <c:pt idx="433">
                  <c:v>28.495193091086854</c:v>
                </c:pt>
                <c:pt idx="434">
                  <c:v>28.721507070048705</c:v>
                </c:pt>
                <c:pt idx="435">
                  <c:v>28.947821049010557</c:v>
                </c:pt>
                <c:pt idx="436">
                  <c:v>29.176398167762031</c:v>
                </c:pt>
                <c:pt idx="437">
                  <c:v>29.402712146723886</c:v>
                </c:pt>
                <c:pt idx="438">
                  <c:v>29.631289265475353</c:v>
                </c:pt>
                <c:pt idx="439">
                  <c:v>29.862129524016442</c:v>
                </c:pt>
                <c:pt idx="440">
                  <c:v>30.092969782557532</c:v>
                </c:pt>
                <c:pt idx="441">
                  <c:v>30.335125740046717</c:v>
                </c:pt>
                <c:pt idx="442">
                  <c:v>30.581807977115133</c:v>
                </c:pt>
                <c:pt idx="443">
                  <c:v>30.823963934604318</c:v>
                </c:pt>
                <c:pt idx="444">
                  <c:v>31.061593612514262</c:v>
                </c:pt>
                <c:pt idx="445">
                  <c:v>31.303749570003447</c:v>
                </c:pt>
                <c:pt idx="446">
                  <c:v>31.543642387703006</c:v>
                </c:pt>
                <c:pt idx="447">
                  <c:v>31.797114044140283</c:v>
                </c:pt>
                <c:pt idx="448">
                  <c:v>32.048322560787938</c:v>
                </c:pt>
                <c:pt idx="449">
                  <c:v>32.297267937645977</c:v>
                </c:pt>
                <c:pt idx="450">
                  <c:v>32.548476454293635</c:v>
                </c:pt>
                <c:pt idx="451">
                  <c:v>32.813263809679</c:v>
                </c:pt>
                <c:pt idx="452">
                  <c:v>33.075788025274747</c:v>
                </c:pt>
                <c:pt idx="453">
                  <c:v>33.338312240870501</c:v>
                </c:pt>
                <c:pt idx="454">
                  <c:v>33.598573316676621</c:v>
                </c:pt>
                <c:pt idx="455">
                  <c:v>33.852044973113905</c:v>
                </c:pt>
                <c:pt idx="456">
                  <c:v>34.107779769340802</c:v>
                </c:pt>
                <c:pt idx="457">
                  <c:v>34.356725146198833</c:v>
                </c:pt>
                <c:pt idx="458">
                  <c:v>34.626038781163437</c:v>
                </c:pt>
                <c:pt idx="459">
                  <c:v>34.893089276338422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11-4E5F-A276-BA0CB0330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655048"/>
        <c:axId val="325661192"/>
      </c:lineChart>
      <c:catAx>
        <c:axId val="325655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Deformação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661192"/>
        <c:crosses val="autoZero"/>
        <c:auto val="1"/>
        <c:lblAlgn val="ctr"/>
        <c:lblOffset val="100"/>
        <c:tickLblSkip val="50"/>
        <c:noMultiLvlLbl val="0"/>
      </c:catAx>
      <c:valAx>
        <c:axId val="32566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Tesnão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65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565785</xdr:colOff>
      <xdr:row>6</xdr:row>
      <xdr:rowOff>87630</xdr:rowOff>
    </xdr:from>
    <xdr:to>
      <xdr:col>13</xdr:col>
      <xdr:colOff>22860</xdr:colOff>
      <xdr:row>21</xdr:row>
      <xdr:rowOff>116205</xdr:rowOff>
    </xdr:to>
    <xdr:graphicFrame macro="">
      <xdr:nvGraphicFramePr>
        <xdr:cNvPr id="38" name="Gráfico 4">
          <a:extLst>
            <a:ext uri="{FF2B5EF4-FFF2-40B4-BE49-F238E27FC236}">
              <a16:creationId xmlns:a16="http://schemas.microsoft.com/office/drawing/2014/main" id="{A0C0ED95-02C4-30A6-6B50-861E1EB64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607695</xdr:colOff>
      <xdr:row>5</xdr:row>
      <xdr:rowOff>175260</xdr:rowOff>
    </xdr:from>
    <xdr:to>
      <xdr:col>13</xdr:col>
      <xdr:colOff>64770</xdr:colOff>
      <xdr:row>21</xdr:row>
      <xdr:rowOff>20955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64330EED-EE79-D888-3D45-A5B9C1449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8</xdr:row>
      <xdr:rowOff>123825</xdr:rowOff>
    </xdr:from>
    <xdr:to>
      <xdr:col>12</xdr:col>
      <xdr:colOff>561975</xdr:colOff>
      <xdr:row>23</xdr:row>
      <xdr:rowOff>9525</xdr:rowOff>
    </xdr:to>
    <xdr:graphicFrame macro="">
      <xdr:nvGraphicFramePr>
        <xdr:cNvPr id="7" name="Gráfico 1">
          <a:extLst>
            <a:ext uri="{FF2B5EF4-FFF2-40B4-BE49-F238E27FC236}">
              <a16:creationId xmlns:a16="http://schemas.microsoft.com/office/drawing/2014/main" id="{6BB8C9A6-7C4C-DE72-1493-07DBA06C0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5</xdr:row>
      <xdr:rowOff>114300</xdr:rowOff>
    </xdr:from>
    <xdr:to>
      <xdr:col>13</xdr:col>
      <xdr:colOff>390525</xdr:colOff>
      <xdr:row>20</xdr:row>
      <xdr:rowOff>142875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FFD9D3F6-E113-E9A3-8216-E51ECAB3D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6</xdr:row>
      <xdr:rowOff>57150</xdr:rowOff>
    </xdr:from>
    <xdr:to>
      <xdr:col>13</xdr:col>
      <xdr:colOff>142875</xdr:colOff>
      <xdr:row>21</xdr:row>
      <xdr:rowOff>85725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B8A31A2C-DE65-A855-2C39-7323D8BA4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495299</xdr:colOff>
      <xdr:row>3</xdr:row>
      <xdr:rowOff>0</xdr:rowOff>
    </xdr:from>
    <xdr:to>
      <xdr:col>19</xdr:col>
      <xdr:colOff>455849</xdr:colOff>
      <xdr:row>21</xdr:row>
      <xdr:rowOff>171000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9A5E78-415B-575D-F27A-640D2B707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BCC25-869F-477F-8F2F-CB6E6315E160}" name="Tabela1" displayName="Tabela1" ref="A1:F607" totalsRowShown="0" headerRowDxfId="46" dataDxfId="45">
  <autoFilter ref="A1:F607" xr:uid="{4B0BCC25-869F-477F-8F2F-CB6E6315E160}"/>
  <tableColumns count="6">
    <tableColumn id="1" xr3:uid="{F3DF53B0-1922-43C5-A7AE-1156258F2488}" name="Tempo(s)" dataDxfId="44"/>
    <tableColumn id="2" xr3:uid="{417E1187-BD4B-495D-8836-06095E8279BF}" name="Alongamento(mm)" dataDxfId="43"/>
    <tableColumn id="3" xr3:uid="{5E210D81-4CEC-4C9F-99EC-1BF37A7C2589}" name="Deformação(mm)" dataDxfId="42">
      <calculatedColumnFormula>Tabela1[[#This Row],[Alongamento(mm)]]/$I$2</calculatedColumnFormula>
    </tableColumn>
    <tableColumn id="4" xr3:uid="{B59E4D6B-0A7C-470C-BD5F-CCC0707D737E}" name="Força(N)" dataDxfId="41"/>
    <tableColumn id="5" xr3:uid="{3EADA172-8328-4551-BF78-B46AF0D4044D}" name="Tensão(Pa)" dataDxfId="40">
      <calculatedColumnFormula>Tabela1[[#This Row],[Força(N)]]/$I$5</calculatedColumnFormula>
    </tableColumn>
    <tableColumn id="6" xr3:uid="{61100E39-9422-4AAC-9E1B-61EDB485EA12}" name="Tensão(Mpa)" dataDxfId="39">
      <calculatedColumnFormula>Tabela1[[#This Row],[Tensão(Pa)]]/1000000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6EEE0-10B3-425B-AE20-9D80C41DF555}" name="Tabela2" displayName="Tabela2" ref="H1:K3" totalsRowShown="0" headerRowDxfId="38" dataDxfId="37">
  <autoFilter ref="H1:K3" xr:uid="{0FE6EEE0-10B3-425B-AE20-9D80C41DF555}"/>
  <tableColumns count="4">
    <tableColumn id="1" xr3:uid="{AE27D784-DA93-4005-A7A4-DF4E2F536225}" name="Unidade" dataDxfId="36"/>
    <tableColumn id="2" xr3:uid="{30CBC668-CFB0-42CF-8138-1443CFDDFFC3}" name="Comprimento" dataDxfId="35">
      <calculatedColumnFormula>I1/1000</calculatedColumnFormula>
    </tableColumn>
    <tableColumn id="3" xr3:uid="{2507CB19-C40B-476D-ACC5-0C9F717F06A7}" name="Largura" dataDxfId="34">
      <calculatedColumnFormula>J1/1000</calculatedColumnFormula>
    </tableColumn>
    <tableColumn id="4" xr3:uid="{E6BD246A-97B9-43CB-A9A2-3130DFF6153F}" name="Espessura" dataDxfId="33">
      <calculatedColumnFormula>K1/1000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36E9B1-9916-4F9D-A34F-916A855EAAFE}" name="Tabela8" displayName="Tabela8" ref="A1:F608" totalsRowShown="0" headerRowDxfId="32" dataDxfId="31">
  <autoFilter ref="A1:F608" xr:uid="{D136E9B1-9916-4F9D-A34F-916A855EAAFE}"/>
  <tableColumns count="6">
    <tableColumn id="1" xr3:uid="{FF196330-C625-44B8-AD56-78EA1D202C44}" name="Tempo(s)" dataDxfId="30"/>
    <tableColumn id="2" xr3:uid="{BA976456-DF4F-4B33-8F23-EE0EF55C3E11}" name="Alongamento (mm/mm)" dataDxfId="29"/>
    <tableColumn id="3" xr3:uid="{E697DC81-A28F-4FF9-AB12-311FCA68B718}" name="Deformação (mm/mm)" dataDxfId="28">
      <calculatedColumnFormula>Tabela8[[#This Row],[Alongamento (mm/mm)]]/$I$2</calculatedColumnFormula>
    </tableColumn>
    <tableColumn id="4" xr3:uid="{20A901CF-5D86-4E93-AE16-6F0EE1338AE5}" name="Forτa(N)" dataDxfId="27"/>
    <tableColumn id="5" xr3:uid="{211EF66D-1566-490A-892F-282A252A847B}" name="Tensão (Pa)" dataDxfId="26">
      <calculatedColumnFormula>Tabela8[[#This Row],[Forτa(N)]]/$I$5</calculatedColumnFormula>
    </tableColumn>
    <tableColumn id="6" xr3:uid="{E8151C17-934B-4850-8915-6E47009E921E}" name="Tensão (MPa)" dataDxfId="25">
      <calculatedColumnFormula>Tabela8[[#This Row],[Tensão (Pa)]]/1000000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EBF865-7ED1-4B34-967E-AA74BA16FC15}" name="Tabela9" displayName="Tabela9" ref="H1:K3" totalsRowShown="0">
  <autoFilter ref="H1:K3" xr:uid="{F7EBF865-7ED1-4B34-967E-AA74BA16FC15}"/>
  <tableColumns count="4">
    <tableColumn id="1" xr3:uid="{1FD9F88C-354B-4DBC-A0D1-2C34863FEC02}" name="Unidade"/>
    <tableColumn id="2" xr3:uid="{75E4A9B9-EDE0-4CB3-8935-B42B6D2CCF14}" name="Comprimento">
      <calculatedColumnFormula>I1/1000</calculatedColumnFormula>
    </tableColumn>
    <tableColumn id="3" xr3:uid="{5508E58B-C097-40DD-AA45-0B9A7D11AD4C}" name="Largura">
      <calculatedColumnFormula>J1/1000</calculatedColumnFormula>
    </tableColumn>
    <tableColumn id="4" xr3:uid="{4CEC965F-1A50-423E-94C7-33CED170D62F}" name="Espessura">
      <calculatedColumnFormula>K1/1000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37C17C-DBFB-4A17-A85B-77E4C530EE9E}" name="Tabela10" displayName="Tabela10" ref="A1:F641" totalsRowShown="0" headerRowDxfId="24" dataDxfId="23">
  <autoFilter ref="A1:F641" xr:uid="{1637C17C-DBFB-4A17-A85B-77E4C530EE9E}"/>
  <tableColumns count="6">
    <tableColumn id="1" xr3:uid="{DB0058F9-3416-4DAA-AD60-146D6A8F1483}" name="Tempo(s)" dataDxfId="22"/>
    <tableColumn id="2" xr3:uid="{1CC42447-D54C-44D7-88AC-72259FD7D3A2}" name="Alongamento (mm/mm)" dataDxfId="21"/>
    <tableColumn id="3" xr3:uid="{9BCEB4EF-13B2-46F6-8739-21542F5FC859}" name="Deformação (mm/mm)" dataDxfId="20">
      <calculatedColumnFormula>Tabela10[[#This Row],[Alongamento (mm/mm)]]/$I$2</calculatedColumnFormula>
    </tableColumn>
    <tableColumn id="4" xr3:uid="{E29EDE3D-8E55-4E6D-88A9-BD040A34231C}" name="Força (N)" dataDxfId="19"/>
    <tableColumn id="5" xr3:uid="{FD044F50-B785-4D56-A8CD-9D5070E680BC}" name="Tensão (Pa)" dataDxfId="18">
      <calculatedColumnFormula>Tabela10[[#This Row],[Força (N)]]/$I$5</calculatedColumnFormula>
    </tableColumn>
    <tableColumn id="6" xr3:uid="{E4DAE812-2A0D-4195-BC22-99510DE50C91}" name="Tensão (MPa)" dataDxfId="17">
      <calculatedColumnFormula>Tabela10[[#This Row],[Tensão (Pa)]]/1000000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FE8CF9-0478-452E-A998-69DBD711E16A}" name="Tabela11" displayName="Tabela11" ref="H1:K3" totalsRowShown="0">
  <autoFilter ref="H1:K3" xr:uid="{3DFE8CF9-0478-452E-A998-69DBD711E16A}"/>
  <tableColumns count="4">
    <tableColumn id="1" xr3:uid="{0FCC428B-85EB-4FE7-89AE-F1745F1B0273}" name="Unidade"/>
    <tableColumn id="2" xr3:uid="{12DE3DFF-5473-4808-AAB9-D6B04179B067}" name="Comprimento"/>
    <tableColumn id="3" xr3:uid="{F0A7AA3C-04DB-4DBF-AF6C-7F531484FBC4}" name="Largura"/>
    <tableColumn id="4" xr3:uid="{86A669D5-F1B2-49A1-82C6-3287679F6FAF}" name="Espessura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3D4CFA-88AD-4B59-A137-418BFB19F22A}" name="Tabela12" displayName="Tabela12" ref="A1:F715" totalsRowShown="0" headerRowDxfId="16" dataDxfId="15">
  <autoFilter ref="A1:F715" xr:uid="{C23D4CFA-88AD-4B59-A137-418BFB19F22A}"/>
  <tableColumns count="6">
    <tableColumn id="1" xr3:uid="{117A4B7F-BAD2-4C72-BD5D-05654FD0D253}" name="Tempo(s)" dataDxfId="14"/>
    <tableColumn id="2" xr3:uid="{966BA366-20E4-448D-B1E7-38C83EDB3BE5}" name="Alongamento (mm/mm)" dataDxfId="13"/>
    <tableColumn id="3" xr3:uid="{CADC1B05-5960-42CF-98C3-C8FAB4AC975E}" name="Deformação (mm/mm)" dataDxfId="12">
      <calculatedColumnFormula>Tabela12[[#This Row],[Alongamento (mm/mm)]]/$I$2</calculatedColumnFormula>
    </tableColumn>
    <tableColumn id="4" xr3:uid="{439D986D-BC04-468A-BCA7-15BBA8449067}" name="Força (N)" dataDxfId="11"/>
    <tableColumn id="5" xr3:uid="{7757655F-6FE9-4E8A-9FF8-7D5487CFDFDE}" name="Tensão (Pa)" dataDxfId="10">
      <calculatedColumnFormula>Tabela12[[#This Row],[Força (N)]]/$I$5</calculatedColumnFormula>
    </tableColumn>
    <tableColumn id="6" xr3:uid="{2D969A01-D8D5-4D95-A9E7-764C46D67B75}" name="Tensão (MPa)" dataDxfId="9">
      <calculatedColumnFormula>Tabela12[[#This Row],[Tensão (Pa)]]/1000000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0DAA93-CB8D-4717-8F24-4DA4B90088E1}" name="Tabela13" displayName="Tabela13" ref="H1:K3" totalsRowShown="0">
  <autoFilter ref="H1:K3" xr:uid="{1B0DAA93-CB8D-4717-8F24-4DA4B90088E1}"/>
  <tableColumns count="4">
    <tableColumn id="1" xr3:uid="{1E79EACC-87E8-4A67-AA59-A73A54071E7F}" name="Unidade"/>
    <tableColumn id="2" xr3:uid="{AEC44654-306F-4783-8A02-7A2269875E1C}" name="Comprimento">
      <calculatedColumnFormula>I1/1000</calculatedColumnFormula>
    </tableColumn>
    <tableColumn id="3" xr3:uid="{B8AA2466-367E-41AE-9C55-D47ED508D315}" name="Largura">
      <calculatedColumnFormula>J1/1000</calculatedColumnFormula>
    </tableColumn>
    <tableColumn id="4" xr3:uid="{4181FB34-B263-444E-9509-49AE29F91940}" name="Espessura">
      <calculatedColumnFormula>K1/1000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25FA3CD-974C-45CF-956E-5159210F5000}" name="Tabela14" displayName="Tabela14" ref="A1:F461" totalsRowShown="0" headerRowDxfId="8" dataDxfId="7">
  <autoFilter ref="A1:F461" xr:uid="{525FA3CD-974C-45CF-956E-5159210F5000}"/>
  <tableColumns count="6">
    <tableColumn id="1" xr3:uid="{012CA11D-2563-4EFD-9C91-7BE687299E25}" name="Tempo(s)" dataDxfId="6"/>
    <tableColumn id="2" xr3:uid="{41232EAA-9269-4642-9209-BEC7976B2E03}" name="Alongamento (mm/mm)" dataDxfId="5"/>
    <tableColumn id="3" xr3:uid="{49862B61-FEA4-48D3-8241-66A79B4784D6}" name="Deformação (mm/mm)" dataDxfId="4">
      <calculatedColumnFormula>Tabela14[[#This Row],[Alongamento (mm/mm)]]/$I$2</calculatedColumnFormula>
    </tableColumn>
    <tableColumn id="4" xr3:uid="{AE9E3635-60D5-44BA-8B98-7D89F6352CA4}" name="Força (N)" dataDxfId="3"/>
    <tableColumn id="5" xr3:uid="{44306636-4263-48AF-9457-FB727A869F25}" name="Tensão (Pa)" dataDxfId="2">
      <calculatedColumnFormula>Tabela14[[#This Row],[Força (N)]]/$I$5</calculatedColumnFormula>
    </tableColumn>
    <tableColumn id="6" xr3:uid="{1EEFFF19-F8DD-43AC-A153-FC94B681E4A5}" name="Tensão (MPa)" dataDxfId="1">
      <calculatedColumnFormula>Tabela14[[#This Row],[Tensão (Pa)]]/1000000</calculatedColumnFormula>
    </tableColumn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F27A389-8D8B-4657-8EF0-4E4874B3BE34}" name="Tabela15" displayName="Tabela15" ref="H1:K3" totalsRowShown="0">
  <autoFilter ref="H1:K3" xr:uid="{0F27A389-8D8B-4657-8EF0-4E4874B3BE34}"/>
  <tableColumns count="4">
    <tableColumn id="1" xr3:uid="{AE5936EF-1D0F-4FF0-9484-BAD08FD9CBFE}" name="Unidade"/>
    <tableColumn id="2" xr3:uid="{4BF8C07A-F712-4EF1-8102-7EAAE527B149}" name="Comprimento">
      <calculatedColumnFormula>I1/1000</calculatedColumnFormula>
    </tableColumn>
    <tableColumn id="3" xr3:uid="{9E77DAB0-74E7-4EAB-8D72-BD6E9387DB62}" name="Largura">
      <calculatedColumnFormula>J1/1000</calculatedColumnFormula>
    </tableColumn>
    <tableColumn id="4" xr3:uid="{66D8523A-4906-4410-82F4-64872B88BD87}" name="Espessura">
      <calculatedColumnFormula>K1/1000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9E56B6-8309-46D0-9E8E-40B879BCE92A}" name="Tabela3" displayName="Tabela3" ref="E24:G25" totalsRowShown="0">
  <autoFilter ref="E24:G25" xr:uid="{A49E56B6-8309-46D0-9E8E-40B879BCE92A}"/>
  <tableColumns count="3">
    <tableColumn id="1" xr3:uid="{53742AB6-B3F5-4D30-8233-DF4CFB0A6F47}" name="Desvio Padrão">
      <calculatedColumnFormula>STDEV('A11-1'!F607,'A11-2'!F608,'A11-3'!F641,'A11-4'!F715,'A11-5'!F461)</calculatedColumnFormula>
    </tableColumn>
    <tableColumn id="2" xr3:uid="{D4C806D0-F41E-4CE5-B6A8-8C120D63981A}" name="Média" dataDxfId="0">
      <calculatedColumnFormula>AVERAGE('A11-1'!F607,'A11-2'!F608,'A11-3'!F641,'A11-4'!F715,'A11-5'!F461)</calculatedColumnFormula>
    </tableColumn>
    <tableColumn id="3" xr3:uid="{350FB0AD-02EB-4B1C-981E-8679B19D47EE}" name="media força maxima">
      <calculatedColumnFormula>AVERAGE('A11-1'!D607,'A11-2'!D608,'A11-3'!D641,'A11-4'!D715,'A11-5'!D461)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7"/>
  <sheetViews>
    <sheetView workbookViewId="0">
      <selection sqref="A1:K1048576"/>
    </sheetView>
  </sheetViews>
  <sheetFormatPr defaultRowHeight="14.4" x14ac:dyDescent="0.3"/>
  <cols>
    <col min="1" max="1" width="12.33203125" style="3" bestFit="1" customWidth="1"/>
    <col min="2" max="2" width="20.88671875" style="3" bestFit="1" customWidth="1"/>
    <col min="3" max="3" width="19.6640625" style="3" bestFit="1" customWidth="1"/>
    <col min="4" max="4" width="11.33203125" style="3" bestFit="1" customWidth="1"/>
    <col min="5" max="5" width="15.5546875" style="5" bestFit="1" customWidth="1"/>
    <col min="6" max="6" width="15.33203125" style="3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>
        <v>0.15</v>
      </c>
      <c r="B2" s="1">
        <v>5.8627000000000002E-3</v>
      </c>
      <c r="C2" s="3">
        <f>Tabela1[[#This Row],[Alongamento(mm)]]/$I$2</f>
        <v>1.17254E-4</v>
      </c>
      <c r="D2" s="1">
        <v>0</v>
      </c>
      <c r="E2" s="5">
        <f>Tabela1[[#This Row],[Força(N)]]/$I$5</f>
        <v>0</v>
      </c>
      <c r="F2" s="3">
        <f>Tabela1[[#This Row],[Tensão(Pa)]]/1000000</f>
        <v>0</v>
      </c>
      <c r="H2" s="2" t="s">
        <v>10</v>
      </c>
      <c r="I2" s="2">
        <v>50</v>
      </c>
      <c r="J2" s="2">
        <v>12.83</v>
      </c>
      <c r="K2" s="2">
        <v>3.4</v>
      </c>
    </row>
    <row r="3" spans="1:11" x14ac:dyDescent="0.3">
      <c r="A3" s="1">
        <v>10.35</v>
      </c>
      <c r="B3" s="1">
        <v>0.85474000000000006</v>
      </c>
      <c r="C3" s="3">
        <f>Tabela1[[#This Row],[Alongamento(mm)]]/$I$2</f>
        <v>1.70948E-2</v>
      </c>
      <c r="D3" s="1">
        <v>5.7834000000000003</v>
      </c>
      <c r="E3" s="5">
        <f>Tabela1[[#This Row],[Força(N)]]/$I$5</f>
        <v>132579.89088074825</v>
      </c>
      <c r="F3" s="3">
        <f>Tabela1[[#This Row],[Tensão(Pa)]]/1000000</f>
        <v>0.13257989088074826</v>
      </c>
      <c r="H3" s="2" t="s">
        <v>11</v>
      </c>
      <c r="I3" s="2">
        <f>I2/1000</f>
        <v>0.05</v>
      </c>
      <c r="J3" s="2">
        <f>J2/1000</f>
        <v>1.2829999999999999E-2</v>
      </c>
      <c r="K3" s="2">
        <f>K2/1000</f>
        <v>3.3999999999999998E-3</v>
      </c>
    </row>
    <row r="4" spans="1:11" x14ac:dyDescent="0.3">
      <c r="A4" s="1">
        <v>10.433</v>
      </c>
      <c r="B4" s="1">
        <v>0.86162000000000005</v>
      </c>
      <c r="C4" s="3">
        <f>Tabela1[[#This Row],[Alongamento(mm)]]/$I$2</f>
        <v>1.7232400000000002E-2</v>
      </c>
      <c r="D4" s="1">
        <v>5.7834000000000003</v>
      </c>
      <c r="E4" s="5">
        <f>Tabela1[[#This Row],[Força(N)]]/$I$5</f>
        <v>132579.89088074825</v>
      </c>
      <c r="F4" s="3">
        <f>Tabela1[[#This Row],[Tensão(Pa)]]/1000000</f>
        <v>0.13257989088074826</v>
      </c>
    </row>
    <row r="5" spans="1:11" x14ac:dyDescent="0.3">
      <c r="A5" s="1">
        <v>10.516999999999999</v>
      </c>
      <c r="B5" s="1">
        <v>0.86860000000000004</v>
      </c>
      <c r="C5" s="3">
        <f>Tabela1[[#This Row],[Alongamento(mm)]]/$I$2</f>
        <v>1.7372000000000002E-2</v>
      </c>
      <c r="D5" s="1">
        <v>5.9535</v>
      </c>
      <c r="E5" s="5">
        <f>Tabela1[[#This Row],[Força(N)]]/$I$5</f>
        <v>136479.29943606438</v>
      </c>
      <c r="F5" s="3">
        <f>Tabela1[[#This Row],[Tensão(Pa)]]/1000000</f>
        <v>0.13647929943606438</v>
      </c>
      <c r="H5" s="1" t="s">
        <v>12</v>
      </c>
      <c r="I5">
        <f>J3*K3</f>
        <v>4.3621999999999997E-5</v>
      </c>
    </row>
    <row r="6" spans="1:11" x14ac:dyDescent="0.3">
      <c r="A6" s="1">
        <v>10.6</v>
      </c>
      <c r="B6" s="1">
        <v>0.87558000000000002</v>
      </c>
      <c r="C6" s="3">
        <f>Tabela1[[#This Row],[Alongamento(mm)]]/$I$2</f>
        <v>1.7511600000000002E-2</v>
      </c>
      <c r="D6" s="1">
        <v>5.9535</v>
      </c>
      <c r="E6" s="5">
        <f>Tabela1[[#This Row],[Força(N)]]/$I$5</f>
        <v>136479.29943606438</v>
      </c>
      <c r="F6" s="3">
        <f>Tabela1[[#This Row],[Tensão(Pa)]]/1000000</f>
        <v>0.13647929943606438</v>
      </c>
    </row>
    <row r="7" spans="1:11" x14ac:dyDescent="0.3">
      <c r="A7" s="1">
        <v>10.683</v>
      </c>
      <c r="B7" s="1">
        <v>0.88246999999999998</v>
      </c>
      <c r="C7" s="3">
        <f>Tabela1[[#This Row],[Alongamento(mm)]]/$I$2</f>
        <v>1.7649399999999999E-2</v>
      </c>
      <c r="D7" s="1">
        <v>5.7834000000000003</v>
      </c>
      <c r="E7" s="5">
        <f>Tabela1[[#This Row],[Força(N)]]/$I$5</f>
        <v>132579.89088074825</v>
      </c>
      <c r="F7" s="3">
        <f>Tabela1[[#This Row],[Tensão(Pa)]]/1000000</f>
        <v>0.13257989088074826</v>
      </c>
    </row>
    <row r="8" spans="1:11" x14ac:dyDescent="0.3">
      <c r="A8" s="1">
        <v>10.766999999999999</v>
      </c>
      <c r="B8" s="1">
        <v>0.88944999999999996</v>
      </c>
      <c r="C8" s="3">
        <f>Tabela1[[#This Row],[Alongamento(mm)]]/$I$2</f>
        <v>1.7788999999999999E-2</v>
      </c>
      <c r="D8" s="1">
        <v>5.7834000000000003</v>
      </c>
      <c r="E8" s="5">
        <f>Tabela1[[#This Row],[Força(N)]]/$I$5</f>
        <v>132579.89088074825</v>
      </c>
      <c r="F8" s="3">
        <f>Tabela1[[#This Row],[Tensão(Pa)]]/1000000</f>
        <v>0.13257989088074826</v>
      </c>
    </row>
    <row r="9" spans="1:11" x14ac:dyDescent="0.3">
      <c r="A9" s="1">
        <v>10.85</v>
      </c>
      <c r="B9" s="1">
        <v>0.89642999999999995</v>
      </c>
      <c r="C9" s="3">
        <f>Tabela1[[#This Row],[Alongamento(mm)]]/$I$2</f>
        <v>1.7928599999999999E-2</v>
      </c>
      <c r="D9" s="1">
        <v>5.7834000000000003</v>
      </c>
      <c r="E9" s="5">
        <f>Tabela1[[#This Row],[Força(N)]]/$I$5</f>
        <v>132579.89088074825</v>
      </c>
      <c r="F9" s="3">
        <f>Tabela1[[#This Row],[Tensão(Pa)]]/1000000</f>
        <v>0.13257989088074826</v>
      </c>
    </row>
    <row r="10" spans="1:11" x14ac:dyDescent="0.3">
      <c r="A10" s="1">
        <v>10.95</v>
      </c>
      <c r="B10" s="1">
        <v>0.90471000000000001</v>
      </c>
      <c r="C10" s="3">
        <f>Tabela1[[#This Row],[Alongamento(mm)]]/$I$2</f>
        <v>1.8094200000000001E-2</v>
      </c>
      <c r="D10" s="1">
        <v>6.1235999999999997</v>
      </c>
      <c r="E10" s="5">
        <f>Tabela1[[#This Row],[Força(N)]]/$I$5</f>
        <v>140378.70799138051</v>
      </c>
      <c r="F10" s="3">
        <f>Tabela1[[#This Row],[Tensão(Pa)]]/1000000</f>
        <v>0.1403787079913805</v>
      </c>
    </row>
    <row r="11" spans="1:11" x14ac:dyDescent="0.3">
      <c r="A11" s="1">
        <v>11.032999999999999</v>
      </c>
      <c r="B11" s="1">
        <v>0.91169</v>
      </c>
      <c r="C11" s="3">
        <f>Tabela1[[#This Row],[Alongamento(mm)]]/$I$2</f>
        <v>1.8233800000000001E-2</v>
      </c>
      <c r="D11" s="1">
        <v>6.1235999999999997</v>
      </c>
      <c r="E11" s="5">
        <f>Tabela1[[#This Row],[Força(N)]]/$I$5</f>
        <v>140378.70799138051</v>
      </c>
      <c r="F11" s="3">
        <f>Tabela1[[#This Row],[Tensão(Pa)]]/1000000</f>
        <v>0.1403787079913805</v>
      </c>
    </row>
    <row r="12" spans="1:11" x14ac:dyDescent="0.3">
      <c r="A12" s="1">
        <v>11.132999999999999</v>
      </c>
      <c r="B12" s="1">
        <v>0.91996999999999995</v>
      </c>
      <c r="C12" s="3">
        <f>Tabela1[[#This Row],[Alongamento(mm)]]/$I$2</f>
        <v>1.83994E-2</v>
      </c>
      <c r="D12" s="1">
        <v>6.1235999999999997</v>
      </c>
      <c r="E12" s="5">
        <f>Tabela1[[#This Row],[Força(N)]]/$I$5</f>
        <v>140378.70799138051</v>
      </c>
      <c r="F12" s="3">
        <f>Tabela1[[#This Row],[Tensão(Pa)]]/1000000</f>
        <v>0.1403787079913805</v>
      </c>
    </row>
    <row r="13" spans="1:11" x14ac:dyDescent="0.3">
      <c r="A13" s="1">
        <v>11.233000000000001</v>
      </c>
      <c r="B13" s="1">
        <v>0.92825000000000002</v>
      </c>
      <c r="C13" s="3">
        <f>Tabela1[[#This Row],[Alongamento(mm)]]/$I$2</f>
        <v>1.8565000000000002E-2</v>
      </c>
      <c r="D13" s="1">
        <v>6.2937000000000003</v>
      </c>
      <c r="E13" s="5">
        <f>Tabela1[[#This Row],[Força(N)]]/$I$5</f>
        <v>144278.11654669663</v>
      </c>
      <c r="F13" s="3">
        <f>Tabela1[[#This Row],[Tensão(Pa)]]/1000000</f>
        <v>0.14427811654669664</v>
      </c>
    </row>
    <row r="14" spans="1:11" x14ac:dyDescent="0.3">
      <c r="A14" s="1">
        <v>11.333</v>
      </c>
      <c r="B14" s="1">
        <v>0.93662999999999996</v>
      </c>
      <c r="C14" s="3">
        <f>Tabela1[[#This Row],[Alongamento(mm)]]/$I$2</f>
        <v>1.8732599999999999E-2</v>
      </c>
      <c r="D14" s="1">
        <v>6.4638</v>
      </c>
      <c r="E14" s="5">
        <f>Tabela1[[#This Row],[Força(N)]]/$I$5</f>
        <v>148177.52510201276</v>
      </c>
      <c r="F14" s="3">
        <f>Tabela1[[#This Row],[Tensão(Pa)]]/1000000</f>
        <v>0.14817752510201276</v>
      </c>
    </row>
    <row r="15" spans="1:11" x14ac:dyDescent="0.3">
      <c r="A15" s="1">
        <v>11.433</v>
      </c>
      <c r="B15" s="1">
        <v>0.94499999999999995</v>
      </c>
      <c r="C15" s="3">
        <f>Tabela1[[#This Row],[Alongamento(mm)]]/$I$2</f>
        <v>1.89E-2</v>
      </c>
      <c r="D15" s="1">
        <v>6.6338999999999997</v>
      </c>
      <c r="E15" s="5">
        <f>Tabela1[[#This Row],[Força(N)]]/$I$5</f>
        <v>152076.93365732889</v>
      </c>
      <c r="F15" s="3">
        <f>Tabela1[[#This Row],[Tensão(Pa)]]/1000000</f>
        <v>0.15207693365732888</v>
      </c>
    </row>
    <row r="16" spans="1:11" x14ac:dyDescent="0.3">
      <c r="A16" s="1">
        <v>11.532999999999999</v>
      </c>
      <c r="B16" s="1">
        <v>0.95338000000000001</v>
      </c>
      <c r="C16" s="3">
        <f>Tabela1[[#This Row],[Alongamento(mm)]]/$I$2</f>
        <v>1.9067600000000001E-2</v>
      </c>
      <c r="D16" s="1">
        <v>6.8040000000000003</v>
      </c>
      <c r="E16" s="5">
        <f>Tabela1[[#This Row],[Força(N)]]/$I$5</f>
        <v>155976.34221264502</v>
      </c>
      <c r="F16" s="3">
        <f>Tabela1[[#This Row],[Tensão(Pa)]]/1000000</f>
        <v>0.15597634221264503</v>
      </c>
    </row>
    <row r="17" spans="1:6" x14ac:dyDescent="0.3">
      <c r="A17" s="1">
        <v>11.632999999999999</v>
      </c>
      <c r="B17" s="1">
        <v>0.96165999999999996</v>
      </c>
      <c r="C17" s="3">
        <f>Tabela1[[#This Row],[Alongamento(mm)]]/$I$2</f>
        <v>1.9233199999999999E-2</v>
      </c>
      <c r="D17" s="1">
        <v>7.3141999999999996</v>
      </c>
      <c r="E17" s="5">
        <f>Tabela1[[#This Row],[Força(N)]]/$I$5</f>
        <v>167672.27545733805</v>
      </c>
      <c r="F17" s="3">
        <f>Tabela1[[#This Row],[Tensão(Pa)]]/1000000</f>
        <v>0.16767227545733804</v>
      </c>
    </row>
    <row r="18" spans="1:6" x14ac:dyDescent="0.3">
      <c r="A18" s="1">
        <v>11.733000000000001</v>
      </c>
      <c r="B18" s="1">
        <v>0.96994000000000002</v>
      </c>
      <c r="C18" s="3">
        <f>Tabela1[[#This Row],[Alongamento(mm)]]/$I$2</f>
        <v>1.9398800000000001E-2</v>
      </c>
      <c r="D18" s="1">
        <v>7.4843000000000002</v>
      </c>
      <c r="E18" s="5">
        <f>Tabela1[[#This Row],[Força(N)]]/$I$5</f>
        <v>171571.68401265418</v>
      </c>
      <c r="F18" s="3">
        <f>Tabela1[[#This Row],[Tensão(Pa)]]/1000000</f>
        <v>0.17157168401265419</v>
      </c>
    </row>
    <row r="19" spans="1:6" x14ac:dyDescent="0.3">
      <c r="A19" s="1">
        <v>11.833</v>
      </c>
      <c r="B19" s="1">
        <v>0.97831999999999997</v>
      </c>
      <c r="C19" s="3">
        <f>Tabela1[[#This Row],[Alongamento(mm)]]/$I$2</f>
        <v>1.9566399999999998E-2</v>
      </c>
      <c r="D19" s="1">
        <v>7.6543999999999999</v>
      </c>
      <c r="E19" s="5">
        <f>Tabela1[[#This Row],[Força(N)]]/$I$5</f>
        <v>175471.09256797031</v>
      </c>
      <c r="F19" s="3">
        <f>Tabela1[[#This Row],[Tensão(Pa)]]/1000000</f>
        <v>0.1754710925679703</v>
      </c>
    </row>
    <row r="20" spans="1:6" x14ac:dyDescent="0.3">
      <c r="A20" s="1">
        <v>11.933</v>
      </c>
      <c r="B20" s="1">
        <v>0.98668999999999996</v>
      </c>
      <c r="C20" s="3">
        <f>Tabela1[[#This Row],[Alongamento(mm)]]/$I$2</f>
        <v>1.9733799999999999E-2</v>
      </c>
      <c r="D20" s="1">
        <v>7.9946000000000002</v>
      </c>
      <c r="E20" s="5">
        <f>Tabela1[[#This Row],[Força(N)]]/$I$5</f>
        <v>183269.90967860256</v>
      </c>
      <c r="F20" s="3">
        <f>Tabela1[[#This Row],[Tensão(Pa)]]/1000000</f>
        <v>0.18326990967860257</v>
      </c>
    </row>
    <row r="21" spans="1:6" x14ac:dyDescent="0.3">
      <c r="A21" s="1">
        <v>12.032999999999999</v>
      </c>
      <c r="B21" s="1">
        <v>0.99497999999999998</v>
      </c>
      <c r="C21" s="3">
        <f>Tabela1[[#This Row],[Alongamento(mm)]]/$I$2</f>
        <v>1.98996E-2</v>
      </c>
      <c r="D21" s="1">
        <v>8.1646999999999998</v>
      </c>
      <c r="E21" s="5">
        <f>Tabela1[[#This Row],[Força(N)]]/$I$5</f>
        <v>187169.31823391869</v>
      </c>
      <c r="F21" s="3">
        <f>Tabela1[[#This Row],[Tensão(Pa)]]/1000000</f>
        <v>0.18716931823391869</v>
      </c>
    </row>
    <row r="22" spans="1:6" x14ac:dyDescent="0.3">
      <c r="A22" s="1">
        <v>12.132999999999999</v>
      </c>
      <c r="B22" s="1">
        <v>1.0033000000000001</v>
      </c>
      <c r="C22" s="3">
        <f>Tabela1[[#This Row],[Alongamento(mm)]]/$I$2</f>
        <v>2.0066000000000001E-2</v>
      </c>
      <c r="D22" s="1">
        <v>8.5048999999999992</v>
      </c>
      <c r="E22" s="5">
        <f>Tabela1[[#This Row],[Força(N)]]/$I$5</f>
        <v>194968.13534455092</v>
      </c>
      <c r="F22" s="3">
        <f>Tabela1[[#This Row],[Tensão(Pa)]]/1000000</f>
        <v>0.1949681353445509</v>
      </c>
    </row>
    <row r="23" spans="1:6" x14ac:dyDescent="0.3">
      <c r="A23" s="1">
        <v>12.217000000000001</v>
      </c>
      <c r="B23" s="1">
        <v>1.0102</v>
      </c>
      <c r="C23" s="3">
        <f>Tabela1[[#This Row],[Alongamento(mm)]]/$I$2</f>
        <v>2.0204E-2</v>
      </c>
      <c r="D23" s="1">
        <v>7.8244999999999996</v>
      </c>
      <c r="E23" s="5">
        <f>Tabela1[[#This Row],[Força(N)]]/$I$5</f>
        <v>179370.50112328641</v>
      </c>
      <c r="F23" s="3">
        <f>Tabela1[[#This Row],[Tensão(Pa)]]/1000000</f>
        <v>0.1793705011232864</v>
      </c>
    </row>
    <row r="24" spans="1:6" x14ac:dyDescent="0.3">
      <c r="A24" s="1">
        <v>12.282999999999999</v>
      </c>
      <c r="B24" s="1">
        <v>1.0158</v>
      </c>
      <c r="C24" s="3">
        <f>Tabela1[[#This Row],[Alongamento(mm)]]/$I$2</f>
        <v>2.0316000000000001E-2</v>
      </c>
      <c r="D24" s="1">
        <v>7.1441999999999997</v>
      </c>
      <c r="E24" s="5">
        <f>Tabela1[[#This Row],[Força(N)]]/$I$5</f>
        <v>163775.15932327724</v>
      </c>
      <c r="F24" s="3">
        <f>Tabela1[[#This Row],[Tensão(Pa)]]/1000000</f>
        <v>0.16377515932327724</v>
      </c>
    </row>
    <row r="25" spans="1:6" x14ac:dyDescent="0.3">
      <c r="A25" s="1">
        <v>12.382999999999999</v>
      </c>
      <c r="B25" s="1">
        <v>1.0242</v>
      </c>
      <c r="C25" s="3">
        <f>Tabela1[[#This Row],[Alongamento(mm)]]/$I$2</f>
        <v>2.0483999999999999E-2</v>
      </c>
      <c r="D25" s="1">
        <v>6.9741</v>
      </c>
      <c r="E25" s="5">
        <f>Tabela1[[#This Row],[Força(N)]]/$I$5</f>
        <v>159875.75076796114</v>
      </c>
      <c r="F25" s="3">
        <f>Tabela1[[#This Row],[Tensão(Pa)]]/1000000</f>
        <v>0.15987575076796115</v>
      </c>
    </row>
    <row r="26" spans="1:6" x14ac:dyDescent="0.3">
      <c r="A26" s="1">
        <v>12.483000000000001</v>
      </c>
      <c r="B26" s="1">
        <v>1.0324</v>
      </c>
      <c r="C26" s="3">
        <f>Tabela1[[#This Row],[Alongamento(mm)]]/$I$2</f>
        <v>2.0648E-2</v>
      </c>
      <c r="D26" s="1">
        <v>6.9741</v>
      </c>
      <c r="E26" s="5">
        <f>Tabela1[[#This Row],[Força(N)]]/$I$5</f>
        <v>159875.75076796114</v>
      </c>
      <c r="F26" s="3">
        <f>Tabela1[[#This Row],[Tensão(Pa)]]/1000000</f>
        <v>0.15987575076796115</v>
      </c>
    </row>
    <row r="27" spans="1:6" x14ac:dyDescent="0.3">
      <c r="A27" s="1">
        <v>12.583</v>
      </c>
      <c r="B27" s="1">
        <v>1.0408999999999999</v>
      </c>
      <c r="C27" s="3">
        <f>Tabela1[[#This Row],[Alongamento(mm)]]/$I$2</f>
        <v>2.0818E-2</v>
      </c>
      <c r="D27" s="1">
        <v>7.3141999999999996</v>
      </c>
      <c r="E27" s="5">
        <f>Tabela1[[#This Row],[Força(N)]]/$I$5</f>
        <v>167672.27545733805</v>
      </c>
      <c r="F27" s="3">
        <f>Tabela1[[#This Row],[Tensão(Pa)]]/1000000</f>
        <v>0.16767227545733804</v>
      </c>
    </row>
    <row r="28" spans="1:6" x14ac:dyDescent="0.3">
      <c r="A28" s="1">
        <v>12.683</v>
      </c>
      <c r="B28" s="1">
        <v>1.0490999999999999</v>
      </c>
      <c r="C28" s="3">
        <f>Tabela1[[#This Row],[Alongamento(mm)]]/$I$2</f>
        <v>2.0981999999999997E-2</v>
      </c>
      <c r="D28" s="1">
        <v>7.6543999999999999</v>
      </c>
      <c r="E28" s="5">
        <f>Tabela1[[#This Row],[Força(N)]]/$I$5</f>
        <v>175471.09256797031</v>
      </c>
      <c r="F28" s="3">
        <f>Tabela1[[#This Row],[Tensão(Pa)]]/1000000</f>
        <v>0.1754710925679703</v>
      </c>
    </row>
    <row r="29" spans="1:6" x14ac:dyDescent="0.3">
      <c r="A29" s="1">
        <v>12.782999999999999</v>
      </c>
      <c r="B29" s="1">
        <v>1.0573999999999999</v>
      </c>
      <c r="C29" s="3">
        <f>Tabela1[[#This Row],[Alongamento(mm)]]/$I$2</f>
        <v>2.1147999999999997E-2</v>
      </c>
      <c r="D29" s="1">
        <v>7.9946000000000002</v>
      </c>
      <c r="E29" s="5">
        <f>Tabela1[[#This Row],[Força(N)]]/$I$5</f>
        <v>183269.90967860256</v>
      </c>
      <c r="F29" s="3">
        <f>Tabela1[[#This Row],[Tensão(Pa)]]/1000000</f>
        <v>0.18326990967860257</v>
      </c>
    </row>
    <row r="30" spans="1:6" x14ac:dyDescent="0.3">
      <c r="A30" s="1">
        <v>12.882999999999999</v>
      </c>
      <c r="B30" s="1">
        <v>1.0658000000000001</v>
      </c>
      <c r="C30" s="3">
        <f>Tabela1[[#This Row],[Alongamento(mm)]]/$I$2</f>
        <v>2.1316000000000002E-2</v>
      </c>
      <c r="D30" s="1">
        <v>8.5048999999999992</v>
      </c>
      <c r="E30" s="5">
        <f>Tabela1[[#This Row],[Força(N)]]/$I$5</f>
        <v>194968.13534455092</v>
      </c>
      <c r="F30" s="3">
        <f>Tabela1[[#This Row],[Tensão(Pa)]]/1000000</f>
        <v>0.1949681353445509</v>
      </c>
    </row>
    <row r="31" spans="1:6" x14ac:dyDescent="0.3">
      <c r="A31" s="1">
        <v>12.983000000000001</v>
      </c>
      <c r="B31" s="1">
        <v>1.0741000000000001</v>
      </c>
      <c r="C31" s="3">
        <f>Tabela1[[#This Row],[Alongamento(mm)]]/$I$2</f>
        <v>2.1482000000000001E-2</v>
      </c>
      <c r="D31" s="1">
        <v>8.8451000000000004</v>
      </c>
      <c r="E31" s="5">
        <f>Tabela1[[#This Row],[Força(N)]]/$I$5</f>
        <v>202766.9524551832</v>
      </c>
      <c r="F31" s="3">
        <f>Tabela1[[#This Row],[Tensão(Pa)]]/1000000</f>
        <v>0.2027669524551832</v>
      </c>
    </row>
    <row r="32" spans="1:6" x14ac:dyDescent="0.3">
      <c r="A32" s="1">
        <v>13.083</v>
      </c>
      <c r="B32" s="1">
        <v>1.0825</v>
      </c>
      <c r="C32" s="3">
        <f>Tabela1[[#This Row],[Alongamento(mm)]]/$I$2</f>
        <v>2.1649999999999999E-2</v>
      </c>
      <c r="D32" s="1">
        <v>9.0152000000000001</v>
      </c>
      <c r="E32" s="5">
        <f>Tabela1[[#This Row],[Força(N)]]/$I$5</f>
        <v>206666.3610104993</v>
      </c>
      <c r="F32" s="3">
        <f>Tabela1[[#This Row],[Tensão(Pa)]]/1000000</f>
        <v>0.20666636101049929</v>
      </c>
    </row>
    <row r="33" spans="1:6" x14ac:dyDescent="0.3">
      <c r="A33" s="1">
        <v>13.2</v>
      </c>
      <c r="B33" s="1">
        <v>1.0922000000000001</v>
      </c>
      <c r="C33" s="3">
        <f>Tabela1[[#This Row],[Alongamento(mm)]]/$I$2</f>
        <v>2.1844000000000002E-2</v>
      </c>
      <c r="D33" s="1">
        <v>9.0152000000000001</v>
      </c>
      <c r="E33" s="5">
        <f>Tabela1[[#This Row],[Força(N)]]/$I$5</f>
        <v>206666.3610104993</v>
      </c>
      <c r="F33" s="3">
        <f>Tabela1[[#This Row],[Tensão(Pa)]]/1000000</f>
        <v>0.20666636101049929</v>
      </c>
    </row>
    <row r="34" spans="1:6" x14ac:dyDescent="0.3">
      <c r="A34" s="1">
        <v>13.317</v>
      </c>
      <c r="B34" s="1">
        <v>1.1019000000000001</v>
      </c>
      <c r="C34" s="3">
        <f>Tabela1[[#This Row],[Alongamento(mm)]]/$I$2</f>
        <v>2.2038000000000002E-2</v>
      </c>
      <c r="D34" s="1">
        <v>9.0152000000000001</v>
      </c>
      <c r="E34" s="5">
        <f>Tabela1[[#This Row],[Força(N)]]/$I$5</f>
        <v>206666.3610104993</v>
      </c>
      <c r="F34" s="3">
        <f>Tabela1[[#This Row],[Tensão(Pa)]]/1000000</f>
        <v>0.20666636101049929</v>
      </c>
    </row>
    <row r="35" spans="1:6" x14ac:dyDescent="0.3">
      <c r="A35" s="1">
        <v>13.433</v>
      </c>
      <c r="B35" s="1">
        <v>1.1116999999999999</v>
      </c>
      <c r="C35" s="3">
        <f>Tabela1[[#This Row],[Alongamento(mm)]]/$I$2</f>
        <v>2.2233999999999997E-2</v>
      </c>
      <c r="D35" s="1">
        <v>9.0152000000000001</v>
      </c>
      <c r="E35" s="5">
        <f>Tabela1[[#This Row],[Força(N)]]/$I$5</f>
        <v>206666.3610104993</v>
      </c>
      <c r="F35" s="3">
        <f>Tabela1[[#This Row],[Tensão(Pa)]]/1000000</f>
        <v>0.20666636101049929</v>
      </c>
    </row>
    <row r="36" spans="1:6" x14ac:dyDescent="0.3">
      <c r="A36" s="1">
        <v>13.55</v>
      </c>
      <c r="B36" s="1">
        <v>1.1213</v>
      </c>
      <c r="C36" s="3">
        <f>Tabela1[[#This Row],[Alongamento(mm)]]/$I$2</f>
        <v>2.2425999999999998E-2</v>
      </c>
      <c r="D36" s="1">
        <v>9.0152000000000001</v>
      </c>
      <c r="E36" s="5">
        <f>Tabela1[[#This Row],[Força(N)]]/$I$5</f>
        <v>206666.3610104993</v>
      </c>
      <c r="F36" s="3">
        <f>Tabela1[[#This Row],[Tensão(Pa)]]/1000000</f>
        <v>0.20666636101049929</v>
      </c>
    </row>
    <row r="37" spans="1:6" x14ac:dyDescent="0.3">
      <c r="A37" s="1">
        <v>13.667</v>
      </c>
      <c r="B37" s="1">
        <v>1.1311</v>
      </c>
      <c r="C37" s="3">
        <f>Tabela1[[#This Row],[Alongamento(mm)]]/$I$2</f>
        <v>2.2622E-2</v>
      </c>
      <c r="D37" s="1">
        <v>9.0152000000000001</v>
      </c>
      <c r="E37" s="5">
        <f>Tabela1[[#This Row],[Força(N)]]/$I$5</f>
        <v>206666.3610104993</v>
      </c>
      <c r="F37" s="3">
        <f>Tabela1[[#This Row],[Tensão(Pa)]]/1000000</f>
        <v>0.20666636101049929</v>
      </c>
    </row>
    <row r="38" spans="1:6" x14ac:dyDescent="0.3">
      <c r="A38" s="1">
        <v>13.782999999999999</v>
      </c>
      <c r="B38" s="1">
        <v>1.1408</v>
      </c>
      <c r="C38" s="3">
        <f>Tabela1[[#This Row],[Alongamento(mm)]]/$I$2</f>
        <v>2.2815999999999999E-2</v>
      </c>
      <c r="D38" s="1">
        <v>9.0152000000000001</v>
      </c>
      <c r="E38" s="5">
        <f>Tabela1[[#This Row],[Força(N)]]/$I$5</f>
        <v>206666.3610104993</v>
      </c>
      <c r="F38" s="3">
        <f>Tabela1[[#This Row],[Tensão(Pa)]]/1000000</f>
        <v>0.20666636101049929</v>
      </c>
    </row>
    <row r="39" spans="1:6" x14ac:dyDescent="0.3">
      <c r="A39" s="1">
        <v>13.9</v>
      </c>
      <c r="B39" s="1">
        <v>1.1505000000000001</v>
      </c>
      <c r="C39" s="3">
        <f>Tabela1[[#This Row],[Alongamento(mm)]]/$I$2</f>
        <v>2.3010000000000003E-2</v>
      </c>
      <c r="D39" s="1">
        <v>9.0152000000000001</v>
      </c>
      <c r="E39" s="5">
        <f>Tabela1[[#This Row],[Força(N)]]/$I$5</f>
        <v>206666.3610104993</v>
      </c>
      <c r="F39" s="3">
        <f>Tabela1[[#This Row],[Tensão(Pa)]]/1000000</f>
        <v>0.20666636101049929</v>
      </c>
    </row>
    <row r="40" spans="1:6" x14ac:dyDescent="0.3">
      <c r="A40" s="1">
        <v>14.016999999999999</v>
      </c>
      <c r="B40" s="1">
        <v>1.1601999999999999</v>
      </c>
      <c r="C40" s="3">
        <f>Tabela1[[#This Row],[Alongamento(mm)]]/$I$2</f>
        <v>2.3203999999999999E-2</v>
      </c>
      <c r="D40" s="1">
        <v>9.0152000000000001</v>
      </c>
      <c r="E40" s="5">
        <f>Tabela1[[#This Row],[Força(N)]]/$I$5</f>
        <v>206666.3610104993</v>
      </c>
      <c r="F40" s="3">
        <f>Tabela1[[#This Row],[Tensão(Pa)]]/1000000</f>
        <v>0.20666636101049929</v>
      </c>
    </row>
    <row r="41" spans="1:6" x14ac:dyDescent="0.3">
      <c r="A41" s="1">
        <v>14.132999999999999</v>
      </c>
      <c r="B41" s="1">
        <v>1.17</v>
      </c>
      <c r="C41" s="3">
        <f>Tabela1[[#This Row],[Alongamento(mm)]]/$I$2</f>
        <v>2.3399999999999997E-2</v>
      </c>
      <c r="D41" s="1">
        <v>9.0152000000000001</v>
      </c>
      <c r="E41" s="5">
        <f>Tabela1[[#This Row],[Força(N)]]/$I$5</f>
        <v>206666.3610104993</v>
      </c>
      <c r="F41" s="3">
        <f>Tabela1[[#This Row],[Tensão(Pa)]]/1000000</f>
        <v>0.20666636101049929</v>
      </c>
    </row>
    <row r="42" spans="1:6" x14ac:dyDescent="0.3">
      <c r="A42" s="1">
        <v>14.25</v>
      </c>
      <c r="B42" s="1">
        <v>1.1798</v>
      </c>
      <c r="C42" s="3">
        <f>Tabela1[[#This Row],[Alongamento(mm)]]/$I$2</f>
        <v>2.3595999999999999E-2</v>
      </c>
      <c r="D42" s="1">
        <v>9.0152000000000001</v>
      </c>
      <c r="E42" s="5">
        <f>Tabela1[[#This Row],[Força(N)]]/$I$5</f>
        <v>206666.3610104993</v>
      </c>
      <c r="F42" s="3">
        <f>Tabela1[[#This Row],[Tensão(Pa)]]/1000000</f>
        <v>0.20666636101049929</v>
      </c>
    </row>
    <row r="43" spans="1:6" x14ac:dyDescent="0.3">
      <c r="A43" s="1">
        <v>14.367000000000001</v>
      </c>
      <c r="B43" s="1">
        <v>1.1895</v>
      </c>
      <c r="C43" s="3">
        <f>Tabela1[[#This Row],[Alongamento(mm)]]/$I$2</f>
        <v>2.3789999999999999E-2</v>
      </c>
      <c r="D43" s="1">
        <v>9.1852999999999998</v>
      </c>
      <c r="E43" s="5">
        <f>Tabela1[[#This Row],[Força(N)]]/$I$5</f>
        <v>210565.76956581543</v>
      </c>
      <c r="F43" s="3">
        <f>Tabela1[[#This Row],[Tensão(Pa)]]/1000000</f>
        <v>0.21056576956581544</v>
      </c>
    </row>
    <row r="44" spans="1:6" x14ac:dyDescent="0.3">
      <c r="A44" s="1">
        <v>14.483000000000001</v>
      </c>
      <c r="B44" s="1">
        <v>1.1991000000000001</v>
      </c>
      <c r="C44" s="3">
        <f>Tabela1[[#This Row],[Alongamento(mm)]]/$I$2</f>
        <v>2.3982E-2</v>
      </c>
      <c r="D44" s="1">
        <v>9.1852999999999998</v>
      </c>
      <c r="E44" s="5">
        <f>Tabela1[[#This Row],[Força(N)]]/$I$5</f>
        <v>210565.76956581543</v>
      </c>
      <c r="F44" s="3">
        <f>Tabela1[[#This Row],[Tensão(Pa)]]/1000000</f>
        <v>0.21056576956581544</v>
      </c>
    </row>
    <row r="45" spans="1:6" x14ac:dyDescent="0.3">
      <c r="A45" s="1">
        <v>14.6</v>
      </c>
      <c r="B45" s="1">
        <v>1.2088000000000001</v>
      </c>
      <c r="C45" s="3">
        <f>Tabela1[[#This Row],[Alongamento(mm)]]/$I$2</f>
        <v>2.4176000000000003E-2</v>
      </c>
      <c r="D45" s="1">
        <v>9.1852999999999998</v>
      </c>
      <c r="E45" s="5">
        <f>Tabela1[[#This Row],[Força(N)]]/$I$5</f>
        <v>210565.76956581543</v>
      </c>
      <c r="F45" s="3">
        <f>Tabela1[[#This Row],[Tensão(Pa)]]/1000000</f>
        <v>0.21056576956581544</v>
      </c>
    </row>
    <row r="46" spans="1:6" x14ac:dyDescent="0.3">
      <c r="A46" s="1">
        <v>14.717000000000001</v>
      </c>
      <c r="B46" s="1">
        <v>1.2184999999999999</v>
      </c>
      <c r="C46" s="3">
        <f>Tabela1[[#This Row],[Alongamento(mm)]]/$I$2</f>
        <v>2.4369999999999999E-2</v>
      </c>
      <c r="D46" s="1">
        <v>9.6956000000000007</v>
      </c>
      <c r="E46" s="5">
        <f>Tabela1[[#This Row],[Força(N)]]/$I$5</f>
        <v>222263.99523176381</v>
      </c>
      <c r="F46" s="3">
        <f>Tabela1[[#This Row],[Tensão(Pa)]]/1000000</f>
        <v>0.22226399523176382</v>
      </c>
    </row>
    <row r="47" spans="1:6" x14ac:dyDescent="0.3">
      <c r="A47" s="1">
        <v>14.833</v>
      </c>
      <c r="B47" s="1">
        <v>1.2282999999999999</v>
      </c>
      <c r="C47" s="3">
        <f>Tabela1[[#This Row],[Alongamento(mm)]]/$I$2</f>
        <v>2.4565999999999998E-2</v>
      </c>
      <c r="D47" s="1">
        <v>10.375999999999999</v>
      </c>
      <c r="E47" s="5">
        <f>Tabela1[[#This Row],[Força(N)]]/$I$5</f>
        <v>237861.62945302829</v>
      </c>
      <c r="F47" s="3">
        <f>Tabela1[[#This Row],[Tensão(Pa)]]/1000000</f>
        <v>0.2378616294530283</v>
      </c>
    </row>
    <row r="48" spans="1:6" x14ac:dyDescent="0.3">
      <c r="A48" s="1">
        <v>14.95</v>
      </c>
      <c r="B48" s="1">
        <v>1.238</v>
      </c>
      <c r="C48" s="3">
        <f>Tabela1[[#This Row],[Alongamento(mm)]]/$I$2</f>
        <v>2.4760000000000001E-2</v>
      </c>
      <c r="D48" s="1">
        <v>10.545999999999999</v>
      </c>
      <c r="E48" s="5">
        <f>Tabela1[[#This Row],[Força(N)]]/$I$5</f>
        <v>241758.7455870891</v>
      </c>
      <c r="F48" s="3">
        <f>Tabela1[[#This Row],[Tensão(Pa)]]/1000000</f>
        <v>0.2417587455870891</v>
      </c>
    </row>
    <row r="49" spans="1:6" x14ac:dyDescent="0.3">
      <c r="A49" s="1">
        <v>15.067</v>
      </c>
      <c r="B49" s="1">
        <v>1.2478</v>
      </c>
      <c r="C49" s="3">
        <f>Tabela1[[#This Row],[Alongamento(mm)]]/$I$2</f>
        <v>2.4955999999999999E-2</v>
      </c>
      <c r="D49" s="1">
        <v>10.885999999999999</v>
      </c>
      <c r="E49" s="5">
        <f>Tabela1[[#This Row],[Força(N)]]/$I$5</f>
        <v>249552.97785521069</v>
      </c>
      <c r="F49" s="3">
        <f>Tabela1[[#This Row],[Tensão(Pa)]]/1000000</f>
        <v>0.24955297785521069</v>
      </c>
    </row>
    <row r="50" spans="1:6" x14ac:dyDescent="0.3">
      <c r="A50" s="1">
        <v>15.183</v>
      </c>
      <c r="B50" s="1">
        <v>1.2575000000000001</v>
      </c>
      <c r="C50" s="3">
        <f>Tabela1[[#This Row],[Alongamento(mm)]]/$I$2</f>
        <v>2.5150000000000002E-2</v>
      </c>
      <c r="D50" s="1">
        <v>10.885999999999999</v>
      </c>
      <c r="E50" s="5">
        <f>Tabela1[[#This Row],[Força(N)]]/$I$5</f>
        <v>249552.97785521069</v>
      </c>
      <c r="F50" s="3">
        <f>Tabela1[[#This Row],[Tensão(Pa)]]/1000000</f>
        <v>0.24955297785521069</v>
      </c>
    </row>
    <row r="51" spans="1:6" x14ac:dyDescent="0.3">
      <c r="A51" s="1">
        <v>15.317</v>
      </c>
      <c r="B51" s="1">
        <v>1.2685999999999999</v>
      </c>
      <c r="C51" s="3">
        <f>Tabela1[[#This Row],[Alongamento(mm)]]/$I$2</f>
        <v>2.5371999999999999E-2</v>
      </c>
      <c r="D51" s="1">
        <v>11.055999999999999</v>
      </c>
      <c r="E51" s="5">
        <f>Tabela1[[#This Row],[Força(N)]]/$I$5</f>
        <v>253450.09398927147</v>
      </c>
      <c r="F51" s="3">
        <f>Tabela1[[#This Row],[Tensão(Pa)]]/1000000</f>
        <v>0.25345009398927149</v>
      </c>
    </row>
    <row r="52" spans="1:6" x14ac:dyDescent="0.3">
      <c r="A52" s="1">
        <v>15.45</v>
      </c>
      <c r="B52" s="1">
        <v>1.2797000000000001</v>
      </c>
      <c r="C52" s="3">
        <f>Tabela1[[#This Row],[Alongamento(mm)]]/$I$2</f>
        <v>2.5594000000000002E-2</v>
      </c>
      <c r="D52" s="1">
        <v>11.055999999999999</v>
      </c>
      <c r="E52" s="5">
        <f>Tabela1[[#This Row],[Força(N)]]/$I$5</f>
        <v>253450.09398927147</v>
      </c>
      <c r="F52" s="3">
        <f>Tabela1[[#This Row],[Tensão(Pa)]]/1000000</f>
        <v>0.25345009398927149</v>
      </c>
    </row>
    <row r="53" spans="1:6" x14ac:dyDescent="0.3">
      <c r="A53" s="1">
        <v>15.583</v>
      </c>
      <c r="B53" s="1">
        <v>1.2907</v>
      </c>
      <c r="C53" s="3">
        <f>Tabela1[[#This Row],[Alongamento(mm)]]/$I$2</f>
        <v>2.5814E-2</v>
      </c>
      <c r="D53" s="1">
        <v>11.055999999999999</v>
      </c>
      <c r="E53" s="5">
        <f>Tabela1[[#This Row],[Força(N)]]/$I$5</f>
        <v>253450.09398927147</v>
      </c>
      <c r="F53" s="3">
        <f>Tabela1[[#This Row],[Tensão(Pa)]]/1000000</f>
        <v>0.25345009398927149</v>
      </c>
    </row>
    <row r="54" spans="1:6" x14ac:dyDescent="0.3">
      <c r="A54" s="1">
        <v>15.717000000000001</v>
      </c>
      <c r="B54" s="1">
        <v>1.3019000000000001</v>
      </c>
      <c r="C54" s="3">
        <f>Tabela1[[#This Row],[Alongamento(mm)]]/$I$2</f>
        <v>2.6038000000000002E-2</v>
      </c>
      <c r="D54" s="1">
        <v>11.055999999999999</v>
      </c>
      <c r="E54" s="5">
        <f>Tabela1[[#This Row],[Força(N)]]/$I$5</f>
        <v>253450.09398927147</v>
      </c>
      <c r="F54" s="3">
        <f>Tabela1[[#This Row],[Tensão(Pa)]]/1000000</f>
        <v>0.25345009398927149</v>
      </c>
    </row>
    <row r="55" spans="1:6" x14ac:dyDescent="0.3">
      <c r="A55" s="1">
        <v>15.85</v>
      </c>
      <c r="B55" s="1">
        <v>1.3129999999999999</v>
      </c>
      <c r="C55" s="3">
        <f>Tabela1[[#This Row],[Alongamento(mm)]]/$I$2</f>
        <v>2.6259999999999999E-2</v>
      </c>
      <c r="D55" s="1">
        <v>11.055999999999999</v>
      </c>
      <c r="E55" s="5">
        <f>Tabela1[[#This Row],[Força(N)]]/$I$5</f>
        <v>253450.09398927147</v>
      </c>
      <c r="F55" s="3">
        <f>Tabela1[[#This Row],[Tensão(Pa)]]/1000000</f>
        <v>0.25345009398927149</v>
      </c>
    </row>
    <row r="56" spans="1:6" x14ac:dyDescent="0.3">
      <c r="A56" s="1">
        <v>15.983000000000001</v>
      </c>
      <c r="B56" s="1">
        <v>1.3241000000000001</v>
      </c>
      <c r="C56" s="3">
        <f>Tabela1[[#This Row],[Alongamento(mm)]]/$I$2</f>
        <v>2.6482000000000002E-2</v>
      </c>
      <c r="D56" s="1">
        <v>11.055999999999999</v>
      </c>
      <c r="E56" s="5">
        <f>Tabela1[[#This Row],[Força(N)]]/$I$5</f>
        <v>253450.09398927147</v>
      </c>
      <c r="F56" s="3">
        <f>Tabela1[[#This Row],[Tensão(Pa)]]/1000000</f>
        <v>0.25345009398927149</v>
      </c>
    </row>
    <row r="57" spans="1:6" x14ac:dyDescent="0.3">
      <c r="A57" s="1">
        <v>16.117000000000001</v>
      </c>
      <c r="B57" s="1">
        <v>1.3352999999999999</v>
      </c>
      <c r="C57" s="3">
        <f>Tabela1[[#This Row],[Alongamento(mm)]]/$I$2</f>
        <v>2.6705999999999997E-2</v>
      </c>
      <c r="D57" s="1">
        <v>11.055999999999999</v>
      </c>
      <c r="E57" s="5">
        <f>Tabela1[[#This Row],[Força(N)]]/$I$5</f>
        <v>253450.09398927147</v>
      </c>
      <c r="F57" s="3">
        <f>Tabela1[[#This Row],[Tensão(Pa)]]/1000000</f>
        <v>0.25345009398927149</v>
      </c>
    </row>
    <row r="58" spans="1:6" x14ac:dyDescent="0.3">
      <c r="A58" s="1">
        <v>16.25</v>
      </c>
      <c r="B58" s="1">
        <v>1.3464</v>
      </c>
      <c r="C58" s="3">
        <f>Tabela1[[#This Row],[Alongamento(mm)]]/$I$2</f>
        <v>2.6928000000000001E-2</v>
      </c>
      <c r="D58" s="1">
        <v>11.055999999999999</v>
      </c>
      <c r="E58" s="5">
        <f>Tabela1[[#This Row],[Força(N)]]/$I$5</f>
        <v>253450.09398927147</v>
      </c>
      <c r="F58" s="3">
        <f>Tabela1[[#This Row],[Tensão(Pa)]]/1000000</f>
        <v>0.25345009398927149</v>
      </c>
    </row>
    <row r="59" spans="1:6" x14ac:dyDescent="0.3">
      <c r="A59" s="1">
        <v>16.382999999999999</v>
      </c>
      <c r="B59" s="1">
        <v>1.3574999999999999</v>
      </c>
      <c r="C59" s="3">
        <f>Tabela1[[#This Row],[Alongamento(mm)]]/$I$2</f>
        <v>2.7149999999999997E-2</v>
      </c>
      <c r="D59" s="1">
        <v>11.055999999999999</v>
      </c>
      <c r="E59" s="5">
        <f>Tabela1[[#This Row],[Força(N)]]/$I$5</f>
        <v>253450.09398927147</v>
      </c>
      <c r="F59" s="3">
        <f>Tabela1[[#This Row],[Tensão(Pa)]]/1000000</f>
        <v>0.25345009398927149</v>
      </c>
    </row>
    <row r="60" spans="1:6" x14ac:dyDescent="0.3">
      <c r="A60" s="1">
        <v>16.516999999999999</v>
      </c>
      <c r="B60" s="1">
        <v>1.3685</v>
      </c>
      <c r="C60" s="3">
        <f>Tabela1[[#This Row],[Alongamento(mm)]]/$I$2</f>
        <v>2.7370000000000002E-2</v>
      </c>
      <c r="D60" s="1">
        <v>11.227</v>
      </c>
      <c r="E60" s="5">
        <f>Tabela1[[#This Row],[Força(N)]]/$I$5</f>
        <v>257370.13433588558</v>
      </c>
      <c r="F60" s="3">
        <f>Tabela1[[#This Row],[Tensão(Pa)]]/1000000</f>
        <v>0.25737013433588557</v>
      </c>
    </row>
    <row r="61" spans="1:6" x14ac:dyDescent="0.3">
      <c r="A61" s="1">
        <v>16.649999999999999</v>
      </c>
      <c r="B61" s="1">
        <v>1.3796999999999999</v>
      </c>
      <c r="C61" s="3">
        <f>Tabela1[[#This Row],[Alongamento(mm)]]/$I$2</f>
        <v>2.7593999999999997E-2</v>
      </c>
      <c r="D61" s="1">
        <v>11.227</v>
      </c>
      <c r="E61" s="5">
        <f>Tabela1[[#This Row],[Força(N)]]/$I$5</f>
        <v>257370.13433588558</v>
      </c>
      <c r="F61" s="3">
        <f>Tabela1[[#This Row],[Tensão(Pa)]]/1000000</f>
        <v>0.25737013433588557</v>
      </c>
    </row>
    <row r="62" spans="1:6" x14ac:dyDescent="0.3">
      <c r="A62" s="1">
        <v>16.783000000000001</v>
      </c>
      <c r="B62" s="1">
        <v>1.3908</v>
      </c>
      <c r="C62" s="3">
        <f>Tabela1[[#This Row],[Alongamento(mm)]]/$I$2</f>
        <v>2.7816E-2</v>
      </c>
      <c r="D62" s="1">
        <v>11.227</v>
      </c>
      <c r="E62" s="5">
        <f>Tabela1[[#This Row],[Força(N)]]/$I$5</f>
        <v>257370.13433588558</v>
      </c>
      <c r="F62" s="3">
        <f>Tabela1[[#This Row],[Tensão(Pa)]]/1000000</f>
        <v>0.25737013433588557</v>
      </c>
    </row>
    <row r="63" spans="1:6" x14ac:dyDescent="0.3">
      <c r="A63" s="1">
        <v>16.917000000000002</v>
      </c>
      <c r="B63" s="1">
        <v>1.4018999999999999</v>
      </c>
      <c r="C63" s="3">
        <f>Tabela1[[#This Row],[Alongamento(mm)]]/$I$2</f>
        <v>2.8037999999999997E-2</v>
      </c>
      <c r="D63" s="1">
        <v>11.227</v>
      </c>
      <c r="E63" s="5">
        <f>Tabela1[[#This Row],[Força(N)]]/$I$5</f>
        <v>257370.13433588558</v>
      </c>
      <c r="F63" s="3">
        <f>Tabela1[[#This Row],[Tensão(Pa)]]/1000000</f>
        <v>0.25737013433588557</v>
      </c>
    </row>
    <row r="64" spans="1:6" x14ac:dyDescent="0.3">
      <c r="A64" s="1">
        <v>17.05</v>
      </c>
      <c r="B64" s="1">
        <v>1.4131</v>
      </c>
      <c r="C64" s="3">
        <f>Tabela1[[#This Row],[Alongamento(mm)]]/$I$2</f>
        <v>2.8261999999999999E-2</v>
      </c>
      <c r="D64" s="1">
        <v>11.227</v>
      </c>
      <c r="E64" s="5">
        <f>Tabela1[[#This Row],[Força(N)]]/$I$5</f>
        <v>257370.13433588558</v>
      </c>
      <c r="F64" s="3">
        <f>Tabela1[[#This Row],[Tensão(Pa)]]/1000000</f>
        <v>0.25737013433588557</v>
      </c>
    </row>
    <row r="65" spans="1:6" x14ac:dyDescent="0.3">
      <c r="A65" s="1">
        <v>17.183</v>
      </c>
      <c r="B65" s="1">
        <v>1.4241999999999999</v>
      </c>
      <c r="C65" s="3">
        <f>Tabela1[[#This Row],[Alongamento(mm)]]/$I$2</f>
        <v>2.8483999999999999E-2</v>
      </c>
      <c r="D65" s="1">
        <v>11.227</v>
      </c>
      <c r="E65" s="5">
        <f>Tabela1[[#This Row],[Força(N)]]/$I$5</f>
        <v>257370.13433588558</v>
      </c>
      <c r="F65" s="3">
        <f>Tabela1[[#This Row],[Tensão(Pa)]]/1000000</f>
        <v>0.25737013433588557</v>
      </c>
    </row>
    <row r="66" spans="1:6" x14ac:dyDescent="0.3">
      <c r="A66" s="1">
        <v>17.317</v>
      </c>
      <c r="B66" s="1">
        <v>1.4352</v>
      </c>
      <c r="C66" s="3">
        <f>Tabela1[[#This Row],[Alongamento(mm)]]/$I$2</f>
        <v>2.8704E-2</v>
      </c>
      <c r="D66" s="1">
        <v>11.227</v>
      </c>
      <c r="E66" s="5">
        <f>Tabela1[[#This Row],[Força(N)]]/$I$5</f>
        <v>257370.13433588558</v>
      </c>
      <c r="F66" s="3">
        <f>Tabela1[[#This Row],[Tensão(Pa)]]/1000000</f>
        <v>0.25737013433588557</v>
      </c>
    </row>
    <row r="67" spans="1:6" x14ac:dyDescent="0.3">
      <c r="A67" s="1">
        <v>17.466999999999999</v>
      </c>
      <c r="B67" s="1">
        <v>1.4478</v>
      </c>
      <c r="C67" s="3">
        <f>Tabela1[[#This Row],[Alongamento(mm)]]/$I$2</f>
        <v>2.8955999999999999E-2</v>
      </c>
      <c r="D67" s="1">
        <v>11.227</v>
      </c>
      <c r="E67" s="5">
        <f>Tabela1[[#This Row],[Força(N)]]/$I$5</f>
        <v>257370.13433588558</v>
      </c>
      <c r="F67" s="3">
        <f>Tabela1[[#This Row],[Tensão(Pa)]]/1000000</f>
        <v>0.25737013433588557</v>
      </c>
    </row>
    <row r="68" spans="1:6" x14ac:dyDescent="0.3">
      <c r="A68" s="1">
        <v>17.617000000000001</v>
      </c>
      <c r="B68" s="1">
        <v>1.4602999999999999</v>
      </c>
      <c r="C68" s="3">
        <f>Tabela1[[#This Row],[Alongamento(mm)]]/$I$2</f>
        <v>2.9205999999999999E-2</v>
      </c>
      <c r="D68" s="1">
        <v>11.227</v>
      </c>
      <c r="E68" s="5">
        <f>Tabela1[[#This Row],[Força(N)]]/$I$5</f>
        <v>257370.13433588558</v>
      </c>
      <c r="F68" s="3">
        <f>Tabela1[[#This Row],[Tensão(Pa)]]/1000000</f>
        <v>0.25737013433588557</v>
      </c>
    </row>
    <row r="69" spans="1:6" x14ac:dyDescent="0.3">
      <c r="A69" s="1">
        <v>17.766999999999999</v>
      </c>
      <c r="B69" s="1">
        <v>1.4726999999999999</v>
      </c>
      <c r="C69" s="3">
        <f>Tabela1[[#This Row],[Alongamento(mm)]]/$I$2</f>
        <v>2.9453999999999998E-2</v>
      </c>
      <c r="D69" s="1">
        <v>11.227</v>
      </c>
      <c r="E69" s="5">
        <f>Tabela1[[#This Row],[Força(N)]]/$I$5</f>
        <v>257370.13433588558</v>
      </c>
      <c r="F69" s="3">
        <f>Tabela1[[#This Row],[Tensão(Pa)]]/1000000</f>
        <v>0.25737013433588557</v>
      </c>
    </row>
    <row r="70" spans="1:6" x14ac:dyDescent="0.3">
      <c r="A70" s="1">
        <v>17.917000000000002</v>
      </c>
      <c r="B70" s="1">
        <v>1.4853000000000001</v>
      </c>
      <c r="C70" s="3">
        <f>Tabela1[[#This Row],[Alongamento(mm)]]/$I$2</f>
        <v>2.9706E-2</v>
      </c>
      <c r="D70" s="1">
        <v>11.227</v>
      </c>
      <c r="E70" s="5">
        <f>Tabela1[[#This Row],[Força(N)]]/$I$5</f>
        <v>257370.13433588558</v>
      </c>
      <c r="F70" s="3">
        <f>Tabela1[[#This Row],[Tensão(Pa)]]/1000000</f>
        <v>0.25737013433588557</v>
      </c>
    </row>
    <row r="71" spans="1:6" x14ac:dyDescent="0.3">
      <c r="A71" s="1">
        <v>18.067</v>
      </c>
      <c r="B71" s="1">
        <v>1.4978</v>
      </c>
      <c r="C71" s="3">
        <f>Tabela1[[#This Row],[Alongamento(mm)]]/$I$2</f>
        <v>2.9956E-2</v>
      </c>
      <c r="D71" s="1">
        <v>11.397</v>
      </c>
      <c r="E71" s="5">
        <f>Tabela1[[#This Row],[Força(N)]]/$I$5</f>
        <v>261267.25046994639</v>
      </c>
      <c r="F71" s="3">
        <f>Tabela1[[#This Row],[Tensão(Pa)]]/1000000</f>
        <v>0.26126725046994637</v>
      </c>
    </row>
    <row r="72" spans="1:6" x14ac:dyDescent="0.3">
      <c r="A72" s="1">
        <v>18.216999999999999</v>
      </c>
      <c r="B72" s="1">
        <v>1.5103</v>
      </c>
      <c r="C72" s="3">
        <f>Tabela1[[#This Row],[Alongamento(mm)]]/$I$2</f>
        <v>3.0206E-2</v>
      </c>
      <c r="D72" s="1">
        <v>11.397</v>
      </c>
      <c r="E72" s="5">
        <f>Tabela1[[#This Row],[Força(N)]]/$I$5</f>
        <v>261267.25046994639</v>
      </c>
      <c r="F72" s="3">
        <f>Tabela1[[#This Row],[Tensão(Pa)]]/1000000</f>
        <v>0.26126725046994637</v>
      </c>
    </row>
    <row r="73" spans="1:6" x14ac:dyDescent="0.3">
      <c r="A73" s="1">
        <v>18.367000000000001</v>
      </c>
      <c r="B73" s="1">
        <v>1.5226999999999999</v>
      </c>
      <c r="C73" s="3">
        <f>Tabela1[[#This Row],[Alongamento(mm)]]/$I$2</f>
        <v>3.0453999999999998E-2</v>
      </c>
      <c r="D73" s="1">
        <v>11.397</v>
      </c>
      <c r="E73" s="5">
        <f>Tabela1[[#This Row],[Força(N)]]/$I$5</f>
        <v>261267.25046994639</v>
      </c>
      <c r="F73" s="3">
        <f>Tabela1[[#This Row],[Tensão(Pa)]]/1000000</f>
        <v>0.26126725046994637</v>
      </c>
    </row>
    <row r="74" spans="1:6" x14ac:dyDescent="0.3">
      <c r="A74" s="1">
        <v>18.516999999999999</v>
      </c>
      <c r="B74" s="1">
        <v>1.5353000000000001</v>
      </c>
      <c r="C74" s="3">
        <f>Tabela1[[#This Row],[Alongamento(mm)]]/$I$2</f>
        <v>3.0706000000000001E-2</v>
      </c>
      <c r="D74" s="1">
        <v>11.567</v>
      </c>
      <c r="E74" s="5">
        <f>Tabela1[[#This Row],[Força(N)]]/$I$5</f>
        <v>265164.3666040072</v>
      </c>
      <c r="F74" s="3">
        <f>Tabela1[[#This Row],[Tensão(Pa)]]/1000000</f>
        <v>0.26516436660400722</v>
      </c>
    </row>
    <row r="75" spans="1:6" x14ac:dyDescent="0.3">
      <c r="A75" s="1">
        <v>18.667000000000002</v>
      </c>
      <c r="B75" s="1">
        <v>1.5478000000000001</v>
      </c>
      <c r="C75" s="3">
        <f>Tabela1[[#This Row],[Alongamento(mm)]]/$I$2</f>
        <v>3.0956000000000001E-2</v>
      </c>
      <c r="D75" s="1">
        <v>11.567</v>
      </c>
      <c r="E75" s="5">
        <f>Tabela1[[#This Row],[Força(N)]]/$I$5</f>
        <v>265164.3666040072</v>
      </c>
      <c r="F75" s="3">
        <f>Tabela1[[#This Row],[Tensão(Pa)]]/1000000</f>
        <v>0.26516436660400722</v>
      </c>
    </row>
    <row r="76" spans="1:6" x14ac:dyDescent="0.3">
      <c r="A76" s="1">
        <v>18.817</v>
      </c>
      <c r="B76" s="1">
        <v>1.5602</v>
      </c>
      <c r="C76" s="3">
        <f>Tabela1[[#This Row],[Alongamento(mm)]]/$I$2</f>
        <v>3.1203999999999999E-2</v>
      </c>
      <c r="D76" s="1">
        <v>11.737</v>
      </c>
      <c r="E76" s="5">
        <f>Tabela1[[#This Row],[Força(N)]]/$I$5</f>
        <v>269061.48273806798</v>
      </c>
      <c r="F76" s="3">
        <f>Tabela1[[#This Row],[Tensão(Pa)]]/1000000</f>
        <v>0.26906148273806796</v>
      </c>
    </row>
    <row r="77" spans="1:6" x14ac:dyDescent="0.3">
      <c r="A77" s="1">
        <v>18.966999999999999</v>
      </c>
      <c r="B77" s="1">
        <v>1.5728</v>
      </c>
      <c r="C77" s="3">
        <f>Tabela1[[#This Row],[Alongamento(mm)]]/$I$2</f>
        <v>3.1455999999999998E-2</v>
      </c>
      <c r="D77" s="1">
        <v>11.737</v>
      </c>
      <c r="E77" s="5">
        <f>Tabela1[[#This Row],[Força(N)]]/$I$5</f>
        <v>269061.48273806798</v>
      </c>
      <c r="F77" s="3">
        <f>Tabela1[[#This Row],[Tensão(Pa)]]/1000000</f>
        <v>0.26906148273806796</v>
      </c>
    </row>
    <row r="78" spans="1:6" x14ac:dyDescent="0.3">
      <c r="A78" s="1">
        <v>19.117000000000001</v>
      </c>
      <c r="B78" s="1">
        <v>1.5851999999999999</v>
      </c>
      <c r="C78" s="3">
        <f>Tabela1[[#This Row],[Alongamento(mm)]]/$I$2</f>
        <v>3.1703999999999996E-2</v>
      </c>
      <c r="D78" s="1">
        <v>11.737</v>
      </c>
      <c r="E78" s="5">
        <f>Tabela1[[#This Row],[Força(N)]]/$I$5</f>
        <v>269061.48273806798</v>
      </c>
      <c r="F78" s="3">
        <f>Tabela1[[#This Row],[Tensão(Pa)]]/1000000</f>
        <v>0.26906148273806796</v>
      </c>
    </row>
    <row r="79" spans="1:6" x14ac:dyDescent="0.3">
      <c r="A79" s="1">
        <v>19.266999999999999</v>
      </c>
      <c r="B79" s="1">
        <v>1.5978000000000001</v>
      </c>
      <c r="C79" s="3">
        <f>Tabela1[[#This Row],[Alongamento(mm)]]/$I$2</f>
        <v>3.1956000000000005E-2</v>
      </c>
      <c r="D79" s="1">
        <v>11.737</v>
      </c>
      <c r="E79" s="5">
        <f>Tabela1[[#This Row],[Força(N)]]/$I$5</f>
        <v>269061.48273806798</v>
      </c>
      <c r="F79" s="3">
        <f>Tabela1[[#This Row],[Tensão(Pa)]]/1000000</f>
        <v>0.26906148273806796</v>
      </c>
    </row>
    <row r="80" spans="1:6" x14ac:dyDescent="0.3">
      <c r="A80" s="1">
        <v>19.417000000000002</v>
      </c>
      <c r="B80" s="1">
        <v>1.6103000000000001</v>
      </c>
      <c r="C80" s="3">
        <f>Tabela1[[#This Row],[Alongamento(mm)]]/$I$2</f>
        <v>3.2205999999999999E-2</v>
      </c>
      <c r="D80" s="1">
        <v>11.907</v>
      </c>
      <c r="E80" s="5">
        <f>Tabela1[[#This Row],[Força(N)]]/$I$5</f>
        <v>272958.59887212876</v>
      </c>
      <c r="F80" s="3">
        <f>Tabela1[[#This Row],[Tensão(Pa)]]/1000000</f>
        <v>0.27295859887212875</v>
      </c>
    </row>
    <row r="81" spans="1:6" x14ac:dyDescent="0.3">
      <c r="A81" s="1">
        <v>19.582999999999998</v>
      </c>
      <c r="B81" s="1">
        <v>1.6241000000000001</v>
      </c>
      <c r="C81" s="3">
        <f>Tabela1[[#This Row],[Alongamento(mm)]]/$I$2</f>
        <v>3.2482000000000004E-2</v>
      </c>
      <c r="D81" s="1">
        <v>12.077</v>
      </c>
      <c r="E81" s="5">
        <f>Tabela1[[#This Row],[Força(N)]]/$I$5</f>
        <v>276855.71500618954</v>
      </c>
      <c r="F81" s="3">
        <f>Tabela1[[#This Row],[Tensão(Pa)]]/1000000</f>
        <v>0.27685571500618955</v>
      </c>
    </row>
    <row r="82" spans="1:6" x14ac:dyDescent="0.3">
      <c r="A82" s="1">
        <v>19.75</v>
      </c>
      <c r="B82" s="1">
        <v>1.6379999999999999</v>
      </c>
      <c r="C82" s="3">
        <f>Tabela1[[#This Row],[Alongamento(mm)]]/$I$2</f>
        <v>3.2759999999999997E-2</v>
      </c>
      <c r="D82" s="1">
        <v>12.587</v>
      </c>
      <c r="E82" s="5">
        <f>Tabela1[[#This Row],[Força(N)]]/$I$5</f>
        <v>288547.06340837193</v>
      </c>
      <c r="F82" s="3">
        <f>Tabela1[[#This Row],[Tensão(Pa)]]/1000000</f>
        <v>0.28854706340837194</v>
      </c>
    </row>
    <row r="83" spans="1:6" x14ac:dyDescent="0.3">
      <c r="A83" s="1">
        <v>19.917000000000002</v>
      </c>
      <c r="B83" s="1">
        <v>1.6519999999999999</v>
      </c>
      <c r="C83" s="3">
        <f>Tabela1[[#This Row],[Alongamento(mm)]]/$I$2</f>
        <v>3.304E-2</v>
      </c>
      <c r="D83" s="1">
        <v>12.928000000000001</v>
      </c>
      <c r="E83" s="5">
        <f>Tabela1[[#This Row],[Força(N)]]/$I$5</f>
        <v>296364.21988904686</v>
      </c>
      <c r="F83" s="3">
        <f>Tabela1[[#This Row],[Tensão(Pa)]]/1000000</f>
        <v>0.29636421988904688</v>
      </c>
    </row>
    <row r="84" spans="1:6" x14ac:dyDescent="0.3">
      <c r="A84" s="1">
        <v>20.082999999999998</v>
      </c>
      <c r="B84" s="1">
        <v>1.6657999999999999</v>
      </c>
      <c r="C84" s="3">
        <f>Tabela1[[#This Row],[Alongamento(mm)]]/$I$2</f>
        <v>3.3315999999999998E-2</v>
      </c>
      <c r="D84" s="1">
        <v>13.098000000000001</v>
      </c>
      <c r="E84" s="5">
        <f>Tabela1[[#This Row],[Força(N)]]/$I$5</f>
        <v>300261.33602310764</v>
      </c>
      <c r="F84" s="3">
        <f>Tabela1[[#This Row],[Tensão(Pa)]]/1000000</f>
        <v>0.30026133602310762</v>
      </c>
    </row>
    <row r="85" spans="1:6" x14ac:dyDescent="0.3">
      <c r="A85" s="1">
        <v>20.183</v>
      </c>
      <c r="B85" s="1">
        <v>1.6740999999999999</v>
      </c>
      <c r="C85" s="3">
        <f>Tabela1[[#This Row],[Alongamento(mm)]]/$I$2</f>
        <v>3.3481999999999998E-2</v>
      </c>
      <c r="D85" s="1">
        <v>13.778</v>
      </c>
      <c r="E85" s="5">
        <f>Tabela1[[#This Row],[Força(N)]]/$I$5</f>
        <v>315849.80055935081</v>
      </c>
      <c r="F85" s="3">
        <f>Tabela1[[#This Row],[Tensão(Pa)]]/1000000</f>
        <v>0.3158498005593508</v>
      </c>
    </row>
    <row r="86" spans="1:6" x14ac:dyDescent="0.3">
      <c r="A86" s="1">
        <v>20.266999999999999</v>
      </c>
      <c r="B86" s="1">
        <v>1.6811</v>
      </c>
      <c r="C86" s="3">
        <f>Tabela1[[#This Row],[Alongamento(mm)]]/$I$2</f>
        <v>3.3621999999999999E-2</v>
      </c>
      <c r="D86" s="1">
        <v>14.458</v>
      </c>
      <c r="E86" s="5">
        <f>Tabela1[[#This Row],[Força(N)]]/$I$5</f>
        <v>331438.26509559399</v>
      </c>
      <c r="F86" s="3">
        <f>Tabela1[[#This Row],[Tensão(Pa)]]/1000000</f>
        <v>0.33143826509559399</v>
      </c>
    </row>
    <row r="87" spans="1:6" x14ac:dyDescent="0.3">
      <c r="A87" s="1">
        <v>20.367000000000001</v>
      </c>
      <c r="B87" s="1">
        <v>1.6894</v>
      </c>
      <c r="C87" s="3">
        <f>Tabela1[[#This Row],[Alongamento(mm)]]/$I$2</f>
        <v>3.3787999999999999E-2</v>
      </c>
      <c r="D87" s="1">
        <v>15.138999999999999</v>
      </c>
      <c r="E87" s="5">
        <f>Tabela1[[#This Row],[Força(N)]]/$I$5</f>
        <v>347049.65384439047</v>
      </c>
      <c r="F87" s="3">
        <f>Tabela1[[#This Row],[Tensão(Pa)]]/1000000</f>
        <v>0.34704965384439046</v>
      </c>
    </row>
    <row r="88" spans="1:6" x14ac:dyDescent="0.3">
      <c r="A88" s="1">
        <v>20.466999999999999</v>
      </c>
      <c r="B88" s="1">
        <v>1.6978</v>
      </c>
      <c r="C88" s="3">
        <f>Tabela1[[#This Row],[Alongamento(mm)]]/$I$2</f>
        <v>3.3956E-2</v>
      </c>
      <c r="D88" s="1">
        <v>15.819000000000001</v>
      </c>
      <c r="E88" s="5">
        <f>Tabela1[[#This Row],[Força(N)]]/$I$5</f>
        <v>362638.11838063365</v>
      </c>
      <c r="F88" s="3">
        <f>Tabela1[[#This Row],[Tensão(Pa)]]/1000000</f>
        <v>0.36263811838063365</v>
      </c>
    </row>
    <row r="89" spans="1:6" x14ac:dyDescent="0.3">
      <c r="A89" s="1">
        <v>20.617000000000001</v>
      </c>
      <c r="B89" s="1">
        <v>1.7101999999999999</v>
      </c>
      <c r="C89" s="3">
        <f>Tabela1[[#This Row],[Alongamento(mm)]]/$I$2</f>
        <v>3.4203999999999998E-2</v>
      </c>
      <c r="D89" s="1">
        <v>16.5</v>
      </c>
      <c r="E89" s="5">
        <f>Tabela1[[#This Row],[Força(N)]]/$I$5</f>
        <v>378249.50712943013</v>
      </c>
      <c r="F89" s="3">
        <f>Tabela1[[#This Row],[Tensão(Pa)]]/1000000</f>
        <v>0.37824950712943012</v>
      </c>
    </row>
    <row r="90" spans="1:6" x14ac:dyDescent="0.3">
      <c r="A90" s="1">
        <v>20.75</v>
      </c>
      <c r="B90" s="1">
        <v>1.7214</v>
      </c>
      <c r="C90" s="3">
        <f>Tabela1[[#This Row],[Alongamento(mm)]]/$I$2</f>
        <v>3.4428E-2</v>
      </c>
      <c r="D90" s="1">
        <v>17.18</v>
      </c>
      <c r="E90" s="5">
        <f>Tabela1[[#This Row],[Força(N)]]/$I$5</f>
        <v>393837.97166567331</v>
      </c>
      <c r="F90" s="3">
        <f>Tabela1[[#This Row],[Tensão(Pa)]]/1000000</f>
        <v>0.3938379716656733</v>
      </c>
    </row>
    <row r="91" spans="1:6" x14ac:dyDescent="0.3">
      <c r="A91" s="1">
        <v>20.882999999999999</v>
      </c>
      <c r="B91" s="1">
        <v>1.7325999999999999</v>
      </c>
      <c r="C91" s="3">
        <f>Tabela1[[#This Row],[Alongamento(mm)]]/$I$2</f>
        <v>3.4651999999999995E-2</v>
      </c>
      <c r="D91" s="1">
        <v>18.03</v>
      </c>
      <c r="E91" s="5">
        <f>Tabela1[[#This Row],[Força(N)]]/$I$5</f>
        <v>413323.55233597732</v>
      </c>
      <c r="F91" s="3">
        <f>Tabela1[[#This Row],[Tensão(Pa)]]/1000000</f>
        <v>0.41332355233597734</v>
      </c>
    </row>
    <row r="92" spans="1:6" x14ac:dyDescent="0.3">
      <c r="A92" s="1">
        <v>21.016999999999999</v>
      </c>
      <c r="B92" s="1">
        <v>1.7436</v>
      </c>
      <c r="C92" s="3">
        <f>Tabela1[[#This Row],[Alongamento(mm)]]/$I$2</f>
        <v>3.4872E-2</v>
      </c>
      <c r="D92" s="1">
        <v>18.710999999999999</v>
      </c>
      <c r="E92" s="5">
        <f>Tabela1[[#This Row],[Força(N)]]/$I$5</f>
        <v>428934.94108477375</v>
      </c>
      <c r="F92" s="3">
        <f>Tabela1[[#This Row],[Tensão(Pa)]]/1000000</f>
        <v>0.42893494108477376</v>
      </c>
    </row>
    <row r="93" spans="1:6" x14ac:dyDescent="0.3">
      <c r="A93" s="1">
        <v>21.183</v>
      </c>
      <c r="B93" s="1">
        <v>1.7575000000000001</v>
      </c>
      <c r="C93" s="3">
        <f>Tabela1[[#This Row],[Alongamento(mm)]]/$I$2</f>
        <v>3.5150000000000001E-2</v>
      </c>
      <c r="D93" s="1">
        <v>19.390999999999998</v>
      </c>
      <c r="E93" s="5">
        <f>Tabela1[[#This Row],[Força(N)]]/$I$5</f>
        <v>444523.40562101692</v>
      </c>
      <c r="F93" s="3">
        <f>Tabela1[[#This Row],[Tensão(Pa)]]/1000000</f>
        <v>0.44452340562101694</v>
      </c>
    </row>
    <row r="94" spans="1:6" x14ac:dyDescent="0.3">
      <c r="A94" s="1">
        <v>21.283000000000001</v>
      </c>
      <c r="B94" s="1">
        <v>1.7658</v>
      </c>
      <c r="C94" s="3">
        <f>Tabela1[[#This Row],[Alongamento(mm)]]/$I$2</f>
        <v>3.5316E-2</v>
      </c>
      <c r="D94" s="1">
        <v>20.071999999999999</v>
      </c>
      <c r="E94" s="5">
        <f>Tabela1[[#This Row],[Força(N)]]/$I$5</f>
        <v>460134.7943698134</v>
      </c>
      <c r="F94" s="3">
        <f>Tabela1[[#This Row],[Tensão(Pa)]]/1000000</f>
        <v>0.46013479436981342</v>
      </c>
    </row>
    <row r="95" spans="1:6" x14ac:dyDescent="0.3">
      <c r="A95" s="1">
        <v>21.433</v>
      </c>
      <c r="B95" s="1">
        <v>1.7783</v>
      </c>
      <c r="C95" s="3">
        <f>Tabela1[[#This Row],[Alongamento(mm)]]/$I$2</f>
        <v>3.5566E-2</v>
      </c>
      <c r="D95" s="1">
        <v>20.751999999999999</v>
      </c>
      <c r="E95" s="5">
        <f>Tabela1[[#This Row],[Força(N)]]/$I$5</f>
        <v>475723.25890605658</v>
      </c>
      <c r="F95" s="3">
        <f>Tabela1[[#This Row],[Tensão(Pa)]]/1000000</f>
        <v>0.4757232589060566</v>
      </c>
    </row>
    <row r="96" spans="1:6" x14ac:dyDescent="0.3">
      <c r="A96" s="1">
        <v>21.516999999999999</v>
      </c>
      <c r="B96" s="1">
        <v>1.7853000000000001</v>
      </c>
      <c r="C96" s="3">
        <f>Tabela1[[#This Row],[Alongamento(mm)]]/$I$2</f>
        <v>3.5706000000000002E-2</v>
      </c>
      <c r="D96" s="1">
        <v>21.431999999999999</v>
      </c>
      <c r="E96" s="5">
        <f>Tabela1[[#This Row],[Força(N)]]/$I$5</f>
        <v>491311.72344229976</v>
      </c>
      <c r="F96" s="3">
        <f>Tabela1[[#This Row],[Tensão(Pa)]]/1000000</f>
        <v>0.49131172344229973</v>
      </c>
    </row>
    <row r="97" spans="1:6" x14ac:dyDescent="0.3">
      <c r="A97" s="1">
        <v>21.667000000000002</v>
      </c>
      <c r="B97" s="1">
        <v>1.7977000000000001</v>
      </c>
      <c r="C97" s="3">
        <f>Tabela1[[#This Row],[Alongamento(mm)]]/$I$2</f>
        <v>3.5954E-2</v>
      </c>
      <c r="D97" s="1">
        <v>22.283000000000001</v>
      </c>
      <c r="E97" s="5">
        <f>Tabela1[[#This Row],[Força(N)]]/$I$5</f>
        <v>510820.22832515708</v>
      </c>
      <c r="F97" s="3">
        <f>Tabela1[[#This Row],[Tensão(Pa)]]/1000000</f>
        <v>0.51082022832515706</v>
      </c>
    </row>
    <row r="98" spans="1:6" x14ac:dyDescent="0.3">
      <c r="A98" s="1">
        <v>21.8</v>
      </c>
      <c r="B98" s="1">
        <v>1.8089</v>
      </c>
      <c r="C98" s="3">
        <f>Tabela1[[#This Row],[Alongamento(mm)]]/$I$2</f>
        <v>3.6178000000000002E-2</v>
      </c>
      <c r="D98" s="1">
        <v>22.963000000000001</v>
      </c>
      <c r="E98" s="5">
        <f>Tabela1[[#This Row],[Força(N)]]/$I$5</f>
        <v>526408.69286140031</v>
      </c>
      <c r="F98" s="3">
        <f>Tabela1[[#This Row],[Tensão(Pa)]]/1000000</f>
        <v>0.52640869286140035</v>
      </c>
    </row>
    <row r="99" spans="1:6" x14ac:dyDescent="0.3">
      <c r="A99" s="1">
        <v>21.917000000000002</v>
      </c>
      <c r="B99" s="1">
        <v>1.8185</v>
      </c>
      <c r="C99" s="3">
        <f>Tabela1[[#This Row],[Alongamento(mm)]]/$I$2</f>
        <v>3.637E-2</v>
      </c>
      <c r="D99" s="1">
        <v>23.643999999999998</v>
      </c>
      <c r="E99" s="5">
        <f>Tabela1[[#This Row],[Força(N)]]/$I$5</f>
        <v>542020.08161019674</v>
      </c>
      <c r="F99" s="3">
        <f>Tabela1[[#This Row],[Tensão(Pa)]]/1000000</f>
        <v>0.54202008161019677</v>
      </c>
    </row>
    <row r="100" spans="1:6" x14ac:dyDescent="0.3">
      <c r="A100" s="1">
        <v>22.016999999999999</v>
      </c>
      <c r="B100" s="1">
        <v>1.8269</v>
      </c>
      <c r="C100" s="3">
        <f>Tabela1[[#This Row],[Alongamento(mm)]]/$I$2</f>
        <v>3.6538000000000001E-2</v>
      </c>
      <c r="D100" s="1">
        <v>24.324000000000002</v>
      </c>
      <c r="E100" s="5">
        <f>Tabela1[[#This Row],[Força(N)]]/$I$5</f>
        <v>557608.54614643997</v>
      </c>
      <c r="F100" s="3">
        <f>Tabela1[[#This Row],[Tensão(Pa)]]/1000000</f>
        <v>0.55760854614643995</v>
      </c>
    </row>
    <row r="101" spans="1:6" x14ac:dyDescent="0.3">
      <c r="A101" s="1">
        <v>22.132999999999999</v>
      </c>
      <c r="B101" s="1">
        <v>1.8367</v>
      </c>
      <c r="C101" s="3">
        <f>Tabela1[[#This Row],[Alongamento(mm)]]/$I$2</f>
        <v>3.6734000000000003E-2</v>
      </c>
      <c r="D101" s="1">
        <v>25.004999999999999</v>
      </c>
      <c r="E101" s="5">
        <f>Tabela1[[#This Row],[Força(N)]]/$I$5</f>
        <v>573219.93489523639</v>
      </c>
      <c r="F101" s="3">
        <f>Tabela1[[#This Row],[Tensão(Pa)]]/1000000</f>
        <v>0.57321993489523637</v>
      </c>
    </row>
    <row r="102" spans="1:6" x14ac:dyDescent="0.3">
      <c r="A102" s="1">
        <v>22.25</v>
      </c>
      <c r="B102" s="1">
        <v>1.8464</v>
      </c>
      <c r="C102" s="3">
        <f>Tabela1[[#This Row],[Alongamento(mm)]]/$I$2</f>
        <v>3.6928000000000002E-2</v>
      </c>
      <c r="D102" s="1">
        <v>25.684999999999999</v>
      </c>
      <c r="E102" s="5">
        <f>Tabela1[[#This Row],[Força(N)]]/$I$5</f>
        <v>588808.39943147951</v>
      </c>
      <c r="F102" s="3">
        <f>Tabela1[[#This Row],[Tensão(Pa)]]/1000000</f>
        <v>0.58880839943147956</v>
      </c>
    </row>
    <row r="103" spans="1:6" x14ac:dyDescent="0.3">
      <c r="A103" s="1">
        <v>22.35</v>
      </c>
      <c r="B103" s="1">
        <v>1.8546</v>
      </c>
      <c r="C103" s="3">
        <f>Tabela1[[#This Row],[Alongamento(mm)]]/$I$2</f>
        <v>3.7092E-2</v>
      </c>
      <c r="D103" s="1">
        <v>26.364999999999998</v>
      </c>
      <c r="E103" s="5">
        <f>Tabela1[[#This Row],[Força(N)]]/$I$5</f>
        <v>604396.86396772275</v>
      </c>
      <c r="F103" s="3">
        <f>Tabela1[[#This Row],[Tensão(Pa)]]/1000000</f>
        <v>0.60439686396772274</v>
      </c>
    </row>
    <row r="104" spans="1:6" x14ac:dyDescent="0.3">
      <c r="A104" s="1">
        <v>22.45</v>
      </c>
      <c r="B104" s="1">
        <v>1.863</v>
      </c>
      <c r="C104" s="3">
        <f>Tabela1[[#This Row],[Alongamento(mm)]]/$I$2</f>
        <v>3.7260000000000001E-2</v>
      </c>
      <c r="D104" s="1">
        <v>27.045999999999999</v>
      </c>
      <c r="E104" s="5">
        <f>Tabela1[[#This Row],[Força(N)]]/$I$5</f>
        <v>620008.25271651917</v>
      </c>
      <c r="F104" s="3">
        <f>Tabela1[[#This Row],[Tensão(Pa)]]/1000000</f>
        <v>0.62000825271651916</v>
      </c>
    </row>
    <row r="105" spans="1:6" x14ac:dyDescent="0.3">
      <c r="A105" s="1">
        <v>22.55</v>
      </c>
      <c r="B105" s="1">
        <v>1.8714</v>
      </c>
      <c r="C105" s="3">
        <f>Tabela1[[#This Row],[Alongamento(mm)]]/$I$2</f>
        <v>3.7427999999999996E-2</v>
      </c>
      <c r="D105" s="1">
        <v>27.725999999999999</v>
      </c>
      <c r="E105" s="5">
        <f>Tabela1[[#This Row],[Força(N)]]/$I$5</f>
        <v>635596.71725276241</v>
      </c>
      <c r="F105" s="3">
        <f>Tabela1[[#This Row],[Tensão(Pa)]]/1000000</f>
        <v>0.63559671725276246</v>
      </c>
    </row>
    <row r="106" spans="1:6" x14ac:dyDescent="0.3">
      <c r="A106" s="1">
        <v>22.632999999999999</v>
      </c>
      <c r="B106" s="1">
        <v>1.8784000000000001</v>
      </c>
      <c r="C106" s="3">
        <f>Tabela1[[#This Row],[Alongamento(mm)]]/$I$2</f>
        <v>3.7568000000000004E-2</v>
      </c>
      <c r="D106" s="1">
        <v>28.407</v>
      </c>
      <c r="E106" s="5">
        <f>Tabela1[[#This Row],[Força(N)]]/$I$5</f>
        <v>651208.10600155895</v>
      </c>
      <c r="F106" s="3">
        <f>Tabela1[[#This Row],[Tensão(Pa)]]/1000000</f>
        <v>0.65120810600155898</v>
      </c>
    </row>
    <row r="107" spans="1:6" x14ac:dyDescent="0.3">
      <c r="A107" s="1">
        <v>22.716999999999999</v>
      </c>
      <c r="B107" s="1">
        <v>1.8853</v>
      </c>
      <c r="C107" s="3">
        <f>Tabela1[[#This Row],[Alongamento(mm)]]/$I$2</f>
        <v>3.7705999999999996E-2</v>
      </c>
      <c r="D107" s="1">
        <v>29.087</v>
      </c>
      <c r="E107" s="5">
        <f>Tabela1[[#This Row],[Força(N)]]/$I$5</f>
        <v>666796.57053780206</v>
      </c>
      <c r="F107" s="3">
        <f>Tabela1[[#This Row],[Tensão(Pa)]]/1000000</f>
        <v>0.66679657053780206</v>
      </c>
    </row>
    <row r="108" spans="1:6" x14ac:dyDescent="0.3">
      <c r="A108" s="1">
        <v>22.817</v>
      </c>
      <c r="B108" s="1">
        <v>1.8935999999999999</v>
      </c>
      <c r="C108" s="3">
        <f>Tabela1[[#This Row],[Alongamento(mm)]]/$I$2</f>
        <v>3.7871999999999996E-2</v>
      </c>
      <c r="D108" s="1">
        <v>29.766999999999999</v>
      </c>
      <c r="E108" s="5">
        <f>Tabela1[[#This Row],[Força(N)]]/$I$5</f>
        <v>682385.0350740453</v>
      </c>
      <c r="F108" s="3">
        <f>Tabela1[[#This Row],[Tensão(Pa)]]/1000000</f>
        <v>0.68238503507404535</v>
      </c>
    </row>
    <row r="109" spans="1:6" x14ac:dyDescent="0.3">
      <c r="A109" s="1">
        <v>22.9</v>
      </c>
      <c r="B109" s="1">
        <v>1.9005000000000001</v>
      </c>
      <c r="C109" s="3">
        <f>Tabela1[[#This Row],[Alongamento(mm)]]/$I$2</f>
        <v>3.8010000000000002E-2</v>
      </c>
      <c r="D109" s="1">
        <v>30.448</v>
      </c>
      <c r="E109" s="5">
        <f>Tabela1[[#This Row],[Força(N)]]/$I$5</f>
        <v>697996.42382284172</v>
      </c>
      <c r="F109" s="3">
        <f>Tabela1[[#This Row],[Tensão(Pa)]]/1000000</f>
        <v>0.69799642382284177</v>
      </c>
    </row>
    <row r="110" spans="1:6" x14ac:dyDescent="0.3">
      <c r="A110" s="1">
        <v>22.983000000000001</v>
      </c>
      <c r="B110" s="1">
        <v>1.9075</v>
      </c>
      <c r="C110" s="3">
        <f>Tabela1[[#This Row],[Alongamento(mm)]]/$I$2</f>
        <v>3.8149999999999996E-2</v>
      </c>
      <c r="D110" s="1">
        <v>31.128</v>
      </c>
      <c r="E110" s="5">
        <f>Tabela1[[#This Row],[Força(N)]]/$I$5</f>
        <v>713584.88835908496</v>
      </c>
      <c r="F110" s="3">
        <f>Tabela1[[#This Row],[Tensão(Pa)]]/1000000</f>
        <v>0.71358488835908496</v>
      </c>
    </row>
    <row r="111" spans="1:6" x14ac:dyDescent="0.3">
      <c r="A111" s="1">
        <v>23.067</v>
      </c>
      <c r="B111" s="1">
        <v>1.9145000000000001</v>
      </c>
      <c r="C111" s="3">
        <f>Tabela1[[#This Row],[Alongamento(mm)]]/$I$2</f>
        <v>3.8290000000000005E-2</v>
      </c>
      <c r="D111" s="1">
        <v>31.808</v>
      </c>
      <c r="E111" s="5">
        <f>Tabela1[[#This Row],[Força(N)]]/$I$5</f>
        <v>729173.35289532808</v>
      </c>
      <c r="F111" s="3">
        <f>Tabela1[[#This Row],[Tensão(Pa)]]/1000000</f>
        <v>0.72917335289532803</v>
      </c>
    </row>
    <row r="112" spans="1:6" x14ac:dyDescent="0.3">
      <c r="A112" s="1">
        <v>23.15</v>
      </c>
      <c r="B112" s="1">
        <v>1.9214</v>
      </c>
      <c r="C112" s="3">
        <f>Tabela1[[#This Row],[Alongamento(mm)]]/$I$2</f>
        <v>3.8427999999999997E-2</v>
      </c>
      <c r="D112" s="1">
        <v>32.488999999999997</v>
      </c>
      <c r="E112" s="5">
        <f>Tabela1[[#This Row],[Força(N)]]/$I$5</f>
        <v>744784.7416441245</v>
      </c>
      <c r="F112" s="3">
        <f>Tabela1[[#This Row],[Tensão(Pa)]]/1000000</f>
        <v>0.74478474164412445</v>
      </c>
    </row>
    <row r="113" spans="1:6" x14ac:dyDescent="0.3">
      <c r="A113" s="1">
        <v>23.233000000000001</v>
      </c>
      <c r="B113" s="1">
        <v>1.9282999999999999</v>
      </c>
      <c r="C113" s="3">
        <f>Tabela1[[#This Row],[Alongamento(mm)]]/$I$2</f>
        <v>3.8565999999999996E-2</v>
      </c>
      <c r="D113" s="1">
        <v>33.168999999999997</v>
      </c>
      <c r="E113" s="5">
        <f>Tabela1[[#This Row],[Força(N)]]/$I$5</f>
        <v>760373.20618036774</v>
      </c>
      <c r="F113" s="3">
        <f>Tabela1[[#This Row],[Tensão(Pa)]]/1000000</f>
        <v>0.76037320618036774</v>
      </c>
    </row>
    <row r="114" spans="1:6" x14ac:dyDescent="0.3">
      <c r="A114" s="1">
        <v>23.332999999999998</v>
      </c>
      <c r="B114" s="1">
        <v>1.9366000000000001</v>
      </c>
      <c r="C114" s="3">
        <f>Tabela1[[#This Row],[Alongamento(mm)]]/$I$2</f>
        <v>3.8732000000000003E-2</v>
      </c>
      <c r="D114" s="1">
        <v>33.85</v>
      </c>
      <c r="E114" s="5">
        <f>Tabela1[[#This Row],[Força(N)]]/$I$5</f>
        <v>775984.59492916428</v>
      </c>
      <c r="F114" s="3">
        <f>Tabela1[[#This Row],[Tensão(Pa)]]/1000000</f>
        <v>0.77598459492916427</v>
      </c>
    </row>
    <row r="115" spans="1:6" x14ac:dyDescent="0.3">
      <c r="A115" s="1">
        <v>23.417000000000002</v>
      </c>
      <c r="B115" s="1">
        <v>1.9436</v>
      </c>
      <c r="C115" s="3">
        <f>Tabela1[[#This Row],[Alongamento(mm)]]/$I$2</f>
        <v>3.8871999999999997E-2</v>
      </c>
      <c r="D115" s="1">
        <v>34.53</v>
      </c>
      <c r="E115" s="5">
        <f>Tabela1[[#This Row],[Força(N)]]/$I$5</f>
        <v>791573.05946540739</v>
      </c>
      <c r="F115" s="3">
        <f>Tabela1[[#This Row],[Tensão(Pa)]]/1000000</f>
        <v>0.79157305946540735</v>
      </c>
    </row>
    <row r="116" spans="1:6" x14ac:dyDescent="0.3">
      <c r="A116" s="1">
        <v>23.516999999999999</v>
      </c>
      <c r="B116" s="1">
        <v>1.9519</v>
      </c>
      <c r="C116" s="3">
        <f>Tabela1[[#This Row],[Alongamento(mm)]]/$I$2</f>
        <v>3.9037999999999996E-2</v>
      </c>
      <c r="D116" s="1">
        <v>35.21</v>
      </c>
      <c r="E116" s="5">
        <f>Tabela1[[#This Row],[Força(N)]]/$I$5</f>
        <v>807161.52400165063</v>
      </c>
      <c r="F116" s="3">
        <f>Tabela1[[#This Row],[Tensão(Pa)]]/1000000</f>
        <v>0.80716152400165064</v>
      </c>
    </row>
    <row r="117" spans="1:6" x14ac:dyDescent="0.3">
      <c r="A117" s="1">
        <v>23.6</v>
      </c>
      <c r="B117" s="1">
        <v>1.9589000000000001</v>
      </c>
      <c r="C117" s="3">
        <f>Tabela1[[#This Row],[Alongamento(mm)]]/$I$2</f>
        <v>3.9178000000000004E-2</v>
      </c>
      <c r="D117" s="1">
        <v>35.890999999999998</v>
      </c>
      <c r="E117" s="5">
        <f>Tabela1[[#This Row],[Força(N)]]/$I$5</f>
        <v>822772.91275044705</v>
      </c>
      <c r="F117" s="3">
        <f>Tabela1[[#This Row],[Tensão(Pa)]]/1000000</f>
        <v>0.82277291275044706</v>
      </c>
    </row>
    <row r="118" spans="1:6" x14ac:dyDescent="0.3">
      <c r="A118" s="1">
        <v>23.683</v>
      </c>
      <c r="B118" s="1">
        <v>1.9659</v>
      </c>
      <c r="C118" s="3">
        <f>Tabela1[[#This Row],[Alongamento(mm)]]/$I$2</f>
        <v>3.9317999999999999E-2</v>
      </c>
      <c r="D118" s="1">
        <v>36.570999999999998</v>
      </c>
      <c r="E118" s="5">
        <f>Tabela1[[#This Row],[Força(N)]]/$I$5</f>
        <v>838361.37728669017</v>
      </c>
      <c r="F118" s="3">
        <f>Tabela1[[#This Row],[Tensão(Pa)]]/1000000</f>
        <v>0.83836137728669013</v>
      </c>
    </row>
    <row r="119" spans="1:6" x14ac:dyDescent="0.3">
      <c r="A119" s="1">
        <v>23.766999999999999</v>
      </c>
      <c r="B119" s="1">
        <v>1.9726999999999999</v>
      </c>
      <c r="C119" s="3">
        <f>Tabela1[[#This Row],[Alongamento(mm)]]/$I$2</f>
        <v>3.9453999999999996E-2</v>
      </c>
      <c r="D119" s="1">
        <v>37.252000000000002</v>
      </c>
      <c r="E119" s="5">
        <f>Tabela1[[#This Row],[Força(N)]]/$I$5</f>
        <v>853972.76603548683</v>
      </c>
      <c r="F119" s="3">
        <f>Tabela1[[#This Row],[Tensão(Pa)]]/1000000</f>
        <v>0.85397276603548677</v>
      </c>
    </row>
    <row r="120" spans="1:6" x14ac:dyDescent="0.3">
      <c r="A120" s="1">
        <v>23.867000000000001</v>
      </c>
      <c r="B120" s="1">
        <v>1.9811000000000001</v>
      </c>
      <c r="C120" s="3">
        <f>Tabela1[[#This Row],[Alongamento(mm)]]/$I$2</f>
        <v>3.9622000000000004E-2</v>
      </c>
      <c r="D120" s="1">
        <v>37.932000000000002</v>
      </c>
      <c r="E120" s="5">
        <f>Tabela1[[#This Row],[Força(N)]]/$I$5</f>
        <v>869561.23057172995</v>
      </c>
      <c r="F120" s="3">
        <f>Tabela1[[#This Row],[Tensão(Pa)]]/1000000</f>
        <v>0.86956123057172996</v>
      </c>
    </row>
    <row r="121" spans="1:6" x14ac:dyDescent="0.3">
      <c r="A121" s="1">
        <v>23.95</v>
      </c>
      <c r="B121" s="1">
        <v>1.988</v>
      </c>
      <c r="C121" s="3">
        <f>Tabela1[[#This Row],[Alongamento(mm)]]/$I$2</f>
        <v>3.9759999999999997E-2</v>
      </c>
      <c r="D121" s="1">
        <v>38.612000000000002</v>
      </c>
      <c r="E121" s="5">
        <f>Tabela1[[#This Row],[Força(N)]]/$I$5</f>
        <v>885149.69510797318</v>
      </c>
      <c r="F121" s="3">
        <f>Tabela1[[#This Row],[Tensão(Pa)]]/1000000</f>
        <v>0.88514969510797314</v>
      </c>
    </row>
    <row r="122" spans="1:6" x14ac:dyDescent="0.3">
      <c r="A122" s="1">
        <v>24.05</v>
      </c>
      <c r="B122" s="1">
        <v>1.9964</v>
      </c>
      <c r="C122" s="3">
        <f>Tabela1[[#This Row],[Alongamento(mm)]]/$I$2</f>
        <v>3.9927999999999998E-2</v>
      </c>
      <c r="D122" s="1">
        <v>39.292999999999999</v>
      </c>
      <c r="E122" s="5">
        <f>Tabela1[[#This Row],[Força(N)]]/$I$5</f>
        <v>900761.0838567696</v>
      </c>
      <c r="F122" s="3">
        <f>Tabela1[[#This Row],[Tensão(Pa)]]/1000000</f>
        <v>0.90076108385676956</v>
      </c>
    </row>
    <row r="123" spans="1:6" x14ac:dyDescent="0.3">
      <c r="A123" s="1">
        <v>24.132999999999999</v>
      </c>
      <c r="B123" s="1">
        <v>2.0032999999999999</v>
      </c>
      <c r="C123" s="3">
        <f>Tabela1[[#This Row],[Alongamento(mm)]]/$I$2</f>
        <v>4.0065999999999997E-2</v>
      </c>
      <c r="D123" s="1">
        <v>39.972999999999999</v>
      </c>
      <c r="E123" s="5">
        <f>Tabela1[[#This Row],[Força(N)]]/$I$5</f>
        <v>916349.54839301272</v>
      </c>
      <c r="F123" s="3">
        <f>Tabela1[[#This Row],[Tensão(Pa)]]/1000000</f>
        <v>0.91634954839301275</v>
      </c>
    </row>
    <row r="124" spans="1:6" x14ac:dyDescent="0.3">
      <c r="A124" s="1">
        <v>24.216999999999999</v>
      </c>
      <c r="B124" s="1">
        <v>2.0102000000000002</v>
      </c>
      <c r="C124" s="3">
        <f>Tabela1[[#This Row],[Alongamento(mm)]]/$I$2</f>
        <v>4.0204000000000004E-2</v>
      </c>
      <c r="D124" s="1">
        <v>40.654000000000003</v>
      </c>
      <c r="E124" s="5">
        <f>Tabela1[[#This Row],[Força(N)]]/$I$5</f>
        <v>931960.93714180938</v>
      </c>
      <c r="F124" s="3">
        <f>Tabela1[[#This Row],[Tensão(Pa)]]/1000000</f>
        <v>0.93196093714180939</v>
      </c>
    </row>
    <row r="125" spans="1:6" x14ac:dyDescent="0.3">
      <c r="A125" s="1">
        <v>24.3</v>
      </c>
      <c r="B125" s="1">
        <v>2.0171999999999999</v>
      </c>
      <c r="C125" s="3">
        <f>Tabela1[[#This Row],[Alongamento(mm)]]/$I$2</f>
        <v>4.0343999999999998E-2</v>
      </c>
      <c r="D125" s="1">
        <v>41.334000000000003</v>
      </c>
      <c r="E125" s="5">
        <f>Tabela1[[#This Row],[Força(N)]]/$I$5</f>
        <v>947549.4016780525</v>
      </c>
      <c r="F125" s="3">
        <f>Tabela1[[#This Row],[Tensão(Pa)]]/1000000</f>
        <v>0.94754940167805246</v>
      </c>
    </row>
    <row r="126" spans="1:6" x14ac:dyDescent="0.3">
      <c r="A126" s="1">
        <v>24.382999999999999</v>
      </c>
      <c r="B126" s="1">
        <v>2.0242</v>
      </c>
      <c r="C126" s="3">
        <f>Tabela1[[#This Row],[Alongamento(mm)]]/$I$2</f>
        <v>4.0483999999999999E-2</v>
      </c>
      <c r="D126" s="1">
        <v>42.014000000000003</v>
      </c>
      <c r="E126" s="5">
        <f>Tabela1[[#This Row],[Força(N)]]/$I$5</f>
        <v>963137.86621429573</v>
      </c>
      <c r="F126" s="3">
        <f>Tabela1[[#This Row],[Tensão(Pa)]]/1000000</f>
        <v>0.96313786621429576</v>
      </c>
    </row>
    <row r="127" spans="1:6" x14ac:dyDescent="0.3">
      <c r="A127" s="1">
        <v>24.466999999999999</v>
      </c>
      <c r="B127" s="1">
        <v>2.0310999999999999</v>
      </c>
      <c r="C127" s="3">
        <f>Tabela1[[#This Row],[Alongamento(mm)]]/$I$2</f>
        <v>4.0621999999999998E-2</v>
      </c>
      <c r="D127" s="1">
        <v>42.695</v>
      </c>
      <c r="E127" s="5">
        <f>Tabela1[[#This Row],[Força(N)]]/$I$5</f>
        <v>978749.25496309204</v>
      </c>
      <c r="F127" s="3">
        <f>Tabela1[[#This Row],[Tensão(Pa)]]/1000000</f>
        <v>0.97874925496309206</v>
      </c>
    </row>
    <row r="128" spans="1:6" x14ac:dyDescent="0.3">
      <c r="A128" s="1">
        <v>24.533000000000001</v>
      </c>
      <c r="B128" s="1">
        <v>2.0367000000000002</v>
      </c>
      <c r="C128" s="3">
        <f>Tabela1[[#This Row],[Alongamento(mm)]]/$I$2</f>
        <v>4.0734000000000006E-2</v>
      </c>
      <c r="D128" s="1">
        <v>43.375</v>
      </c>
      <c r="E128" s="5">
        <f>Tabela1[[#This Row],[Força(N)]]/$I$5</f>
        <v>994337.71949933528</v>
      </c>
      <c r="F128" s="3">
        <f>Tabela1[[#This Row],[Tensão(Pa)]]/1000000</f>
        <v>0.99433771949933525</v>
      </c>
    </row>
    <row r="129" spans="1:6" x14ac:dyDescent="0.3">
      <c r="A129" s="1">
        <v>24.617000000000001</v>
      </c>
      <c r="B129" s="1">
        <v>2.0436000000000001</v>
      </c>
      <c r="C129" s="3">
        <f>Tabela1[[#This Row],[Alongamento(mm)]]/$I$2</f>
        <v>4.0871999999999999E-2</v>
      </c>
      <c r="D129" s="1">
        <v>44.055999999999997</v>
      </c>
      <c r="E129" s="5">
        <f>Tabela1[[#This Row],[Força(N)]]/$I$5</f>
        <v>1009949.1082481317</v>
      </c>
      <c r="F129" s="3">
        <f>Tabela1[[#This Row],[Tensão(Pa)]]/1000000</f>
        <v>1.0099491082481318</v>
      </c>
    </row>
    <row r="130" spans="1:6" x14ac:dyDescent="0.3">
      <c r="A130" s="1">
        <v>24.7</v>
      </c>
      <c r="B130" s="1">
        <v>2.0503999999999998</v>
      </c>
      <c r="C130" s="3">
        <f>Tabela1[[#This Row],[Alongamento(mm)]]/$I$2</f>
        <v>4.1007999999999996E-2</v>
      </c>
      <c r="D130" s="1">
        <v>44.735999999999997</v>
      </c>
      <c r="E130" s="5">
        <f>Tabela1[[#This Row],[Força(N)]]/$I$5</f>
        <v>1025537.5727843748</v>
      </c>
      <c r="F130" s="3">
        <f>Tabela1[[#This Row],[Tensão(Pa)]]/1000000</f>
        <v>1.0255375727843747</v>
      </c>
    </row>
    <row r="131" spans="1:6" x14ac:dyDescent="0.3">
      <c r="A131" s="1">
        <v>24.766999999999999</v>
      </c>
      <c r="B131" s="1">
        <v>2.0560999999999998</v>
      </c>
      <c r="C131" s="3">
        <f>Tabela1[[#This Row],[Alongamento(mm)]]/$I$2</f>
        <v>4.1121999999999999E-2</v>
      </c>
      <c r="D131" s="1">
        <v>45.415999999999997</v>
      </c>
      <c r="E131" s="5">
        <f>Tabela1[[#This Row],[Força(N)]]/$I$5</f>
        <v>1041126.0373206181</v>
      </c>
      <c r="F131" s="3">
        <f>Tabela1[[#This Row],[Tensão(Pa)]]/1000000</f>
        <v>1.0411260373206181</v>
      </c>
    </row>
    <row r="132" spans="1:6" x14ac:dyDescent="0.3">
      <c r="A132" s="1">
        <v>24.832999999999998</v>
      </c>
      <c r="B132" s="1">
        <v>2.0615999999999999</v>
      </c>
      <c r="C132" s="3">
        <f>Tabela1[[#This Row],[Alongamento(mm)]]/$I$2</f>
        <v>4.1231999999999998E-2</v>
      </c>
      <c r="D132" s="1">
        <v>46.097000000000001</v>
      </c>
      <c r="E132" s="5">
        <f>Tabela1[[#This Row],[Força(N)]]/$I$5</f>
        <v>1056737.4260694147</v>
      </c>
      <c r="F132" s="3">
        <f>Tabela1[[#This Row],[Tensão(Pa)]]/1000000</f>
        <v>1.0567374260694147</v>
      </c>
    </row>
    <row r="133" spans="1:6" x14ac:dyDescent="0.3">
      <c r="A133" s="1">
        <v>24.917000000000002</v>
      </c>
      <c r="B133" s="1">
        <v>2.0686</v>
      </c>
      <c r="C133" s="3">
        <f>Tabela1[[#This Row],[Alongamento(mm)]]/$I$2</f>
        <v>4.1371999999999999E-2</v>
      </c>
      <c r="D133" s="1">
        <v>46.777000000000001</v>
      </c>
      <c r="E133" s="5">
        <f>Tabela1[[#This Row],[Força(N)]]/$I$5</f>
        <v>1072325.8906056578</v>
      </c>
      <c r="F133" s="3">
        <f>Tabela1[[#This Row],[Tensão(Pa)]]/1000000</f>
        <v>1.0723258906056579</v>
      </c>
    </row>
    <row r="134" spans="1:6" x14ac:dyDescent="0.3">
      <c r="A134" s="1">
        <v>25</v>
      </c>
      <c r="B134" s="1">
        <v>2.0756000000000001</v>
      </c>
      <c r="C134" s="3">
        <f>Tabela1[[#This Row],[Alongamento(mm)]]/$I$2</f>
        <v>4.1512E-2</v>
      </c>
      <c r="D134" s="1">
        <v>47.457999999999998</v>
      </c>
      <c r="E134" s="5">
        <f>Tabela1[[#This Row],[Força(N)]]/$I$5</f>
        <v>1087937.2793544543</v>
      </c>
      <c r="F134" s="3">
        <f>Tabela1[[#This Row],[Tensão(Pa)]]/1000000</f>
        <v>1.0879372793544542</v>
      </c>
    </row>
    <row r="135" spans="1:6" x14ac:dyDescent="0.3">
      <c r="A135" s="1">
        <v>25.067</v>
      </c>
      <c r="B135" s="1">
        <v>2.0811000000000002</v>
      </c>
      <c r="C135" s="3">
        <f>Tabela1[[#This Row],[Alongamento(mm)]]/$I$2</f>
        <v>4.1622000000000006E-2</v>
      </c>
      <c r="D135" s="1">
        <v>48.137999999999998</v>
      </c>
      <c r="E135" s="5">
        <f>Tabela1[[#This Row],[Força(N)]]/$I$5</f>
        <v>1103525.7438906974</v>
      </c>
      <c r="F135" s="3">
        <f>Tabela1[[#This Row],[Tensão(Pa)]]/1000000</f>
        <v>1.1035257438906974</v>
      </c>
    </row>
    <row r="136" spans="1:6" x14ac:dyDescent="0.3">
      <c r="A136" s="1">
        <v>25.132999999999999</v>
      </c>
      <c r="B136" s="1">
        <v>2.0865999999999998</v>
      </c>
      <c r="C136" s="3">
        <f>Tabela1[[#This Row],[Alongamento(mm)]]/$I$2</f>
        <v>4.1731999999999998E-2</v>
      </c>
      <c r="D136" s="1">
        <v>48.817999999999998</v>
      </c>
      <c r="E136" s="5">
        <f>Tabela1[[#This Row],[Força(N)]]/$I$5</f>
        <v>1119114.2084269405</v>
      </c>
      <c r="F136" s="3">
        <f>Tabela1[[#This Row],[Tensão(Pa)]]/1000000</f>
        <v>1.1191142084269405</v>
      </c>
    </row>
    <row r="137" spans="1:6" x14ac:dyDescent="0.3">
      <c r="A137" s="1">
        <v>25.2</v>
      </c>
      <c r="B137" s="1">
        <v>2.0920999999999998</v>
      </c>
      <c r="C137" s="3">
        <f>Tabela1[[#This Row],[Alongamento(mm)]]/$I$2</f>
        <v>4.1841999999999997E-2</v>
      </c>
      <c r="D137" s="1">
        <v>49.499000000000002</v>
      </c>
      <c r="E137" s="5">
        <f>Tabela1[[#This Row],[Força(N)]]/$I$5</f>
        <v>1134725.5971757371</v>
      </c>
      <c r="F137" s="3">
        <f>Tabela1[[#This Row],[Tensão(Pa)]]/1000000</f>
        <v>1.1347255971757371</v>
      </c>
    </row>
    <row r="138" spans="1:6" x14ac:dyDescent="0.3">
      <c r="A138" s="1">
        <v>25.266999999999999</v>
      </c>
      <c r="B138" s="1">
        <v>2.0977000000000001</v>
      </c>
      <c r="C138" s="3">
        <f>Tabela1[[#This Row],[Alongamento(mm)]]/$I$2</f>
        <v>4.1954000000000005E-2</v>
      </c>
      <c r="D138" s="1">
        <v>50.179000000000002</v>
      </c>
      <c r="E138" s="5">
        <f>Tabela1[[#This Row],[Força(N)]]/$I$5</f>
        <v>1150314.0617119803</v>
      </c>
      <c r="F138" s="3">
        <f>Tabela1[[#This Row],[Tensão(Pa)]]/1000000</f>
        <v>1.1503140617119803</v>
      </c>
    </row>
    <row r="139" spans="1:6" x14ac:dyDescent="0.3">
      <c r="A139" s="1">
        <v>25.35</v>
      </c>
      <c r="B139" s="1">
        <v>2.1048</v>
      </c>
      <c r="C139" s="3">
        <f>Tabela1[[#This Row],[Alongamento(mm)]]/$I$2</f>
        <v>4.2096000000000001E-2</v>
      </c>
      <c r="D139" s="1">
        <v>50.86</v>
      </c>
      <c r="E139" s="5">
        <f>Tabela1[[#This Row],[Força(N)]]/$I$5</f>
        <v>1165925.4504607767</v>
      </c>
      <c r="F139" s="3">
        <f>Tabela1[[#This Row],[Tensão(Pa)]]/1000000</f>
        <v>1.1659254504607768</v>
      </c>
    </row>
    <row r="140" spans="1:6" x14ac:dyDescent="0.3">
      <c r="A140" s="1">
        <v>25.417000000000002</v>
      </c>
      <c r="B140" s="1">
        <v>2.1103000000000001</v>
      </c>
      <c r="C140" s="3">
        <f>Tabela1[[#This Row],[Alongamento(mm)]]/$I$2</f>
        <v>4.2206E-2</v>
      </c>
      <c r="D140" s="1">
        <v>51.54</v>
      </c>
      <c r="E140" s="5">
        <f>Tabela1[[#This Row],[Força(N)]]/$I$5</f>
        <v>1181513.91499702</v>
      </c>
      <c r="F140" s="3">
        <f>Tabela1[[#This Row],[Tensão(Pa)]]/1000000</f>
        <v>1.18151391499702</v>
      </c>
    </row>
    <row r="141" spans="1:6" x14ac:dyDescent="0.3">
      <c r="A141" s="1">
        <v>25.483000000000001</v>
      </c>
      <c r="B141" s="1">
        <v>2.1158999999999999</v>
      </c>
      <c r="C141" s="3">
        <f>Tabela1[[#This Row],[Alongamento(mm)]]/$I$2</f>
        <v>4.2317999999999995E-2</v>
      </c>
      <c r="D141" s="1">
        <v>52.22</v>
      </c>
      <c r="E141" s="5">
        <f>Tabela1[[#This Row],[Força(N)]]/$I$5</f>
        <v>1197102.3795332632</v>
      </c>
      <c r="F141" s="3">
        <f>Tabela1[[#This Row],[Tensão(Pa)]]/1000000</f>
        <v>1.1971023795332632</v>
      </c>
    </row>
    <row r="142" spans="1:6" x14ac:dyDescent="0.3">
      <c r="A142" s="1">
        <v>25.55</v>
      </c>
      <c r="B142" s="1">
        <v>2.1214</v>
      </c>
      <c r="C142" s="3">
        <f>Tabela1[[#This Row],[Alongamento(mm)]]/$I$2</f>
        <v>4.2428E-2</v>
      </c>
      <c r="D142" s="1">
        <v>52.901000000000003</v>
      </c>
      <c r="E142" s="5">
        <f>Tabela1[[#This Row],[Força(N)]]/$I$5</f>
        <v>1212713.7682820596</v>
      </c>
      <c r="F142" s="3">
        <f>Tabela1[[#This Row],[Tensão(Pa)]]/1000000</f>
        <v>1.2127137682820597</v>
      </c>
    </row>
    <row r="143" spans="1:6" x14ac:dyDescent="0.3">
      <c r="A143" s="1">
        <v>25.617000000000001</v>
      </c>
      <c r="B143" s="1">
        <v>2.1269</v>
      </c>
      <c r="C143" s="3">
        <f>Tabela1[[#This Row],[Alongamento(mm)]]/$I$2</f>
        <v>4.2537999999999999E-2</v>
      </c>
      <c r="D143" s="1">
        <v>53.581000000000003</v>
      </c>
      <c r="E143" s="5">
        <f>Tabela1[[#This Row],[Força(N)]]/$I$5</f>
        <v>1228302.2328183029</v>
      </c>
      <c r="F143" s="3">
        <f>Tabela1[[#This Row],[Tensão(Pa)]]/1000000</f>
        <v>1.2283022328183029</v>
      </c>
    </row>
    <row r="144" spans="1:6" x14ac:dyDescent="0.3">
      <c r="A144" s="1">
        <v>25.683</v>
      </c>
      <c r="B144" s="1">
        <v>2.1324999999999998</v>
      </c>
      <c r="C144" s="3">
        <f>Tabela1[[#This Row],[Alongamento(mm)]]/$I$2</f>
        <v>4.2649999999999993E-2</v>
      </c>
      <c r="D144" s="1">
        <v>54.262</v>
      </c>
      <c r="E144" s="5">
        <f>Tabela1[[#This Row],[Força(N)]]/$I$5</f>
        <v>1243913.6215670994</v>
      </c>
      <c r="F144" s="3">
        <f>Tabela1[[#This Row],[Tensão(Pa)]]/1000000</f>
        <v>1.2439136215670994</v>
      </c>
    </row>
    <row r="145" spans="1:6" x14ac:dyDescent="0.3">
      <c r="A145" s="1">
        <v>25.75</v>
      </c>
      <c r="B145" s="1">
        <v>2.1379999999999999</v>
      </c>
      <c r="C145" s="3">
        <f>Tabela1[[#This Row],[Alongamento(mm)]]/$I$2</f>
        <v>4.2759999999999999E-2</v>
      </c>
      <c r="D145" s="1">
        <v>54.942</v>
      </c>
      <c r="E145" s="5">
        <f>Tabela1[[#This Row],[Força(N)]]/$I$5</f>
        <v>1259502.0861033425</v>
      </c>
      <c r="F145" s="3">
        <f>Tabela1[[#This Row],[Tensão(Pa)]]/1000000</f>
        <v>1.2595020861033426</v>
      </c>
    </row>
    <row r="146" spans="1:6" x14ac:dyDescent="0.3">
      <c r="A146" s="1">
        <v>25.817</v>
      </c>
      <c r="B146" s="1">
        <v>2.1435</v>
      </c>
      <c r="C146" s="3">
        <f>Tabela1[[#This Row],[Alongamento(mm)]]/$I$2</f>
        <v>4.2869999999999998E-2</v>
      </c>
      <c r="D146" s="1">
        <v>55.622</v>
      </c>
      <c r="E146" s="5">
        <f>Tabela1[[#This Row],[Força(N)]]/$I$5</f>
        <v>1275090.5506395856</v>
      </c>
      <c r="F146" s="3">
        <f>Tabela1[[#This Row],[Tensão(Pa)]]/1000000</f>
        <v>1.2750905506395855</v>
      </c>
    </row>
    <row r="147" spans="1:6" x14ac:dyDescent="0.3">
      <c r="A147" s="1">
        <v>25.882999999999999</v>
      </c>
      <c r="B147" s="1">
        <v>2.1490999999999998</v>
      </c>
      <c r="C147" s="3">
        <f>Tabela1[[#This Row],[Alongamento(mm)]]/$I$2</f>
        <v>4.2981999999999992E-2</v>
      </c>
      <c r="D147" s="1">
        <v>56.302999999999997</v>
      </c>
      <c r="E147" s="5">
        <f>Tabela1[[#This Row],[Força(N)]]/$I$5</f>
        <v>1290701.939388382</v>
      </c>
      <c r="F147" s="3">
        <f>Tabela1[[#This Row],[Tensão(Pa)]]/1000000</f>
        <v>1.2907019393883821</v>
      </c>
    </row>
    <row r="148" spans="1:6" x14ac:dyDescent="0.3">
      <c r="A148" s="1">
        <v>25.95</v>
      </c>
      <c r="B148" s="1">
        <v>2.1547000000000001</v>
      </c>
      <c r="C148" s="3">
        <f>Tabela1[[#This Row],[Alongamento(mm)]]/$I$2</f>
        <v>4.3094E-2</v>
      </c>
      <c r="D148" s="1">
        <v>56.982999999999997</v>
      </c>
      <c r="E148" s="5">
        <f>Tabela1[[#This Row],[Força(N)]]/$I$5</f>
        <v>1306290.4039246251</v>
      </c>
      <c r="F148" s="3">
        <f>Tabela1[[#This Row],[Tensão(Pa)]]/1000000</f>
        <v>1.306290403924625</v>
      </c>
    </row>
    <row r="149" spans="1:6" x14ac:dyDescent="0.3">
      <c r="A149" s="1">
        <v>26.016999999999999</v>
      </c>
      <c r="B149" s="1">
        <v>2.1602000000000001</v>
      </c>
      <c r="C149" s="3">
        <f>Tabela1[[#This Row],[Alongamento(mm)]]/$I$2</f>
        <v>4.3203999999999999E-2</v>
      </c>
      <c r="D149" s="1">
        <v>57.662999999999997</v>
      </c>
      <c r="E149" s="5">
        <f>Tabela1[[#This Row],[Força(N)]]/$I$5</f>
        <v>1321878.8684608685</v>
      </c>
      <c r="F149" s="3">
        <f>Tabela1[[#This Row],[Tensão(Pa)]]/1000000</f>
        <v>1.3218788684608684</v>
      </c>
    </row>
    <row r="150" spans="1:6" x14ac:dyDescent="0.3">
      <c r="A150" s="1">
        <v>26.082999999999998</v>
      </c>
      <c r="B150" s="1">
        <v>2.1657999999999999</v>
      </c>
      <c r="C150" s="3">
        <f>Tabela1[[#This Row],[Alongamento(mm)]]/$I$2</f>
        <v>4.3316E-2</v>
      </c>
      <c r="D150" s="1">
        <v>58.344000000000001</v>
      </c>
      <c r="E150" s="5">
        <f>Tabela1[[#This Row],[Força(N)]]/$I$5</f>
        <v>1337490.2572096649</v>
      </c>
      <c r="F150" s="3">
        <f>Tabela1[[#This Row],[Tensão(Pa)]]/1000000</f>
        <v>1.337490257209665</v>
      </c>
    </row>
    <row r="151" spans="1:6" x14ac:dyDescent="0.3">
      <c r="A151" s="1">
        <v>26.15</v>
      </c>
      <c r="B151" s="1">
        <v>2.1714000000000002</v>
      </c>
      <c r="C151" s="3">
        <f>Tabela1[[#This Row],[Alongamento(mm)]]/$I$2</f>
        <v>4.3428000000000001E-2</v>
      </c>
      <c r="D151" s="1">
        <v>59.024000000000001</v>
      </c>
      <c r="E151" s="5">
        <f>Tabela1[[#This Row],[Força(N)]]/$I$5</f>
        <v>1353078.7217459083</v>
      </c>
      <c r="F151" s="3">
        <f>Tabela1[[#This Row],[Tensão(Pa)]]/1000000</f>
        <v>1.3530787217459082</v>
      </c>
    </row>
    <row r="152" spans="1:6" x14ac:dyDescent="0.3">
      <c r="A152" s="1">
        <v>26.216999999999999</v>
      </c>
      <c r="B152" s="1">
        <v>2.1768999999999998</v>
      </c>
      <c r="C152" s="3">
        <f>Tabela1[[#This Row],[Alongamento(mm)]]/$I$2</f>
        <v>4.3537999999999993E-2</v>
      </c>
      <c r="D152" s="1">
        <v>59.704999999999998</v>
      </c>
      <c r="E152" s="5">
        <f>Tabela1[[#This Row],[Força(N)]]/$I$5</f>
        <v>1368690.1104947047</v>
      </c>
      <c r="F152" s="3">
        <f>Tabela1[[#This Row],[Tensão(Pa)]]/1000000</f>
        <v>1.3686901104947047</v>
      </c>
    </row>
    <row r="153" spans="1:6" x14ac:dyDescent="0.3">
      <c r="A153" s="1">
        <v>26.283000000000001</v>
      </c>
      <c r="B153" s="1">
        <v>2.1825000000000001</v>
      </c>
      <c r="C153" s="3">
        <f>Tabela1[[#This Row],[Alongamento(mm)]]/$I$2</f>
        <v>4.3650000000000001E-2</v>
      </c>
      <c r="D153" s="1">
        <v>60.384999999999998</v>
      </c>
      <c r="E153" s="5">
        <f>Tabela1[[#This Row],[Força(N)]]/$I$5</f>
        <v>1384278.5750309478</v>
      </c>
      <c r="F153" s="3">
        <f>Tabela1[[#This Row],[Tensão(Pa)]]/1000000</f>
        <v>1.3842785750309479</v>
      </c>
    </row>
    <row r="154" spans="1:6" x14ac:dyDescent="0.3">
      <c r="A154" s="1">
        <v>26.35</v>
      </c>
      <c r="B154" s="1">
        <v>2.1880999999999999</v>
      </c>
      <c r="C154" s="3">
        <f>Tabela1[[#This Row],[Alongamento(mm)]]/$I$2</f>
        <v>4.3761999999999995E-2</v>
      </c>
      <c r="D154" s="1">
        <v>61.064999999999998</v>
      </c>
      <c r="E154" s="5">
        <f>Tabela1[[#This Row],[Força(N)]]/$I$5</f>
        <v>1399867.0395671909</v>
      </c>
      <c r="F154" s="3">
        <f>Tabela1[[#This Row],[Tensão(Pa)]]/1000000</f>
        <v>1.3998670395671908</v>
      </c>
    </row>
    <row r="155" spans="1:6" x14ac:dyDescent="0.3">
      <c r="A155" s="1">
        <v>26.417000000000002</v>
      </c>
      <c r="B155" s="1">
        <v>2.1937000000000002</v>
      </c>
      <c r="C155" s="3">
        <f>Tabela1[[#This Row],[Alongamento(mm)]]/$I$2</f>
        <v>4.3874000000000003E-2</v>
      </c>
      <c r="D155" s="1">
        <v>61.746000000000002</v>
      </c>
      <c r="E155" s="5">
        <f>Tabela1[[#This Row],[Força(N)]]/$I$5</f>
        <v>1415478.4283159876</v>
      </c>
      <c r="F155" s="3">
        <f>Tabela1[[#This Row],[Tensão(Pa)]]/1000000</f>
        <v>1.4154784283159876</v>
      </c>
    </row>
    <row r="156" spans="1:6" x14ac:dyDescent="0.3">
      <c r="A156" s="1">
        <v>26.466999999999999</v>
      </c>
      <c r="B156" s="1">
        <v>2.1978</v>
      </c>
      <c r="C156" s="3">
        <f>Tabela1[[#This Row],[Alongamento(mm)]]/$I$2</f>
        <v>4.3956000000000002E-2</v>
      </c>
      <c r="D156" s="1">
        <v>62.426000000000002</v>
      </c>
      <c r="E156" s="5">
        <f>Tabela1[[#This Row],[Força(N)]]/$I$5</f>
        <v>1431066.8928522307</v>
      </c>
      <c r="F156" s="3">
        <f>Tabela1[[#This Row],[Tensão(Pa)]]/1000000</f>
        <v>1.4310668928522308</v>
      </c>
    </row>
    <row r="157" spans="1:6" x14ac:dyDescent="0.3">
      <c r="A157" s="1">
        <v>26.533000000000001</v>
      </c>
      <c r="B157" s="1">
        <v>2.2033</v>
      </c>
      <c r="C157" s="3">
        <f>Tabela1[[#This Row],[Alongamento(mm)]]/$I$2</f>
        <v>4.4066000000000001E-2</v>
      </c>
      <c r="D157" s="1">
        <v>63.106999999999999</v>
      </c>
      <c r="E157" s="5">
        <f>Tabela1[[#This Row],[Força(N)]]/$I$5</f>
        <v>1446678.2816010271</v>
      </c>
      <c r="F157" s="3">
        <f>Tabela1[[#This Row],[Tensão(Pa)]]/1000000</f>
        <v>1.4466782816010271</v>
      </c>
    </row>
    <row r="158" spans="1:6" x14ac:dyDescent="0.3">
      <c r="A158" s="1">
        <v>26.6</v>
      </c>
      <c r="B158" s="1">
        <v>2.2088999999999999</v>
      </c>
      <c r="C158" s="3">
        <f>Tabela1[[#This Row],[Alongamento(mm)]]/$I$2</f>
        <v>4.4177999999999995E-2</v>
      </c>
      <c r="D158" s="1">
        <v>63.786999999999999</v>
      </c>
      <c r="E158" s="5">
        <f>Tabela1[[#This Row],[Força(N)]]/$I$5</f>
        <v>1462266.7461372702</v>
      </c>
      <c r="F158" s="3">
        <f>Tabela1[[#This Row],[Tensão(Pa)]]/1000000</f>
        <v>1.4622667461372703</v>
      </c>
    </row>
    <row r="159" spans="1:6" x14ac:dyDescent="0.3">
      <c r="A159" s="1">
        <v>26.667000000000002</v>
      </c>
      <c r="B159" s="1">
        <v>2.2143999999999999</v>
      </c>
      <c r="C159" s="3">
        <f>Tabela1[[#This Row],[Alongamento(mm)]]/$I$2</f>
        <v>4.4288000000000001E-2</v>
      </c>
      <c r="D159" s="1">
        <v>64.466999999999999</v>
      </c>
      <c r="E159" s="5">
        <f>Tabela1[[#This Row],[Força(N)]]/$I$5</f>
        <v>1477855.2106735134</v>
      </c>
      <c r="F159" s="3">
        <f>Tabela1[[#This Row],[Tensão(Pa)]]/1000000</f>
        <v>1.4778552106735134</v>
      </c>
    </row>
    <row r="160" spans="1:6" x14ac:dyDescent="0.3">
      <c r="A160" s="1">
        <v>26.716999999999999</v>
      </c>
      <c r="B160" s="1">
        <v>2.2185999999999999</v>
      </c>
      <c r="C160" s="3">
        <f>Tabela1[[#This Row],[Alongamento(mm)]]/$I$2</f>
        <v>4.4371999999999995E-2</v>
      </c>
      <c r="D160" s="1">
        <v>65.147999999999996</v>
      </c>
      <c r="E160" s="5">
        <f>Tabela1[[#This Row],[Força(N)]]/$I$5</f>
        <v>1493466.5994223098</v>
      </c>
      <c r="F160" s="3">
        <f>Tabela1[[#This Row],[Tensão(Pa)]]/1000000</f>
        <v>1.4934665994223097</v>
      </c>
    </row>
    <row r="161" spans="1:6" x14ac:dyDescent="0.3">
      <c r="A161" s="1">
        <v>26.783000000000001</v>
      </c>
      <c r="B161" s="1">
        <v>2.2242000000000002</v>
      </c>
      <c r="C161" s="3">
        <f>Tabela1[[#This Row],[Alongamento(mm)]]/$I$2</f>
        <v>4.4484000000000003E-2</v>
      </c>
      <c r="D161" s="1">
        <v>65.828000000000003</v>
      </c>
      <c r="E161" s="5">
        <f>Tabela1[[#This Row],[Força(N)]]/$I$5</f>
        <v>1509055.0639585531</v>
      </c>
      <c r="F161" s="3">
        <f>Tabela1[[#This Row],[Tensão(Pa)]]/1000000</f>
        <v>1.5090550639585532</v>
      </c>
    </row>
    <row r="162" spans="1:6" x14ac:dyDescent="0.3">
      <c r="A162" s="1">
        <v>26.85</v>
      </c>
      <c r="B162" s="1">
        <v>2.2296999999999998</v>
      </c>
      <c r="C162" s="3">
        <f>Tabela1[[#This Row],[Alongamento(mm)]]/$I$2</f>
        <v>4.4593999999999995E-2</v>
      </c>
      <c r="D162" s="1">
        <v>66.509</v>
      </c>
      <c r="E162" s="5">
        <f>Tabela1[[#This Row],[Força(N)]]/$I$5</f>
        <v>1524666.4527073496</v>
      </c>
      <c r="F162" s="3">
        <f>Tabela1[[#This Row],[Tensão(Pa)]]/1000000</f>
        <v>1.5246664527073495</v>
      </c>
    </row>
    <row r="163" spans="1:6" x14ac:dyDescent="0.3">
      <c r="A163" s="1">
        <v>26.9</v>
      </c>
      <c r="B163" s="1">
        <v>2.234</v>
      </c>
      <c r="C163" s="3">
        <f>Tabela1[[#This Row],[Alongamento(mm)]]/$I$2</f>
        <v>4.4679999999999997E-2</v>
      </c>
      <c r="D163" s="1">
        <v>67.188999999999993</v>
      </c>
      <c r="E163" s="5">
        <f>Tabela1[[#This Row],[Força(N)]]/$I$5</f>
        <v>1540254.9172435927</v>
      </c>
      <c r="F163" s="3">
        <f>Tabela1[[#This Row],[Tensão(Pa)]]/1000000</f>
        <v>1.5402549172435926</v>
      </c>
    </row>
    <row r="164" spans="1:6" x14ac:dyDescent="0.3">
      <c r="A164" s="1">
        <v>26.966999999999999</v>
      </c>
      <c r="B164" s="1">
        <v>2.2393999999999998</v>
      </c>
      <c r="C164" s="3">
        <f>Tabela1[[#This Row],[Alongamento(mm)]]/$I$2</f>
        <v>4.4787999999999994E-2</v>
      </c>
      <c r="D164" s="1">
        <v>67.869</v>
      </c>
      <c r="E164" s="5">
        <f>Tabela1[[#This Row],[Força(N)]]/$I$5</f>
        <v>1555843.381779836</v>
      </c>
      <c r="F164" s="3">
        <f>Tabela1[[#This Row],[Tensão(Pa)]]/1000000</f>
        <v>1.5558433817798361</v>
      </c>
    </row>
    <row r="165" spans="1:6" x14ac:dyDescent="0.3">
      <c r="A165" s="1">
        <v>27.033000000000001</v>
      </c>
      <c r="B165" s="1">
        <v>2.2450000000000001</v>
      </c>
      <c r="C165" s="3">
        <f>Tabela1[[#This Row],[Alongamento(mm)]]/$I$2</f>
        <v>4.4900000000000002E-2</v>
      </c>
      <c r="D165" s="1">
        <v>68.55</v>
      </c>
      <c r="E165" s="5">
        <f>Tabela1[[#This Row],[Força(N)]]/$I$5</f>
        <v>1571454.7705286324</v>
      </c>
      <c r="F165" s="3">
        <f>Tabela1[[#This Row],[Tensão(Pa)]]/1000000</f>
        <v>1.5714547705286324</v>
      </c>
    </row>
    <row r="166" spans="1:6" x14ac:dyDescent="0.3">
      <c r="A166" s="1">
        <v>27.082999999999998</v>
      </c>
      <c r="B166" s="1">
        <v>2.2492000000000001</v>
      </c>
      <c r="C166" s="3">
        <f>Tabela1[[#This Row],[Alongamento(mm)]]/$I$2</f>
        <v>4.4984000000000003E-2</v>
      </c>
      <c r="D166" s="1">
        <v>69.23</v>
      </c>
      <c r="E166" s="5">
        <f>Tabela1[[#This Row],[Força(N)]]/$I$5</f>
        <v>1587043.2350648758</v>
      </c>
      <c r="F166" s="3">
        <f>Tabela1[[#This Row],[Tensão(Pa)]]/1000000</f>
        <v>1.5870432350648758</v>
      </c>
    </row>
    <row r="167" spans="1:6" x14ac:dyDescent="0.3">
      <c r="A167" s="1">
        <v>27.15</v>
      </c>
      <c r="B167" s="1">
        <v>2.2547000000000001</v>
      </c>
      <c r="C167" s="3">
        <f>Tabela1[[#This Row],[Alongamento(mm)]]/$I$2</f>
        <v>4.5094000000000002E-2</v>
      </c>
      <c r="D167" s="1">
        <v>69.911000000000001</v>
      </c>
      <c r="E167" s="5">
        <f>Tabela1[[#This Row],[Força(N)]]/$I$5</f>
        <v>1602654.6238136722</v>
      </c>
      <c r="F167" s="3">
        <f>Tabela1[[#This Row],[Tensão(Pa)]]/1000000</f>
        <v>1.6026546238136723</v>
      </c>
    </row>
    <row r="168" spans="1:6" x14ac:dyDescent="0.3">
      <c r="A168" s="1">
        <v>27.2</v>
      </c>
      <c r="B168" s="1">
        <v>2.2589000000000001</v>
      </c>
      <c r="C168" s="3">
        <f>Tabela1[[#This Row],[Alongamento(mm)]]/$I$2</f>
        <v>4.5178000000000003E-2</v>
      </c>
      <c r="D168" s="1">
        <v>70.590999999999994</v>
      </c>
      <c r="E168" s="5">
        <f>Tabela1[[#This Row],[Força(N)]]/$I$5</f>
        <v>1618243.0883499151</v>
      </c>
      <c r="F168" s="3">
        <f>Tabela1[[#This Row],[Tensão(Pa)]]/1000000</f>
        <v>1.618243088349915</v>
      </c>
    </row>
    <row r="169" spans="1:6" x14ac:dyDescent="0.3">
      <c r="A169" s="1">
        <v>27.266999999999999</v>
      </c>
      <c r="B169" s="1">
        <v>2.2645</v>
      </c>
      <c r="C169" s="3">
        <f>Tabela1[[#This Row],[Alongamento(mm)]]/$I$2</f>
        <v>4.5289999999999997E-2</v>
      </c>
      <c r="D169" s="1">
        <v>71.271000000000001</v>
      </c>
      <c r="E169" s="5">
        <f>Tabela1[[#This Row],[Força(N)]]/$I$5</f>
        <v>1633831.5528861585</v>
      </c>
      <c r="F169" s="3">
        <f>Tabela1[[#This Row],[Tensão(Pa)]]/1000000</f>
        <v>1.6338315528861584</v>
      </c>
    </row>
    <row r="170" spans="1:6" x14ac:dyDescent="0.3">
      <c r="A170" s="1">
        <v>27.332999999999998</v>
      </c>
      <c r="B170" s="1">
        <v>2.27</v>
      </c>
      <c r="C170" s="3">
        <f>Tabela1[[#This Row],[Alongamento(mm)]]/$I$2</f>
        <v>4.5400000000000003E-2</v>
      </c>
      <c r="D170" s="1">
        <v>71.951999999999998</v>
      </c>
      <c r="E170" s="5">
        <f>Tabela1[[#This Row],[Força(N)]]/$I$5</f>
        <v>1649442.9416349549</v>
      </c>
      <c r="F170" s="3">
        <f>Tabela1[[#This Row],[Tensão(Pa)]]/1000000</f>
        <v>1.649442941634955</v>
      </c>
    </row>
    <row r="171" spans="1:6" x14ac:dyDescent="0.3">
      <c r="A171" s="1">
        <v>27.382999999999999</v>
      </c>
      <c r="B171" s="1">
        <v>2.2742</v>
      </c>
      <c r="C171" s="3">
        <f>Tabela1[[#This Row],[Alongamento(mm)]]/$I$2</f>
        <v>4.5483999999999997E-2</v>
      </c>
      <c r="D171" s="1">
        <v>72.632000000000005</v>
      </c>
      <c r="E171" s="5">
        <f>Tabela1[[#This Row],[Força(N)]]/$I$5</f>
        <v>1665031.4061711982</v>
      </c>
      <c r="F171" s="3">
        <f>Tabela1[[#This Row],[Tensão(Pa)]]/1000000</f>
        <v>1.6650314061711982</v>
      </c>
    </row>
    <row r="172" spans="1:6" x14ac:dyDescent="0.3">
      <c r="A172" s="1">
        <v>27.45</v>
      </c>
      <c r="B172" s="1">
        <v>2.2797000000000001</v>
      </c>
      <c r="C172" s="3">
        <f>Tabela1[[#This Row],[Alongamento(mm)]]/$I$2</f>
        <v>4.5594000000000003E-2</v>
      </c>
      <c r="D172" s="1">
        <v>73.313000000000002</v>
      </c>
      <c r="E172" s="5">
        <f>Tabela1[[#This Row],[Força(N)]]/$I$5</f>
        <v>1680642.7949199947</v>
      </c>
      <c r="F172" s="3">
        <f>Tabela1[[#This Row],[Tensão(Pa)]]/1000000</f>
        <v>1.6806427949199947</v>
      </c>
    </row>
    <row r="173" spans="1:6" x14ac:dyDescent="0.3">
      <c r="A173" s="1">
        <v>27.5</v>
      </c>
      <c r="B173" s="1">
        <v>2.2837999999999998</v>
      </c>
      <c r="C173" s="3">
        <f>Tabela1[[#This Row],[Alongamento(mm)]]/$I$2</f>
        <v>4.5675999999999994E-2</v>
      </c>
      <c r="D173" s="1">
        <v>73.992999999999995</v>
      </c>
      <c r="E173" s="5">
        <f>Tabela1[[#This Row],[Força(N)]]/$I$5</f>
        <v>1696231.2594562378</v>
      </c>
      <c r="F173" s="3">
        <f>Tabela1[[#This Row],[Tensão(Pa)]]/1000000</f>
        <v>1.6962312594562379</v>
      </c>
    </row>
    <row r="174" spans="1:6" x14ac:dyDescent="0.3">
      <c r="A174" s="1">
        <v>27.567</v>
      </c>
      <c r="B174" s="1">
        <v>2.2894999999999999</v>
      </c>
      <c r="C174" s="3">
        <f>Tabela1[[#This Row],[Alongamento(mm)]]/$I$2</f>
        <v>4.5789999999999997E-2</v>
      </c>
      <c r="D174" s="1">
        <v>74.673000000000002</v>
      </c>
      <c r="E174" s="5">
        <f>Tabela1[[#This Row],[Força(N)]]/$I$5</f>
        <v>1711819.7239924811</v>
      </c>
      <c r="F174" s="3">
        <f>Tabela1[[#This Row],[Tensão(Pa)]]/1000000</f>
        <v>1.7118197239924811</v>
      </c>
    </row>
    <row r="175" spans="1:6" x14ac:dyDescent="0.3">
      <c r="A175" s="1">
        <v>27.617000000000001</v>
      </c>
      <c r="B175" s="1">
        <v>2.2936000000000001</v>
      </c>
      <c r="C175" s="3">
        <f>Tabela1[[#This Row],[Alongamento(mm)]]/$I$2</f>
        <v>4.5872000000000003E-2</v>
      </c>
      <c r="D175" s="1">
        <v>75.353999999999999</v>
      </c>
      <c r="E175" s="5">
        <f>Tabela1[[#This Row],[Força(N)]]/$I$5</f>
        <v>1727431.1127412776</v>
      </c>
      <c r="F175" s="3">
        <f>Tabela1[[#This Row],[Tensão(Pa)]]/1000000</f>
        <v>1.7274311127412776</v>
      </c>
    </row>
    <row r="176" spans="1:6" x14ac:dyDescent="0.3">
      <c r="A176" s="1">
        <v>27.683</v>
      </c>
      <c r="B176" s="1">
        <v>2.2991000000000001</v>
      </c>
      <c r="C176" s="3">
        <f>Tabela1[[#This Row],[Alongamento(mm)]]/$I$2</f>
        <v>4.5982000000000002E-2</v>
      </c>
      <c r="D176" s="1">
        <v>76.034000000000006</v>
      </c>
      <c r="E176" s="5">
        <f>Tabela1[[#This Row],[Força(N)]]/$I$5</f>
        <v>1743019.5772775207</v>
      </c>
      <c r="F176" s="3">
        <f>Tabela1[[#This Row],[Tensão(Pa)]]/1000000</f>
        <v>1.7430195772775208</v>
      </c>
    </row>
    <row r="177" spans="1:6" x14ac:dyDescent="0.3">
      <c r="A177" s="1">
        <v>27.75</v>
      </c>
      <c r="B177" s="1">
        <v>2.3047</v>
      </c>
      <c r="C177" s="3">
        <f>Tabela1[[#This Row],[Alongamento(mm)]]/$I$2</f>
        <v>4.6093999999999996E-2</v>
      </c>
      <c r="D177" s="1">
        <v>76.885000000000005</v>
      </c>
      <c r="E177" s="5">
        <f>Tabela1[[#This Row],[Força(N)]]/$I$5</f>
        <v>1762528.0821603781</v>
      </c>
      <c r="F177" s="3">
        <f>Tabela1[[#This Row],[Tensão(Pa)]]/1000000</f>
        <v>1.7625280821603782</v>
      </c>
    </row>
    <row r="178" spans="1:6" x14ac:dyDescent="0.3">
      <c r="A178" s="1">
        <v>27.817</v>
      </c>
      <c r="B178" s="1">
        <v>2.3102999999999998</v>
      </c>
      <c r="C178" s="3">
        <f>Tabela1[[#This Row],[Alongamento(mm)]]/$I$2</f>
        <v>4.6205999999999997E-2</v>
      </c>
      <c r="D178" s="1">
        <v>77.564999999999998</v>
      </c>
      <c r="E178" s="5">
        <f>Tabela1[[#This Row],[Força(N)]]/$I$5</f>
        <v>1778116.546696621</v>
      </c>
      <c r="F178" s="3">
        <f>Tabela1[[#This Row],[Tensão(Pa)]]/1000000</f>
        <v>1.7781165466966209</v>
      </c>
    </row>
    <row r="179" spans="1:6" x14ac:dyDescent="0.3">
      <c r="A179" s="1">
        <v>27.867000000000001</v>
      </c>
      <c r="B179" s="1">
        <v>2.3144</v>
      </c>
      <c r="C179" s="3">
        <f>Tabela1[[#This Row],[Alongamento(mm)]]/$I$2</f>
        <v>4.6288000000000003E-2</v>
      </c>
      <c r="D179" s="1">
        <v>78.245000000000005</v>
      </c>
      <c r="E179" s="5">
        <f>Tabela1[[#This Row],[Força(N)]]/$I$5</f>
        <v>1793705.0112328643</v>
      </c>
      <c r="F179" s="3">
        <f>Tabela1[[#This Row],[Tensão(Pa)]]/1000000</f>
        <v>1.7937050112328643</v>
      </c>
    </row>
    <row r="180" spans="1:6" x14ac:dyDescent="0.3">
      <c r="A180" s="1">
        <v>27.917000000000002</v>
      </c>
      <c r="B180" s="1">
        <v>2.3186</v>
      </c>
      <c r="C180" s="3">
        <f>Tabela1[[#This Row],[Alongamento(mm)]]/$I$2</f>
        <v>4.6371999999999997E-2</v>
      </c>
      <c r="D180" s="1">
        <v>78.926000000000002</v>
      </c>
      <c r="E180" s="5">
        <f>Tabela1[[#This Row],[Força(N)]]/$I$5</f>
        <v>1809316.3999816608</v>
      </c>
      <c r="F180" s="3">
        <f>Tabela1[[#This Row],[Tensão(Pa)]]/1000000</f>
        <v>1.8093163999816608</v>
      </c>
    </row>
    <row r="181" spans="1:6" x14ac:dyDescent="0.3">
      <c r="A181" s="1">
        <v>27.983000000000001</v>
      </c>
      <c r="B181" s="1">
        <v>2.3241000000000001</v>
      </c>
      <c r="C181" s="3">
        <f>Tabela1[[#This Row],[Alongamento(mm)]]/$I$2</f>
        <v>4.6482000000000002E-2</v>
      </c>
      <c r="D181" s="1">
        <v>79.605999999999995</v>
      </c>
      <c r="E181" s="5">
        <f>Tabela1[[#This Row],[Força(N)]]/$I$5</f>
        <v>1824904.8645179039</v>
      </c>
      <c r="F181" s="3">
        <f>Tabela1[[#This Row],[Tensão(Pa)]]/1000000</f>
        <v>1.8249048645179038</v>
      </c>
    </row>
    <row r="182" spans="1:6" x14ac:dyDescent="0.3">
      <c r="A182" s="1">
        <v>28.033000000000001</v>
      </c>
      <c r="B182" s="1">
        <v>2.3283</v>
      </c>
      <c r="C182" s="3">
        <f>Tabela1[[#This Row],[Alongamento(mm)]]/$I$2</f>
        <v>4.6566000000000003E-2</v>
      </c>
      <c r="D182" s="1">
        <v>80.287000000000006</v>
      </c>
      <c r="E182" s="5">
        <f>Tabela1[[#This Row],[Força(N)]]/$I$5</f>
        <v>1840516.2532667005</v>
      </c>
      <c r="F182" s="3">
        <f>Tabela1[[#This Row],[Tensão(Pa)]]/1000000</f>
        <v>1.8405162532667005</v>
      </c>
    </row>
    <row r="183" spans="1:6" x14ac:dyDescent="0.3">
      <c r="A183" s="1">
        <v>28.1</v>
      </c>
      <c r="B183" s="1">
        <v>2.3338999999999999</v>
      </c>
      <c r="C183" s="3">
        <f>Tabela1[[#This Row],[Alongamento(mm)]]/$I$2</f>
        <v>4.6677999999999997E-2</v>
      </c>
      <c r="D183" s="1">
        <v>81.137</v>
      </c>
      <c r="E183" s="5">
        <f>Tabela1[[#This Row],[Força(N)]]/$I$5</f>
        <v>1860001.8339370044</v>
      </c>
      <c r="F183" s="3">
        <f>Tabela1[[#This Row],[Tensão(Pa)]]/1000000</f>
        <v>1.8600018339370044</v>
      </c>
    </row>
    <row r="184" spans="1:6" x14ac:dyDescent="0.3">
      <c r="A184" s="1">
        <v>28.167000000000002</v>
      </c>
      <c r="B184" s="1">
        <v>2.3395000000000001</v>
      </c>
      <c r="C184" s="3">
        <f>Tabela1[[#This Row],[Alongamento(mm)]]/$I$2</f>
        <v>4.6790000000000005E-2</v>
      </c>
      <c r="D184" s="1">
        <v>81.817999999999998</v>
      </c>
      <c r="E184" s="5">
        <f>Tabela1[[#This Row],[Força(N)]]/$I$5</f>
        <v>1875613.2226858009</v>
      </c>
      <c r="F184" s="3">
        <f>Tabela1[[#This Row],[Tensão(Pa)]]/1000000</f>
        <v>1.8756132226858009</v>
      </c>
    </row>
    <row r="185" spans="1:6" x14ac:dyDescent="0.3">
      <c r="A185" s="1">
        <v>28.216999999999999</v>
      </c>
      <c r="B185" s="1">
        <v>2.3437000000000001</v>
      </c>
      <c r="C185" s="3">
        <f>Tabela1[[#This Row],[Alongamento(mm)]]/$I$2</f>
        <v>4.6873999999999999E-2</v>
      </c>
      <c r="D185" s="1">
        <v>82.498000000000005</v>
      </c>
      <c r="E185" s="5">
        <f>Tabela1[[#This Row],[Força(N)]]/$I$5</f>
        <v>1891201.6872220442</v>
      </c>
      <c r="F185" s="3">
        <f>Tabela1[[#This Row],[Tensão(Pa)]]/1000000</f>
        <v>1.8912016872220443</v>
      </c>
    </row>
    <row r="186" spans="1:6" x14ac:dyDescent="0.3">
      <c r="A186" s="1">
        <v>28.283000000000001</v>
      </c>
      <c r="B186" s="1">
        <v>2.3492000000000002</v>
      </c>
      <c r="C186" s="3">
        <f>Tabela1[[#This Row],[Alongamento(mm)]]/$I$2</f>
        <v>4.6984000000000005E-2</v>
      </c>
      <c r="D186" s="1">
        <v>83.347999999999999</v>
      </c>
      <c r="E186" s="5">
        <f>Tabela1[[#This Row],[Força(N)]]/$I$5</f>
        <v>1910687.2678923481</v>
      </c>
      <c r="F186" s="3">
        <f>Tabela1[[#This Row],[Tensão(Pa)]]/1000000</f>
        <v>1.9106872678923481</v>
      </c>
    </row>
    <row r="187" spans="1:6" x14ac:dyDescent="0.3">
      <c r="A187" s="1">
        <v>28.35</v>
      </c>
      <c r="B187" s="1">
        <v>2.3546999999999998</v>
      </c>
      <c r="C187" s="3">
        <f>Tabela1[[#This Row],[Alongamento(mm)]]/$I$2</f>
        <v>4.7093999999999997E-2</v>
      </c>
      <c r="D187" s="1">
        <v>84.028999999999996</v>
      </c>
      <c r="E187" s="5">
        <f>Tabela1[[#This Row],[Força(N)]]/$I$5</f>
        <v>1926298.6566411445</v>
      </c>
      <c r="F187" s="3">
        <f>Tabela1[[#This Row],[Tensão(Pa)]]/1000000</f>
        <v>1.9262986566411446</v>
      </c>
    </row>
    <row r="188" spans="1:6" x14ac:dyDescent="0.3">
      <c r="A188" s="1">
        <v>28.4</v>
      </c>
      <c r="B188" s="1">
        <v>2.3589000000000002</v>
      </c>
      <c r="C188" s="3">
        <f>Tabela1[[#This Row],[Alongamento(mm)]]/$I$2</f>
        <v>4.7178000000000005E-2</v>
      </c>
      <c r="D188" s="1">
        <v>84.709000000000003</v>
      </c>
      <c r="E188" s="5">
        <f>Tabela1[[#This Row],[Força(N)]]/$I$5</f>
        <v>1941887.1211773879</v>
      </c>
      <c r="F188" s="3">
        <f>Tabela1[[#This Row],[Tensão(Pa)]]/1000000</f>
        <v>1.9418871211773878</v>
      </c>
    </row>
    <row r="189" spans="1:6" x14ac:dyDescent="0.3">
      <c r="A189" s="1">
        <v>28.466999999999999</v>
      </c>
      <c r="B189" s="1">
        <v>2.3643999999999998</v>
      </c>
      <c r="C189" s="3">
        <f>Tabela1[[#This Row],[Alongamento(mm)]]/$I$2</f>
        <v>4.7287999999999997E-2</v>
      </c>
      <c r="D189" s="1">
        <v>85.56</v>
      </c>
      <c r="E189" s="5">
        <f>Tabela1[[#This Row],[Força(N)]]/$I$5</f>
        <v>1961395.6260602451</v>
      </c>
      <c r="F189" s="3">
        <f>Tabela1[[#This Row],[Tensão(Pa)]]/1000000</f>
        <v>1.9613956260602452</v>
      </c>
    </row>
    <row r="190" spans="1:6" x14ac:dyDescent="0.3">
      <c r="A190" s="1">
        <v>28.533000000000001</v>
      </c>
      <c r="B190" s="1">
        <v>2.37</v>
      </c>
      <c r="C190" s="3">
        <f>Tabela1[[#This Row],[Alongamento(mm)]]/$I$2</f>
        <v>4.7400000000000005E-2</v>
      </c>
      <c r="D190" s="1">
        <v>86.41</v>
      </c>
      <c r="E190" s="5">
        <f>Tabela1[[#This Row],[Força(N)]]/$I$5</f>
        <v>1980881.206730549</v>
      </c>
      <c r="F190" s="3">
        <f>Tabela1[[#This Row],[Tensão(Pa)]]/1000000</f>
        <v>1.980881206730549</v>
      </c>
    </row>
    <row r="191" spans="1:6" x14ac:dyDescent="0.3">
      <c r="A191" s="1">
        <v>28.6</v>
      </c>
      <c r="B191" s="1">
        <v>2.3755000000000002</v>
      </c>
      <c r="C191" s="3">
        <f>Tabela1[[#This Row],[Alongamento(mm)]]/$I$2</f>
        <v>4.7510000000000004E-2</v>
      </c>
      <c r="D191" s="1">
        <v>87.090999999999994</v>
      </c>
      <c r="E191" s="5">
        <f>Tabela1[[#This Row],[Força(N)]]/$I$5</f>
        <v>1996492.5954793452</v>
      </c>
      <c r="F191" s="3">
        <f>Tabela1[[#This Row],[Tensão(Pa)]]/1000000</f>
        <v>1.9964925954793451</v>
      </c>
    </row>
    <row r="192" spans="1:6" x14ac:dyDescent="0.3">
      <c r="A192" s="1">
        <v>28.667000000000002</v>
      </c>
      <c r="B192" s="1">
        <v>2.3811</v>
      </c>
      <c r="C192" s="3">
        <f>Tabela1[[#This Row],[Alongamento(mm)]]/$I$2</f>
        <v>4.7621999999999998E-2</v>
      </c>
      <c r="D192" s="1">
        <v>87.941000000000003</v>
      </c>
      <c r="E192" s="5">
        <f>Tabela1[[#This Row],[Força(N)]]/$I$5</f>
        <v>2015978.1761496495</v>
      </c>
      <c r="F192" s="3">
        <f>Tabela1[[#This Row],[Tensão(Pa)]]/1000000</f>
        <v>2.0159781761496496</v>
      </c>
    </row>
    <row r="193" spans="1:6" x14ac:dyDescent="0.3">
      <c r="A193" s="1">
        <v>28.733000000000001</v>
      </c>
      <c r="B193" s="1">
        <v>2.3866999999999998</v>
      </c>
      <c r="C193" s="3">
        <f>Tabela1[[#This Row],[Alongamento(mm)]]/$I$2</f>
        <v>4.7733999999999999E-2</v>
      </c>
      <c r="D193" s="1">
        <v>88.620999999999995</v>
      </c>
      <c r="E193" s="5">
        <f>Tabela1[[#This Row],[Força(N)]]/$I$5</f>
        <v>2031566.6406858924</v>
      </c>
      <c r="F193" s="3">
        <f>Tabela1[[#This Row],[Tensão(Pa)]]/1000000</f>
        <v>2.0315666406858925</v>
      </c>
    </row>
    <row r="194" spans="1:6" x14ac:dyDescent="0.3">
      <c r="A194" s="1">
        <v>28.783000000000001</v>
      </c>
      <c r="B194" s="1">
        <v>2.3908</v>
      </c>
      <c r="C194" s="3">
        <f>Tabela1[[#This Row],[Alongamento(mm)]]/$I$2</f>
        <v>4.7815999999999997E-2</v>
      </c>
      <c r="D194" s="1">
        <v>89.302000000000007</v>
      </c>
      <c r="E194" s="5">
        <f>Tabela1[[#This Row],[Força(N)]]/$I$5</f>
        <v>2047178.0294346893</v>
      </c>
      <c r="F194" s="3">
        <f>Tabela1[[#This Row],[Tensão(Pa)]]/1000000</f>
        <v>2.0471780294346895</v>
      </c>
    </row>
    <row r="195" spans="1:6" x14ac:dyDescent="0.3">
      <c r="A195" s="1">
        <v>28.832999999999998</v>
      </c>
      <c r="B195" s="1">
        <v>2.395</v>
      </c>
      <c r="C195" s="3">
        <f>Tabela1[[#This Row],[Alongamento(mm)]]/$I$2</f>
        <v>4.7899999999999998E-2</v>
      </c>
      <c r="D195" s="1">
        <v>89.981999999999999</v>
      </c>
      <c r="E195" s="5">
        <f>Tabela1[[#This Row],[Força(N)]]/$I$5</f>
        <v>2062766.4939709322</v>
      </c>
      <c r="F195" s="3">
        <f>Tabela1[[#This Row],[Tensão(Pa)]]/1000000</f>
        <v>2.062766493970932</v>
      </c>
    </row>
    <row r="196" spans="1:6" x14ac:dyDescent="0.3">
      <c r="A196" s="1">
        <v>28.9</v>
      </c>
      <c r="B196" s="1">
        <v>2.4005000000000001</v>
      </c>
      <c r="C196" s="3">
        <f>Tabela1[[#This Row],[Alongamento(mm)]]/$I$2</f>
        <v>4.8010000000000004E-2</v>
      </c>
      <c r="D196" s="1">
        <v>90.832999999999998</v>
      </c>
      <c r="E196" s="5">
        <f>Tabela1[[#This Row],[Força(N)]]/$I$5</f>
        <v>2082274.9988537894</v>
      </c>
      <c r="F196" s="3">
        <f>Tabela1[[#This Row],[Tensão(Pa)]]/1000000</f>
        <v>2.0822749988537894</v>
      </c>
    </row>
    <row r="197" spans="1:6" x14ac:dyDescent="0.3">
      <c r="A197" s="1">
        <v>28.966999999999999</v>
      </c>
      <c r="B197" s="1">
        <v>2.4060999999999999</v>
      </c>
      <c r="C197" s="3">
        <f>Tabela1[[#This Row],[Alongamento(mm)]]/$I$2</f>
        <v>4.8121999999999998E-2</v>
      </c>
      <c r="D197" s="1">
        <v>91.513000000000005</v>
      </c>
      <c r="E197" s="5">
        <f>Tabela1[[#This Row],[Força(N)]]/$I$5</f>
        <v>2097863.4633900328</v>
      </c>
      <c r="F197" s="3">
        <f>Tabela1[[#This Row],[Tensão(Pa)]]/1000000</f>
        <v>2.0978634633900328</v>
      </c>
    </row>
    <row r="198" spans="1:6" x14ac:dyDescent="0.3">
      <c r="A198" s="1">
        <v>29.016999999999999</v>
      </c>
      <c r="B198" s="1">
        <v>2.4102999999999999</v>
      </c>
      <c r="C198" s="3">
        <f>Tabela1[[#This Row],[Alongamento(mm)]]/$I$2</f>
        <v>4.8205999999999999E-2</v>
      </c>
      <c r="D198" s="1">
        <v>92.194000000000003</v>
      </c>
      <c r="E198" s="5">
        <f>Tabela1[[#This Row],[Força(N)]]/$I$5</f>
        <v>2113474.8521388294</v>
      </c>
      <c r="F198" s="3">
        <f>Tabela1[[#This Row],[Tensão(Pa)]]/1000000</f>
        <v>2.1134748521388294</v>
      </c>
    </row>
    <row r="199" spans="1:6" x14ac:dyDescent="0.3">
      <c r="A199" s="1">
        <v>29.067</v>
      </c>
      <c r="B199" s="1">
        <v>2.4144000000000001</v>
      </c>
      <c r="C199" s="3">
        <f>Tabela1[[#This Row],[Alongamento(mm)]]/$I$2</f>
        <v>4.8288000000000005E-2</v>
      </c>
      <c r="D199" s="1">
        <v>92.873999999999995</v>
      </c>
      <c r="E199" s="5">
        <f>Tabela1[[#This Row],[Força(N)]]/$I$5</f>
        <v>2129063.3166750721</v>
      </c>
      <c r="F199" s="3">
        <f>Tabela1[[#This Row],[Tensão(Pa)]]/1000000</f>
        <v>2.1290633166750719</v>
      </c>
    </row>
    <row r="200" spans="1:6" x14ac:dyDescent="0.3">
      <c r="A200" s="1">
        <v>29.132999999999999</v>
      </c>
      <c r="B200" s="1">
        <v>2.42</v>
      </c>
      <c r="C200" s="3">
        <f>Tabela1[[#This Row],[Alongamento(mm)]]/$I$2</f>
        <v>4.8399999999999999E-2</v>
      </c>
      <c r="D200" s="1">
        <v>93.724000000000004</v>
      </c>
      <c r="E200" s="5">
        <f>Tabela1[[#This Row],[Força(N)]]/$I$5</f>
        <v>2148548.8973453767</v>
      </c>
      <c r="F200" s="3">
        <f>Tabela1[[#This Row],[Tensão(Pa)]]/1000000</f>
        <v>2.1485488973453766</v>
      </c>
    </row>
    <row r="201" spans="1:6" x14ac:dyDescent="0.3">
      <c r="A201" s="1">
        <v>29.2</v>
      </c>
      <c r="B201" s="1">
        <v>2.4256000000000002</v>
      </c>
      <c r="C201" s="3">
        <f>Tabela1[[#This Row],[Alongamento(mm)]]/$I$2</f>
        <v>4.8512000000000007E-2</v>
      </c>
      <c r="D201" s="1">
        <v>94.405000000000001</v>
      </c>
      <c r="E201" s="5">
        <f>Tabela1[[#This Row],[Força(N)]]/$I$5</f>
        <v>2164160.2860941729</v>
      </c>
      <c r="F201" s="3">
        <f>Tabela1[[#This Row],[Tensão(Pa)]]/1000000</f>
        <v>2.1641602860941727</v>
      </c>
    </row>
    <row r="202" spans="1:6" x14ac:dyDescent="0.3">
      <c r="A202" s="1">
        <v>29.25</v>
      </c>
      <c r="B202" s="1">
        <v>2.4297</v>
      </c>
      <c r="C202" s="3">
        <f>Tabela1[[#This Row],[Alongamento(mm)]]/$I$2</f>
        <v>4.8593999999999998E-2</v>
      </c>
      <c r="D202" s="1">
        <v>95.084999999999994</v>
      </c>
      <c r="E202" s="5">
        <f>Tabela1[[#This Row],[Força(N)]]/$I$5</f>
        <v>2179748.750630416</v>
      </c>
      <c r="F202" s="3">
        <f>Tabela1[[#This Row],[Tensão(Pa)]]/1000000</f>
        <v>2.1797487506304161</v>
      </c>
    </row>
    <row r="203" spans="1:6" x14ac:dyDescent="0.3">
      <c r="A203" s="1">
        <v>29.3</v>
      </c>
      <c r="B203" s="1">
        <v>2.4338000000000002</v>
      </c>
      <c r="C203" s="3">
        <f>Tabela1[[#This Row],[Alongamento(mm)]]/$I$2</f>
        <v>4.8676000000000004E-2</v>
      </c>
      <c r="D203" s="1">
        <v>95.766000000000005</v>
      </c>
      <c r="E203" s="5">
        <f>Tabela1[[#This Row],[Força(N)]]/$I$5</f>
        <v>2195360.1393792126</v>
      </c>
      <c r="F203" s="3">
        <f>Tabela1[[#This Row],[Tensão(Pa)]]/1000000</f>
        <v>2.1953601393792126</v>
      </c>
    </row>
    <row r="204" spans="1:6" x14ac:dyDescent="0.3">
      <c r="A204" s="1">
        <v>29.367000000000001</v>
      </c>
      <c r="B204" s="1">
        <v>2.4394</v>
      </c>
      <c r="C204" s="3">
        <f>Tabela1[[#This Row],[Alongamento(mm)]]/$I$2</f>
        <v>4.8787999999999998E-2</v>
      </c>
      <c r="D204" s="1">
        <v>96.616</v>
      </c>
      <c r="E204" s="5">
        <f>Tabela1[[#This Row],[Força(N)]]/$I$5</f>
        <v>2214845.7200495163</v>
      </c>
      <c r="F204" s="3">
        <f>Tabela1[[#This Row],[Tensão(Pa)]]/1000000</f>
        <v>2.2148457200495164</v>
      </c>
    </row>
    <row r="205" spans="1:6" x14ac:dyDescent="0.3">
      <c r="A205" s="1">
        <v>29.433</v>
      </c>
      <c r="B205" s="1">
        <v>2.4449999999999998</v>
      </c>
      <c r="C205" s="3">
        <f>Tabela1[[#This Row],[Alongamento(mm)]]/$I$2</f>
        <v>4.8899999999999999E-2</v>
      </c>
      <c r="D205" s="1">
        <v>97.466999999999999</v>
      </c>
      <c r="E205" s="5">
        <f>Tabela1[[#This Row],[Força(N)]]/$I$5</f>
        <v>2234354.2249323735</v>
      </c>
      <c r="F205" s="3">
        <f>Tabela1[[#This Row],[Tensão(Pa)]]/1000000</f>
        <v>2.2343542249323733</v>
      </c>
    </row>
    <row r="206" spans="1:6" x14ac:dyDescent="0.3">
      <c r="A206" s="1">
        <v>29.5</v>
      </c>
      <c r="B206" s="1">
        <v>2.4504999999999999</v>
      </c>
      <c r="C206" s="3">
        <f>Tabela1[[#This Row],[Alongamento(mm)]]/$I$2</f>
        <v>4.9009999999999998E-2</v>
      </c>
      <c r="D206" s="1">
        <v>98.316999999999993</v>
      </c>
      <c r="E206" s="5">
        <f>Tabela1[[#This Row],[Força(N)]]/$I$5</f>
        <v>2253839.8056026776</v>
      </c>
      <c r="F206" s="3">
        <f>Tabela1[[#This Row],[Tensão(Pa)]]/1000000</f>
        <v>2.2538398056026776</v>
      </c>
    </row>
    <row r="207" spans="1:6" x14ac:dyDescent="0.3">
      <c r="A207" s="1">
        <v>29.567</v>
      </c>
      <c r="B207" s="1">
        <v>2.4561000000000002</v>
      </c>
      <c r="C207" s="3">
        <f>Tabela1[[#This Row],[Alongamento(mm)]]/$I$2</f>
        <v>4.9122000000000006E-2</v>
      </c>
      <c r="D207" s="1">
        <v>98.998000000000005</v>
      </c>
      <c r="E207" s="5">
        <f>Tabela1[[#This Row],[Força(N)]]/$I$5</f>
        <v>2269451.1943514743</v>
      </c>
      <c r="F207" s="3">
        <f>Tabela1[[#This Row],[Tensão(Pa)]]/1000000</f>
        <v>2.2694511943514741</v>
      </c>
    </row>
    <row r="208" spans="1:6" x14ac:dyDescent="0.3">
      <c r="A208" s="1">
        <v>29.617000000000001</v>
      </c>
      <c r="B208" s="1">
        <v>2.4603000000000002</v>
      </c>
      <c r="C208" s="3">
        <f>Tabela1[[#This Row],[Alongamento(mm)]]/$I$2</f>
        <v>4.9206E-2</v>
      </c>
      <c r="D208" s="1">
        <v>99.677999999999997</v>
      </c>
      <c r="E208" s="5">
        <f>Tabela1[[#This Row],[Força(N)]]/$I$5</f>
        <v>2285039.6588877174</v>
      </c>
      <c r="F208" s="3">
        <f>Tabela1[[#This Row],[Tensão(Pa)]]/1000000</f>
        <v>2.2850396588877175</v>
      </c>
    </row>
    <row r="209" spans="1:6" x14ac:dyDescent="0.3">
      <c r="A209" s="1">
        <v>29.667000000000002</v>
      </c>
      <c r="B209" s="1">
        <v>2.4643999999999999</v>
      </c>
      <c r="C209" s="3">
        <f>Tabela1[[#This Row],[Alongamento(mm)]]/$I$2</f>
        <v>4.9287999999999998E-2</v>
      </c>
      <c r="D209" s="1">
        <v>100.36</v>
      </c>
      <c r="E209" s="5">
        <f>Tabela1[[#This Row],[Força(N)]]/$I$5</f>
        <v>2300673.9718490671</v>
      </c>
      <c r="F209" s="3">
        <f>Tabela1[[#This Row],[Tensão(Pa)]]/1000000</f>
        <v>2.3006739718490672</v>
      </c>
    </row>
    <row r="210" spans="1:6" x14ac:dyDescent="0.3">
      <c r="A210" s="1">
        <v>29.716999999999999</v>
      </c>
      <c r="B210" s="1">
        <v>2.4685000000000001</v>
      </c>
      <c r="C210" s="3">
        <f>Tabela1[[#This Row],[Alongamento(mm)]]/$I$2</f>
        <v>4.9370000000000004E-2</v>
      </c>
      <c r="D210" s="1">
        <v>101.04</v>
      </c>
      <c r="E210" s="5">
        <f>Tabela1[[#This Row],[Força(N)]]/$I$5</f>
        <v>2316262.4363853103</v>
      </c>
      <c r="F210" s="3">
        <f>Tabela1[[#This Row],[Tensão(Pa)]]/1000000</f>
        <v>2.3162624363853102</v>
      </c>
    </row>
    <row r="211" spans="1:6" x14ac:dyDescent="0.3">
      <c r="A211" s="1">
        <v>29.766999999999999</v>
      </c>
      <c r="B211" s="1">
        <v>2.4727999999999999</v>
      </c>
      <c r="C211" s="3">
        <f>Tabela1[[#This Row],[Alongamento(mm)]]/$I$2</f>
        <v>4.9456E-2</v>
      </c>
      <c r="D211" s="1">
        <v>101.72</v>
      </c>
      <c r="E211" s="5">
        <f>Tabela1[[#This Row],[Força(N)]]/$I$5</f>
        <v>2331850.9009215534</v>
      </c>
      <c r="F211" s="3">
        <f>Tabela1[[#This Row],[Tensão(Pa)]]/1000000</f>
        <v>2.3318509009215536</v>
      </c>
    </row>
    <row r="212" spans="1:6" x14ac:dyDescent="0.3">
      <c r="A212" s="1">
        <v>29.832999999999998</v>
      </c>
      <c r="B212" s="1">
        <v>2.4784000000000002</v>
      </c>
      <c r="C212" s="3">
        <f>Tabela1[[#This Row],[Alongamento(mm)]]/$I$2</f>
        <v>4.9568000000000001E-2</v>
      </c>
      <c r="D212" s="1">
        <v>102.57</v>
      </c>
      <c r="E212" s="5">
        <f>Tabela1[[#This Row],[Força(N)]]/$I$5</f>
        <v>2351336.4815918575</v>
      </c>
      <c r="F212" s="3">
        <f>Tabela1[[#This Row],[Tensão(Pa)]]/1000000</f>
        <v>2.3513364815918574</v>
      </c>
    </row>
    <row r="213" spans="1:6" x14ac:dyDescent="0.3">
      <c r="A213" s="1">
        <v>29.9</v>
      </c>
      <c r="B213" s="1">
        <v>2.4839000000000002</v>
      </c>
      <c r="C213" s="3">
        <f>Tabela1[[#This Row],[Alongamento(mm)]]/$I$2</f>
        <v>4.9678000000000007E-2</v>
      </c>
      <c r="D213" s="1">
        <v>103.25</v>
      </c>
      <c r="E213" s="5">
        <f>Tabela1[[#This Row],[Força(N)]]/$I$5</f>
        <v>2366924.9461281006</v>
      </c>
      <c r="F213" s="3">
        <f>Tabela1[[#This Row],[Tensão(Pa)]]/1000000</f>
        <v>2.3669249461281008</v>
      </c>
    </row>
    <row r="214" spans="1:6" x14ac:dyDescent="0.3">
      <c r="A214" s="1">
        <v>29.95</v>
      </c>
      <c r="B214" s="1">
        <v>2.4881000000000002</v>
      </c>
      <c r="C214" s="3">
        <f>Tabela1[[#This Row],[Alongamento(mm)]]/$I$2</f>
        <v>4.9762000000000001E-2</v>
      </c>
      <c r="D214" s="1">
        <v>103.93</v>
      </c>
      <c r="E214" s="5">
        <f>Tabela1[[#This Row],[Força(N)]]/$I$5</f>
        <v>2382513.4106643442</v>
      </c>
      <c r="F214" s="3">
        <f>Tabela1[[#This Row],[Tensão(Pa)]]/1000000</f>
        <v>2.3825134106643442</v>
      </c>
    </row>
    <row r="215" spans="1:6" x14ac:dyDescent="0.3">
      <c r="A215" s="1">
        <v>30</v>
      </c>
      <c r="B215" s="1">
        <v>2.4922</v>
      </c>
      <c r="C215" s="3">
        <f>Tabela1[[#This Row],[Alongamento(mm)]]/$I$2</f>
        <v>4.9843999999999999E-2</v>
      </c>
      <c r="D215" s="1">
        <v>104.61</v>
      </c>
      <c r="E215" s="5">
        <f>Tabela1[[#This Row],[Força(N)]]/$I$5</f>
        <v>2398101.8752005869</v>
      </c>
      <c r="F215" s="3">
        <f>Tabela1[[#This Row],[Tensão(Pa)]]/1000000</f>
        <v>2.3981018752005867</v>
      </c>
    </row>
    <row r="216" spans="1:6" x14ac:dyDescent="0.3">
      <c r="A216" s="1">
        <v>30.067</v>
      </c>
      <c r="B216" s="1">
        <v>2.4977999999999998</v>
      </c>
      <c r="C216" s="3">
        <f>Tabela1[[#This Row],[Alongamento(mm)]]/$I$2</f>
        <v>4.9955999999999993E-2</v>
      </c>
      <c r="D216" s="1">
        <v>105.46</v>
      </c>
      <c r="E216" s="5">
        <f>Tabela1[[#This Row],[Força(N)]]/$I$5</f>
        <v>2417587.455870891</v>
      </c>
      <c r="F216" s="3">
        <f>Tabela1[[#This Row],[Tensão(Pa)]]/1000000</f>
        <v>2.417587455870891</v>
      </c>
    </row>
    <row r="217" spans="1:6" x14ac:dyDescent="0.3">
      <c r="A217" s="1">
        <v>30.132999999999999</v>
      </c>
      <c r="B217" s="1">
        <v>2.5034000000000001</v>
      </c>
      <c r="C217" s="3">
        <f>Tabela1[[#This Row],[Alongamento(mm)]]/$I$2</f>
        <v>5.0068000000000001E-2</v>
      </c>
      <c r="D217" s="1">
        <v>106.14</v>
      </c>
      <c r="E217" s="5">
        <f>Tabela1[[#This Row],[Força(N)]]/$I$5</f>
        <v>2433175.9204071341</v>
      </c>
      <c r="F217" s="3">
        <f>Tabela1[[#This Row],[Tensão(Pa)]]/1000000</f>
        <v>2.4331759204071339</v>
      </c>
    </row>
    <row r="218" spans="1:6" x14ac:dyDescent="0.3">
      <c r="A218" s="1">
        <v>30.183</v>
      </c>
      <c r="B218" s="1">
        <v>2.5074000000000001</v>
      </c>
      <c r="C218" s="3">
        <f>Tabela1[[#This Row],[Alongamento(mm)]]/$I$2</f>
        <v>5.0147999999999998E-2</v>
      </c>
      <c r="D218" s="1">
        <v>106.82</v>
      </c>
      <c r="E218" s="5">
        <f>Tabela1[[#This Row],[Força(N)]]/$I$5</f>
        <v>2448764.3849433772</v>
      </c>
      <c r="F218" s="3">
        <f>Tabela1[[#This Row],[Tensão(Pa)]]/1000000</f>
        <v>2.4487643849433773</v>
      </c>
    </row>
    <row r="219" spans="1:6" x14ac:dyDescent="0.3">
      <c r="A219" s="1">
        <v>30.233000000000001</v>
      </c>
      <c r="B219" s="1">
        <v>2.5116000000000001</v>
      </c>
      <c r="C219" s="3">
        <f>Tabela1[[#This Row],[Alongamento(mm)]]/$I$2</f>
        <v>5.0231999999999999E-2</v>
      </c>
      <c r="D219" s="1">
        <v>107.5</v>
      </c>
      <c r="E219" s="5">
        <f>Tabela1[[#This Row],[Força(N)]]/$I$5</f>
        <v>2464352.8494796203</v>
      </c>
      <c r="F219" s="3">
        <f>Tabela1[[#This Row],[Tensão(Pa)]]/1000000</f>
        <v>2.4643528494796203</v>
      </c>
    </row>
    <row r="220" spans="1:6" x14ac:dyDescent="0.3">
      <c r="A220" s="1">
        <v>30.3</v>
      </c>
      <c r="B220" s="1">
        <v>2.5171000000000001</v>
      </c>
      <c r="C220" s="3">
        <f>Tabela1[[#This Row],[Alongamento(mm)]]/$I$2</f>
        <v>5.0342000000000005E-2</v>
      </c>
      <c r="D220" s="1">
        <v>108.35</v>
      </c>
      <c r="E220" s="5">
        <f>Tabela1[[#This Row],[Força(N)]]/$I$5</f>
        <v>2483838.4301499245</v>
      </c>
      <c r="F220" s="3">
        <f>Tabela1[[#This Row],[Tensão(Pa)]]/1000000</f>
        <v>2.4838384301499246</v>
      </c>
    </row>
    <row r="221" spans="1:6" x14ac:dyDescent="0.3">
      <c r="A221" s="1">
        <v>30.367000000000001</v>
      </c>
      <c r="B221" s="1">
        <v>2.5226999999999999</v>
      </c>
      <c r="C221" s="3">
        <f>Tabela1[[#This Row],[Alongamento(mm)]]/$I$2</f>
        <v>5.0453999999999999E-2</v>
      </c>
      <c r="D221" s="1">
        <v>109.2</v>
      </c>
      <c r="E221" s="5">
        <f>Tabela1[[#This Row],[Força(N)]]/$I$5</f>
        <v>2503324.0108202286</v>
      </c>
      <c r="F221" s="3">
        <f>Tabela1[[#This Row],[Tensão(Pa)]]/1000000</f>
        <v>2.5033240108202288</v>
      </c>
    </row>
    <row r="222" spans="1:6" x14ac:dyDescent="0.3">
      <c r="A222" s="1">
        <v>30.417000000000002</v>
      </c>
      <c r="B222" s="1">
        <v>2.5268999999999999</v>
      </c>
      <c r="C222" s="3">
        <f>Tabela1[[#This Row],[Alongamento(mm)]]/$I$2</f>
        <v>5.0538E-2</v>
      </c>
      <c r="D222" s="1">
        <v>109.88</v>
      </c>
      <c r="E222" s="5">
        <f>Tabela1[[#This Row],[Força(N)]]/$I$5</f>
        <v>2518912.4753564717</v>
      </c>
      <c r="F222" s="3">
        <f>Tabela1[[#This Row],[Tensão(Pa)]]/1000000</f>
        <v>2.5189124753564718</v>
      </c>
    </row>
    <row r="223" spans="1:6" x14ac:dyDescent="0.3">
      <c r="A223" s="1">
        <v>30.483000000000001</v>
      </c>
      <c r="B223" s="1">
        <v>2.5325000000000002</v>
      </c>
      <c r="C223" s="3">
        <f>Tabela1[[#This Row],[Alongamento(mm)]]/$I$2</f>
        <v>5.0650000000000001E-2</v>
      </c>
      <c r="D223" s="1">
        <v>110.56</v>
      </c>
      <c r="E223" s="5">
        <f>Tabela1[[#This Row],[Força(N)]]/$I$5</f>
        <v>2534500.9398927148</v>
      </c>
      <c r="F223" s="3">
        <f>Tabela1[[#This Row],[Tensão(Pa)]]/1000000</f>
        <v>2.5345009398927147</v>
      </c>
    </row>
    <row r="224" spans="1:6" x14ac:dyDescent="0.3">
      <c r="A224" s="1">
        <v>30.533000000000001</v>
      </c>
      <c r="B224" s="1">
        <v>2.5367000000000002</v>
      </c>
      <c r="C224" s="3">
        <f>Tabela1[[#This Row],[Alongamento(mm)]]/$I$2</f>
        <v>5.0734000000000001E-2</v>
      </c>
      <c r="D224" s="1">
        <v>111.24</v>
      </c>
      <c r="E224" s="5">
        <f>Tabela1[[#This Row],[Força(N)]]/$I$5</f>
        <v>2550089.404428958</v>
      </c>
      <c r="F224" s="3">
        <f>Tabela1[[#This Row],[Tensão(Pa)]]/1000000</f>
        <v>2.5500894044289582</v>
      </c>
    </row>
    <row r="225" spans="1:6" x14ac:dyDescent="0.3">
      <c r="A225" s="1">
        <v>30.582999999999998</v>
      </c>
      <c r="B225" s="1">
        <v>2.5409000000000002</v>
      </c>
      <c r="C225" s="3">
        <f>Tabela1[[#This Row],[Alongamento(mm)]]/$I$2</f>
        <v>5.0818000000000002E-2</v>
      </c>
      <c r="D225" s="1">
        <v>111.93</v>
      </c>
      <c r="E225" s="5">
        <f>Tabela1[[#This Row],[Força(N)]]/$I$5</f>
        <v>2565907.1110907346</v>
      </c>
      <c r="F225" s="3">
        <f>Tabela1[[#This Row],[Tensão(Pa)]]/1000000</f>
        <v>2.5659071110907345</v>
      </c>
    </row>
    <row r="226" spans="1:6" x14ac:dyDescent="0.3">
      <c r="A226" s="1">
        <v>30.632999999999999</v>
      </c>
      <c r="B226" s="1">
        <v>2.5449999999999999</v>
      </c>
      <c r="C226" s="3">
        <f>Tabela1[[#This Row],[Alongamento(mm)]]/$I$2</f>
        <v>5.0900000000000001E-2</v>
      </c>
      <c r="D226" s="1">
        <v>112.61</v>
      </c>
      <c r="E226" s="5">
        <f>Tabela1[[#This Row],[Força(N)]]/$I$5</f>
        <v>2581495.5756269773</v>
      </c>
      <c r="F226" s="3">
        <f>Tabela1[[#This Row],[Tensão(Pa)]]/1000000</f>
        <v>2.5814955756269771</v>
      </c>
    </row>
    <row r="227" spans="1:6" x14ac:dyDescent="0.3">
      <c r="A227" s="1">
        <v>30.7</v>
      </c>
      <c r="B227" s="1">
        <v>2.5505</v>
      </c>
      <c r="C227" s="3">
        <f>Tabela1[[#This Row],[Alongamento(mm)]]/$I$2</f>
        <v>5.101E-2</v>
      </c>
      <c r="D227" s="1">
        <v>113.46</v>
      </c>
      <c r="E227" s="5">
        <f>Tabela1[[#This Row],[Força(N)]]/$I$5</f>
        <v>2600981.1562972814</v>
      </c>
      <c r="F227" s="3">
        <f>Tabela1[[#This Row],[Tensão(Pa)]]/1000000</f>
        <v>2.6009811562972813</v>
      </c>
    </row>
    <row r="228" spans="1:6" x14ac:dyDescent="0.3">
      <c r="A228" s="1">
        <v>30.75</v>
      </c>
      <c r="B228" s="1">
        <v>2.5547</v>
      </c>
      <c r="C228" s="3">
        <f>Tabela1[[#This Row],[Alongamento(mm)]]/$I$2</f>
        <v>5.1094000000000001E-2</v>
      </c>
      <c r="D228" s="1">
        <v>114.14</v>
      </c>
      <c r="E228" s="5">
        <f>Tabela1[[#This Row],[Força(N)]]/$I$5</f>
        <v>2616569.6208335245</v>
      </c>
      <c r="F228" s="3">
        <f>Tabela1[[#This Row],[Tensão(Pa)]]/1000000</f>
        <v>2.6165696208335243</v>
      </c>
    </row>
    <row r="229" spans="1:6" x14ac:dyDescent="0.3">
      <c r="A229" s="1">
        <v>30.8</v>
      </c>
      <c r="B229" s="1">
        <v>2.5589</v>
      </c>
      <c r="C229" s="3">
        <f>Tabela1[[#This Row],[Alongamento(mm)]]/$I$2</f>
        <v>5.1178000000000001E-2</v>
      </c>
      <c r="D229" s="1">
        <v>114.82</v>
      </c>
      <c r="E229" s="5">
        <f>Tabela1[[#This Row],[Força(N)]]/$I$5</f>
        <v>2632158.0853697676</v>
      </c>
      <c r="F229" s="3">
        <f>Tabela1[[#This Row],[Tensão(Pa)]]/1000000</f>
        <v>2.6321580853697677</v>
      </c>
    </row>
    <row r="230" spans="1:6" x14ac:dyDescent="0.3">
      <c r="A230" s="1">
        <v>30.85</v>
      </c>
      <c r="B230" s="1">
        <v>2.5630000000000002</v>
      </c>
      <c r="C230" s="3">
        <f>Tabela1[[#This Row],[Alongamento(mm)]]/$I$2</f>
        <v>5.126E-2</v>
      </c>
      <c r="D230" s="1">
        <v>115.5</v>
      </c>
      <c r="E230" s="5">
        <f>Tabela1[[#This Row],[Força(N)]]/$I$5</f>
        <v>2647746.5499060107</v>
      </c>
      <c r="F230" s="3">
        <f>Tabela1[[#This Row],[Tensão(Pa)]]/1000000</f>
        <v>2.6477465499060107</v>
      </c>
    </row>
    <row r="231" spans="1:6" x14ac:dyDescent="0.3">
      <c r="A231" s="1">
        <v>30.9</v>
      </c>
      <c r="B231" s="1">
        <v>2.5672000000000001</v>
      </c>
      <c r="C231" s="3">
        <f>Tabela1[[#This Row],[Alongamento(mm)]]/$I$2</f>
        <v>5.1344000000000001E-2</v>
      </c>
      <c r="D231" s="1">
        <v>116.18</v>
      </c>
      <c r="E231" s="5">
        <f>Tabela1[[#This Row],[Força(N)]]/$I$5</f>
        <v>2663335.0144422543</v>
      </c>
      <c r="F231" s="3">
        <f>Tabela1[[#This Row],[Tensão(Pa)]]/1000000</f>
        <v>2.6633350144422545</v>
      </c>
    </row>
    <row r="232" spans="1:6" x14ac:dyDescent="0.3">
      <c r="A232" s="1">
        <v>30.95</v>
      </c>
      <c r="B232" s="1">
        <v>2.5714000000000001</v>
      </c>
      <c r="C232" s="3">
        <f>Tabela1[[#This Row],[Alongamento(mm)]]/$I$2</f>
        <v>5.1428000000000001E-2</v>
      </c>
      <c r="D232" s="1">
        <v>116.86</v>
      </c>
      <c r="E232" s="5">
        <f>Tabela1[[#This Row],[Força(N)]]/$I$5</f>
        <v>2678923.4789784974</v>
      </c>
      <c r="F232" s="3">
        <f>Tabela1[[#This Row],[Tensão(Pa)]]/1000000</f>
        <v>2.6789234789784975</v>
      </c>
    </row>
    <row r="233" spans="1:6" x14ac:dyDescent="0.3">
      <c r="A233" s="1">
        <v>31</v>
      </c>
      <c r="B233" s="1">
        <v>2.5756000000000001</v>
      </c>
      <c r="C233" s="3">
        <f>Tabela1[[#This Row],[Alongamento(mm)]]/$I$2</f>
        <v>5.1512000000000002E-2</v>
      </c>
      <c r="D233" s="1">
        <v>117.54</v>
      </c>
      <c r="E233" s="5">
        <f>Tabela1[[#This Row],[Força(N)]]/$I$5</f>
        <v>2694511.9435147406</v>
      </c>
      <c r="F233" s="3">
        <f>Tabela1[[#This Row],[Tensão(Pa)]]/1000000</f>
        <v>2.6945119435147404</v>
      </c>
    </row>
    <row r="234" spans="1:6" x14ac:dyDescent="0.3">
      <c r="A234" s="1">
        <v>31.05</v>
      </c>
      <c r="B234" s="1">
        <v>2.5798000000000001</v>
      </c>
      <c r="C234" s="3">
        <f>Tabela1[[#This Row],[Alongamento(mm)]]/$I$2</f>
        <v>5.1596000000000003E-2</v>
      </c>
      <c r="D234" s="1">
        <v>118.22</v>
      </c>
      <c r="E234" s="5">
        <f>Tabela1[[#This Row],[Força(N)]]/$I$5</f>
        <v>2710100.4080509837</v>
      </c>
      <c r="F234" s="3">
        <f>Tabela1[[#This Row],[Tensão(Pa)]]/1000000</f>
        <v>2.7101004080509838</v>
      </c>
    </row>
    <row r="235" spans="1:6" x14ac:dyDescent="0.3">
      <c r="A235" s="1">
        <v>31.1</v>
      </c>
      <c r="B235" s="1">
        <v>2.5838000000000001</v>
      </c>
      <c r="C235" s="3">
        <f>Tabela1[[#This Row],[Alongamento(mm)]]/$I$2</f>
        <v>5.1676E-2</v>
      </c>
      <c r="D235" s="1">
        <v>118.9</v>
      </c>
      <c r="E235" s="5">
        <f>Tabela1[[#This Row],[Força(N)]]/$I$5</f>
        <v>2725688.8725872268</v>
      </c>
      <c r="F235" s="3">
        <f>Tabela1[[#This Row],[Tensão(Pa)]]/1000000</f>
        <v>2.7256888725872268</v>
      </c>
    </row>
    <row r="236" spans="1:6" x14ac:dyDescent="0.3">
      <c r="A236" s="1">
        <v>31.15</v>
      </c>
      <c r="B236" s="1">
        <v>2.5880000000000001</v>
      </c>
      <c r="C236" s="3">
        <f>Tabela1[[#This Row],[Alongamento(mm)]]/$I$2</f>
        <v>5.176E-2</v>
      </c>
      <c r="D236" s="1">
        <v>119.58</v>
      </c>
      <c r="E236" s="5">
        <f>Tabela1[[#This Row],[Força(N)]]/$I$5</f>
        <v>2741277.3371234699</v>
      </c>
      <c r="F236" s="3">
        <f>Tabela1[[#This Row],[Tensão(Pa)]]/1000000</f>
        <v>2.7412773371234698</v>
      </c>
    </row>
    <row r="237" spans="1:6" x14ac:dyDescent="0.3">
      <c r="A237" s="1">
        <v>31.2</v>
      </c>
      <c r="B237" s="1">
        <v>2.5922000000000001</v>
      </c>
      <c r="C237" s="3">
        <f>Tabela1[[#This Row],[Alongamento(mm)]]/$I$2</f>
        <v>5.1844000000000001E-2</v>
      </c>
      <c r="D237" s="1">
        <v>120.26</v>
      </c>
      <c r="E237" s="5">
        <f>Tabela1[[#This Row],[Força(N)]]/$I$5</f>
        <v>2756865.8016597135</v>
      </c>
      <c r="F237" s="3">
        <f>Tabela1[[#This Row],[Tensão(Pa)]]/1000000</f>
        <v>2.7568658016597136</v>
      </c>
    </row>
    <row r="238" spans="1:6" x14ac:dyDescent="0.3">
      <c r="A238" s="1">
        <v>31.25</v>
      </c>
      <c r="B238" s="1">
        <v>2.5964</v>
      </c>
      <c r="C238" s="3">
        <f>Tabela1[[#This Row],[Alongamento(mm)]]/$I$2</f>
        <v>5.1928000000000002E-2</v>
      </c>
      <c r="D238" s="1">
        <v>121.11</v>
      </c>
      <c r="E238" s="5">
        <f>Tabela1[[#This Row],[Força(N)]]/$I$5</f>
        <v>2776351.3823300172</v>
      </c>
      <c r="F238" s="3">
        <f>Tabela1[[#This Row],[Tensão(Pa)]]/1000000</f>
        <v>2.776351382330017</v>
      </c>
    </row>
    <row r="239" spans="1:6" x14ac:dyDescent="0.3">
      <c r="A239" s="1">
        <v>31.3</v>
      </c>
      <c r="B239" s="1">
        <v>2.6004999999999998</v>
      </c>
      <c r="C239" s="3">
        <f>Tabela1[[#This Row],[Alongamento(mm)]]/$I$2</f>
        <v>5.2009999999999994E-2</v>
      </c>
      <c r="D239" s="1">
        <v>121.79</v>
      </c>
      <c r="E239" s="5">
        <f>Tabela1[[#This Row],[Força(N)]]/$I$5</f>
        <v>2791939.8468662603</v>
      </c>
      <c r="F239" s="3">
        <f>Tabela1[[#This Row],[Tensão(Pa)]]/1000000</f>
        <v>2.7919398468662604</v>
      </c>
    </row>
    <row r="240" spans="1:6" x14ac:dyDescent="0.3">
      <c r="A240" s="1">
        <v>31.35</v>
      </c>
      <c r="B240" s="1">
        <v>2.6046999999999998</v>
      </c>
      <c r="C240" s="3">
        <f>Tabela1[[#This Row],[Alongamento(mm)]]/$I$2</f>
        <v>5.2093999999999994E-2</v>
      </c>
      <c r="D240" s="1">
        <v>122.64</v>
      </c>
      <c r="E240" s="5">
        <f>Tabela1[[#This Row],[Força(N)]]/$I$5</f>
        <v>2811425.4275365644</v>
      </c>
      <c r="F240" s="3">
        <f>Tabela1[[#This Row],[Tensão(Pa)]]/1000000</f>
        <v>2.8114254275365642</v>
      </c>
    </row>
    <row r="241" spans="1:6" x14ac:dyDescent="0.3">
      <c r="A241" s="1">
        <v>31.4</v>
      </c>
      <c r="B241" s="1">
        <v>2.6088</v>
      </c>
      <c r="C241" s="3">
        <f>Tabela1[[#This Row],[Alongamento(mm)]]/$I$2</f>
        <v>5.2176E-2</v>
      </c>
      <c r="D241" s="1">
        <v>123.32</v>
      </c>
      <c r="E241" s="5">
        <f>Tabela1[[#This Row],[Força(N)]]/$I$5</f>
        <v>2827013.8920728075</v>
      </c>
      <c r="F241" s="3">
        <f>Tabela1[[#This Row],[Tensão(Pa)]]/1000000</f>
        <v>2.8270138920728076</v>
      </c>
    </row>
    <row r="242" spans="1:6" x14ac:dyDescent="0.3">
      <c r="A242" s="1">
        <v>31.45</v>
      </c>
      <c r="B242" s="1">
        <v>2.6131000000000002</v>
      </c>
      <c r="C242" s="3">
        <f>Tabela1[[#This Row],[Alongamento(mm)]]/$I$2</f>
        <v>5.2262000000000003E-2</v>
      </c>
      <c r="D242" s="1">
        <v>124.17</v>
      </c>
      <c r="E242" s="5">
        <f>Tabela1[[#This Row],[Força(N)]]/$I$5</f>
        <v>2846499.4727431117</v>
      </c>
      <c r="F242" s="3">
        <f>Tabela1[[#This Row],[Tensão(Pa)]]/1000000</f>
        <v>2.8464994727431119</v>
      </c>
    </row>
    <row r="243" spans="1:6" x14ac:dyDescent="0.3">
      <c r="A243" s="1">
        <v>31.5</v>
      </c>
      <c r="B243" s="1">
        <v>2.6173000000000002</v>
      </c>
      <c r="C243" s="3">
        <f>Tabela1[[#This Row],[Alongamento(mm)]]/$I$2</f>
        <v>5.2346000000000004E-2</v>
      </c>
      <c r="D243" s="1">
        <v>124.85</v>
      </c>
      <c r="E243" s="5">
        <f>Tabela1[[#This Row],[Força(N)]]/$I$5</f>
        <v>2862087.9372793543</v>
      </c>
      <c r="F243" s="3">
        <f>Tabela1[[#This Row],[Tensão(Pa)]]/1000000</f>
        <v>2.8620879372793544</v>
      </c>
    </row>
    <row r="244" spans="1:6" x14ac:dyDescent="0.3">
      <c r="A244" s="1">
        <v>31.55</v>
      </c>
      <c r="B244" s="1">
        <v>2.6214</v>
      </c>
      <c r="C244" s="3">
        <f>Tabela1[[#This Row],[Alongamento(mm)]]/$I$2</f>
        <v>5.2428000000000002E-2</v>
      </c>
      <c r="D244" s="1">
        <v>125.53</v>
      </c>
      <c r="E244" s="5">
        <f>Tabela1[[#This Row],[Força(N)]]/$I$5</f>
        <v>2877676.4018155979</v>
      </c>
      <c r="F244" s="3">
        <f>Tabela1[[#This Row],[Tensão(Pa)]]/1000000</f>
        <v>2.8776764018155978</v>
      </c>
    </row>
    <row r="245" spans="1:6" x14ac:dyDescent="0.3">
      <c r="A245" s="1">
        <v>31.6</v>
      </c>
      <c r="B245" s="1">
        <v>2.6255000000000002</v>
      </c>
      <c r="C245" s="3">
        <f>Tabela1[[#This Row],[Alongamento(mm)]]/$I$2</f>
        <v>5.2510000000000001E-2</v>
      </c>
      <c r="D245" s="1">
        <v>126.38</v>
      </c>
      <c r="E245" s="5">
        <f>Tabela1[[#This Row],[Força(N)]]/$I$5</f>
        <v>2897161.9824859016</v>
      </c>
      <c r="F245" s="3">
        <f>Tabela1[[#This Row],[Tensão(Pa)]]/1000000</f>
        <v>2.8971619824859016</v>
      </c>
    </row>
    <row r="246" spans="1:6" x14ac:dyDescent="0.3">
      <c r="A246" s="1">
        <v>31.65</v>
      </c>
      <c r="B246" s="1">
        <v>2.6295999999999999</v>
      </c>
      <c r="C246" s="3">
        <f>Tabela1[[#This Row],[Alongamento(mm)]]/$I$2</f>
        <v>5.2592E-2</v>
      </c>
      <c r="D246" s="1">
        <v>127.06</v>
      </c>
      <c r="E246" s="5">
        <f>Tabela1[[#This Row],[Força(N)]]/$I$5</f>
        <v>2912750.4470221451</v>
      </c>
      <c r="F246" s="3">
        <f>Tabela1[[#This Row],[Tensão(Pa)]]/1000000</f>
        <v>2.912750447022145</v>
      </c>
    </row>
    <row r="247" spans="1:6" x14ac:dyDescent="0.3">
      <c r="A247" s="1">
        <v>31.7</v>
      </c>
      <c r="B247" s="1">
        <v>2.6339000000000001</v>
      </c>
      <c r="C247" s="3">
        <f>Tabela1[[#This Row],[Alongamento(mm)]]/$I$2</f>
        <v>5.2678000000000003E-2</v>
      </c>
      <c r="D247" s="1">
        <v>127.91</v>
      </c>
      <c r="E247" s="5">
        <f>Tabela1[[#This Row],[Força(N)]]/$I$5</f>
        <v>2932236.0276924488</v>
      </c>
      <c r="F247" s="3">
        <f>Tabela1[[#This Row],[Tensão(Pa)]]/1000000</f>
        <v>2.9322360276924488</v>
      </c>
    </row>
    <row r="248" spans="1:6" x14ac:dyDescent="0.3">
      <c r="A248" s="1">
        <v>31.75</v>
      </c>
      <c r="B248" s="1">
        <v>2.6381000000000001</v>
      </c>
      <c r="C248" s="3">
        <f>Tabela1[[#This Row],[Alongamento(mm)]]/$I$2</f>
        <v>5.2762000000000003E-2</v>
      </c>
      <c r="D248" s="1">
        <v>128.59</v>
      </c>
      <c r="E248" s="5">
        <f>Tabela1[[#This Row],[Força(N)]]/$I$5</f>
        <v>2947824.4922286924</v>
      </c>
      <c r="F248" s="3">
        <f>Tabela1[[#This Row],[Tensão(Pa)]]/1000000</f>
        <v>2.9478244922286923</v>
      </c>
    </row>
    <row r="249" spans="1:6" x14ac:dyDescent="0.3">
      <c r="A249" s="1">
        <v>31.783000000000001</v>
      </c>
      <c r="B249" s="1">
        <v>2.6408</v>
      </c>
      <c r="C249" s="3">
        <f>Tabela1[[#This Row],[Alongamento(mm)]]/$I$2</f>
        <v>5.2816000000000002E-2</v>
      </c>
      <c r="D249" s="1">
        <v>129.28</v>
      </c>
      <c r="E249" s="5">
        <f>Tabela1[[#This Row],[Força(N)]]/$I$5</f>
        <v>2963642.1988904686</v>
      </c>
      <c r="F249" s="3">
        <f>Tabela1[[#This Row],[Tensão(Pa)]]/1000000</f>
        <v>2.9636421988904686</v>
      </c>
    </row>
    <row r="250" spans="1:6" x14ac:dyDescent="0.3">
      <c r="A250" s="1">
        <v>31.832999999999998</v>
      </c>
      <c r="B250" s="1">
        <v>2.645</v>
      </c>
      <c r="C250" s="3">
        <f>Tabela1[[#This Row],[Alongamento(mm)]]/$I$2</f>
        <v>5.2900000000000003E-2</v>
      </c>
      <c r="D250" s="1">
        <v>129.96</v>
      </c>
      <c r="E250" s="5">
        <f>Tabela1[[#This Row],[Força(N)]]/$I$5</f>
        <v>2979230.6634267117</v>
      </c>
      <c r="F250" s="3">
        <f>Tabela1[[#This Row],[Tensão(Pa)]]/1000000</f>
        <v>2.9792306634267116</v>
      </c>
    </row>
    <row r="251" spans="1:6" x14ac:dyDescent="0.3">
      <c r="A251" s="1">
        <v>31.882999999999999</v>
      </c>
      <c r="B251" s="1">
        <v>2.6492</v>
      </c>
      <c r="C251" s="3">
        <f>Tabela1[[#This Row],[Alongamento(mm)]]/$I$2</f>
        <v>5.2984000000000003E-2</v>
      </c>
      <c r="D251" s="1">
        <v>130.81</v>
      </c>
      <c r="E251" s="5">
        <f>Tabela1[[#This Row],[Força(N)]]/$I$5</f>
        <v>2998716.2440970154</v>
      </c>
      <c r="F251" s="3">
        <f>Tabela1[[#This Row],[Tensão(Pa)]]/1000000</f>
        <v>2.9987162440970154</v>
      </c>
    </row>
    <row r="252" spans="1:6" x14ac:dyDescent="0.3">
      <c r="A252" s="1">
        <v>31.95</v>
      </c>
      <c r="B252" s="1">
        <v>2.6547000000000001</v>
      </c>
      <c r="C252" s="3">
        <f>Tabela1[[#This Row],[Alongamento(mm)]]/$I$2</f>
        <v>5.3094000000000002E-2</v>
      </c>
      <c r="D252" s="1">
        <v>131.83000000000001</v>
      </c>
      <c r="E252" s="5">
        <f>Tabela1[[#This Row],[Força(N)]]/$I$5</f>
        <v>3022098.9409013805</v>
      </c>
      <c r="F252" s="3">
        <f>Tabela1[[#This Row],[Tensão(Pa)]]/1000000</f>
        <v>3.0220989409013805</v>
      </c>
    </row>
    <row r="253" spans="1:6" x14ac:dyDescent="0.3">
      <c r="A253" s="1">
        <v>32.017000000000003</v>
      </c>
      <c r="B253" s="1">
        <v>2.6602000000000001</v>
      </c>
      <c r="C253" s="3">
        <f>Tabela1[[#This Row],[Alongamento(mm)]]/$I$2</f>
        <v>5.3204000000000001E-2</v>
      </c>
      <c r="D253" s="1">
        <v>132.85</v>
      </c>
      <c r="E253" s="5">
        <f>Tabela1[[#This Row],[Força(N)]]/$I$5</f>
        <v>3045481.6377057447</v>
      </c>
      <c r="F253" s="3">
        <f>Tabela1[[#This Row],[Tensão(Pa)]]/1000000</f>
        <v>3.0454816377057448</v>
      </c>
    </row>
    <row r="254" spans="1:6" x14ac:dyDescent="0.3">
      <c r="A254" s="1">
        <v>32.082999999999998</v>
      </c>
      <c r="B254" s="1">
        <v>2.6657999999999999</v>
      </c>
      <c r="C254" s="3">
        <f>Tabela1[[#This Row],[Alongamento(mm)]]/$I$2</f>
        <v>5.3316000000000002E-2</v>
      </c>
      <c r="D254" s="1">
        <v>133.87</v>
      </c>
      <c r="E254" s="5">
        <f>Tabela1[[#This Row],[Força(N)]]/$I$5</f>
        <v>3068864.3345101099</v>
      </c>
      <c r="F254" s="3">
        <f>Tabela1[[#This Row],[Tensão(Pa)]]/1000000</f>
        <v>3.0688643345101099</v>
      </c>
    </row>
    <row r="255" spans="1:6" x14ac:dyDescent="0.3">
      <c r="A255" s="1">
        <v>32.15</v>
      </c>
      <c r="B255" s="1">
        <v>2.6713</v>
      </c>
      <c r="C255" s="3">
        <f>Tabela1[[#This Row],[Alongamento(mm)]]/$I$2</f>
        <v>5.3426000000000001E-2</v>
      </c>
      <c r="D255" s="1">
        <v>134.88999999999999</v>
      </c>
      <c r="E255" s="5">
        <f>Tabela1[[#This Row],[Força(N)]]/$I$5</f>
        <v>3092247.0313144741</v>
      </c>
      <c r="F255" s="3">
        <f>Tabela1[[#This Row],[Tensão(Pa)]]/1000000</f>
        <v>3.0922470313144741</v>
      </c>
    </row>
    <row r="256" spans="1:6" x14ac:dyDescent="0.3">
      <c r="A256" s="1">
        <v>32.216999999999999</v>
      </c>
      <c r="B256" s="1">
        <v>2.6768999999999998</v>
      </c>
      <c r="C256" s="3">
        <f>Tabela1[[#This Row],[Alongamento(mm)]]/$I$2</f>
        <v>5.3537999999999995E-2</v>
      </c>
      <c r="D256" s="1">
        <v>135.91</v>
      </c>
      <c r="E256" s="5">
        <f>Tabela1[[#This Row],[Força(N)]]/$I$5</f>
        <v>3115629.7281188392</v>
      </c>
      <c r="F256" s="3">
        <f>Tabela1[[#This Row],[Tensão(Pa)]]/1000000</f>
        <v>3.1156297281188392</v>
      </c>
    </row>
    <row r="257" spans="1:6" x14ac:dyDescent="0.3">
      <c r="A257" s="1">
        <v>32.283000000000001</v>
      </c>
      <c r="B257" s="1">
        <v>2.6825000000000001</v>
      </c>
      <c r="C257" s="3">
        <f>Tabela1[[#This Row],[Alongamento(mm)]]/$I$2</f>
        <v>5.3650000000000003E-2</v>
      </c>
      <c r="D257" s="1">
        <v>136.93</v>
      </c>
      <c r="E257" s="5">
        <f>Tabela1[[#This Row],[Força(N)]]/$I$5</f>
        <v>3139012.4249232044</v>
      </c>
      <c r="F257" s="3">
        <f>Tabela1[[#This Row],[Tensão(Pa)]]/1000000</f>
        <v>3.1390124249232043</v>
      </c>
    </row>
    <row r="258" spans="1:6" x14ac:dyDescent="0.3">
      <c r="A258" s="1">
        <v>32.35</v>
      </c>
      <c r="B258" s="1">
        <v>2.6880000000000002</v>
      </c>
      <c r="C258" s="3">
        <f>Tabela1[[#This Row],[Alongamento(mm)]]/$I$2</f>
        <v>5.3760000000000002E-2</v>
      </c>
      <c r="D258" s="1">
        <v>137.94999999999999</v>
      </c>
      <c r="E258" s="5">
        <f>Tabela1[[#This Row],[Força(N)]]/$I$5</f>
        <v>3162395.1217275686</v>
      </c>
      <c r="F258" s="3">
        <f>Tabela1[[#This Row],[Tensão(Pa)]]/1000000</f>
        <v>3.1623951217275685</v>
      </c>
    </row>
    <row r="259" spans="1:6" x14ac:dyDescent="0.3">
      <c r="A259" s="1">
        <v>32.417000000000002</v>
      </c>
      <c r="B259" s="1">
        <v>2.6936</v>
      </c>
      <c r="C259" s="3">
        <f>Tabela1[[#This Row],[Alongamento(mm)]]/$I$2</f>
        <v>5.3872000000000003E-2</v>
      </c>
      <c r="D259" s="1">
        <v>138.97</v>
      </c>
      <c r="E259" s="5">
        <f>Tabela1[[#This Row],[Força(N)]]/$I$5</f>
        <v>3185777.8185319337</v>
      </c>
      <c r="F259" s="3">
        <f>Tabela1[[#This Row],[Tensão(Pa)]]/1000000</f>
        <v>3.1857778185319336</v>
      </c>
    </row>
    <row r="260" spans="1:6" x14ac:dyDescent="0.3">
      <c r="A260" s="1">
        <v>32.482999999999997</v>
      </c>
      <c r="B260" s="1">
        <v>2.6991000000000001</v>
      </c>
      <c r="C260" s="3">
        <f>Tabela1[[#This Row],[Alongamento(mm)]]/$I$2</f>
        <v>5.3982000000000002E-2</v>
      </c>
      <c r="D260" s="1">
        <v>139.99</v>
      </c>
      <c r="E260" s="5">
        <f>Tabela1[[#This Row],[Força(N)]]/$I$5</f>
        <v>3209160.5153362988</v>
      </c>
      <c r="F260" s="3">
        <f>Tabela1[[#This Row],[Tensão(Pa)]]/1000000</f>
        <v>3.2091605153362988</v>
      </c>
    </row>
    <row r="261" spans="1:6" x14ac:dyDescent="0.3">
      <c r="A261" s="1">
        <v>32.549999999999997</v>
      </c>
      <c r="B261" s="1">
        <v>2.7046999999999999</v>
      </c>
      <c r="C261" s="3">
        <f>Tabela1[[#This Row],[Alongamento(mm)]]/$I$2</f>
        <v>5.4093999999999996E-2</v>
      </c>
      <c r="D261" s="1">
        <v>141.18</v>
      </c>
      <c r="E261" s="5">
        <f>Tabela1[[#This Row],[Força(N)]]/$I$5</f>
        <v>3236440.3282747241</v>
      </c>
      <c r="F261" s="3">
        <f>Tabela1[[#This Row],[Tensão(Pa)]]/1000000</f>
        <v>3.2364403282747243</v>
      </c>
    </row>
    <row r="262" spans="1:6" x14ac:dyDescent="0.3">
      <c r="A262" s="1">
        <v>32.616999999999997</v>
      </c>
      <c r="B262" s="1">
        <v>2.7103000000000002</v>
      </c>
      <c r="C262" s="3">
        <f>Tabela1[[#This Row],[Alongamento(mm)]]/$I$2</f>
        <v>5.4206000000000004E-2</v>
      </c>
      <c r="D262" s="1">
        <v>142.37</v>
      </c>
      <c r="E262" s="5">
        <f>Tabela1[[#This Row],[Força(N)]]/$I$5</f>
        <v>3263720.1412131498</v>
      </c>
      <c r="F262" s="3">
        <f>Tabela1[[#This Row],[Tensão(Pa)]]/1000000</f>
        <v>3.2637201412131498</v>
      </c>
    </row>
    <row r="263" spans="1:6" x14ac:dyDescent="0.3">
      <c r="A263" s="1">
        <v>32.683</v>
      </c>
      <c r="B263" s="1">
        <v>2.7159</v>
      </c>
      <c r="C263" s="3">
        <f>Tabela1[[#This Row],[Alongamento(mm)]]/$I$2</f>
        <v>5.4317999999999998E-2</v>
      </c>
      <c r="D263" s="1">
        <v>143.38999999999999</v>
      </c>
      <c r="E263" s="5">
        <f>Tabela1[[#This Row],[Força(N)]]/$I$5</f>
        <v>3287102.838017514</v>
      </c>
      <c r="F263" s="3">
        <f>Tabela1[[#This Row],[Tensão(Pa)]]/1000000</f>
        <v>3.287102838017514</v>
      </c>
    </row>
    <row r="264" spans="1:6" x14ac:dyDescent="0.3">
      <c r="A264" s="1">
        <v>32.75</v>
      </c>
      <c r="B264" s="1">
        <v>2.7214</v>
      </c>
      <c r="C264" s="3">
        <f>Tabela1[[#This Row],[Alongamento(mm)]]/$I$2</f>
        <v>5.4428000000000004E-2</v>
      </c>
      <c r="D264" s="1">
        <v>144.58000000000001</v>
      </c>
      <c r="E264" s="5">
        <f>Tabela1[[#This Row],[Força(N)]]/$I$5</f>
        <v>3314382.6509559401</v>
      </c>
      <c r="F264" s="3">
        <f>Tabela1[[#This Row],[Tensão(Pa)]]/1000000</f>
        <v>3.31438265095594</v>
      </c>
    </row>
    <row r="265" spans="1:6" x14ac:dyDescent="0.3">
      <c r="A265" s="1">
        <v>32.817</v>
      </c>
      <c r="B265" s="1">
        <v>2.7269000000000001</v>
      </c>
      <c r="C265" s="3">
        <f>Tabela1[[#This Row],[Alongamento(mm)]]/$I$2</f>
        <v>5.4538000000000003E-2</v>
      </c>
      <c r="D265" s="1">
        <v>145.77000000000001</v>
      </c>
      <c r="E265" s="5">
        <f>Tabela1[[#This Row],[Força(N)]]/$I$5</f>
        <v>3341662.4638943658</v>
      </c>
      <c r="F265" s="3">
        <f>Tabela1[[#This Row],[Tensão(Pa)]]/1000000</f>
        <v>3.3416624638943659</v>
      </c>
    </row>
    <row r="266" spans="1:6" x14ac:dyDescent="0.3">
      <c r="A266" s="1">
        <v>32.883000000000003</v>
      </c>
      <c r="B266" s="1">
        <v>2.7324999999999999</v>
      </c>
      <c r="C266" s="3">
        <f>Tabela1[[#This Row],[Alongamento(mm)]]/$I$2</f>
        <v>5.4649999999999997E-2</v>
      </c>
      <c r="D266" s="1">
        <v>146.97</v>
      </c>
      <c r="E266" s="5">
        <f>Tabela1[[#This Row],[Força(N)]]/$I$5</f>
        <v>3369171.5189583241</v>
      </c>
      <c r="F266" s="3">
        <f>Tabela1[[#This Row],[Tensão(Pa)]]/1000000</f>
        <v>3.369171518958324</v>
      </c>
    </row>
    <row r="267" spans="1:6" x14ac:dyDescent="0.3">
      <c r="A267" s="1">
        <v>32.950000000000003</v>
      </c>
      <c r="B267" s="1">
        <v>2.738</v>
      </c>
      <c r="C267" s="3">
        <f>Tabela1[[#This Row],[Alongamento(mm)]]/$I$2</f>
        <v>5.4760000000000003E-2</v>
      </c>
      <c r="D267" s="1">
        <v>147.99</v>
      </c>
      <c r="E267" s="5">
        <f>Tabela1[[#This Row],[Força(N)]]/$I$5</f>
        <v>3392554.2157626892</v>
      </c>
      <c r="F267" s="3">
        <f>Tabela1[[#This Row],[Tensão(Pa)]]/1000000</f>
        <v>3.3925542157626891</v>
      </c>
    </row>
    <row r="268" spans="1:6" x14ac:dyDescent="0.3">
      <c r="A268" s="1">
        <v>33</v>
      </c>
      <c r="B268" s="1">
        <v>2.7422</v>
      </c>
      <c r="C268" s="3">
        <f>Tabela1[[#This Row],[Alongamento(mm)]]/$I$2</f>
        <v>5.4843999999999997E-2</v>
      </c>
      <c r="D268" s="1">
        <v>149.01</v>
      </c>
      <c r="E268" s="5">
        <f>Tabela1[[#This Row],[Força(N)]]/$I$5</f>
        <v>3415936.9125670535</v>
      </c>
      <c r="F268" s="3">
        <f>Tabela1[[#This Row],[Tensão(Pa)]]/1000000</f>
        <v>3.4159369125670533</v>
      </c>
    </row>
    <row r="269" spans="1:6" x14ac:dyDescent="0.3">
      <c r="A269" s="1">
        <v>33.067</v>
      </c>
      <c r="B269" s="1">
        <v>2.7477</v>
      </c>
      <c r="C269" s="3">
        <f>Tabela1[[#This Row],[Alongamento(mm)]]/$I$2</f>
        <v>5.4954000000000003E-2</v>
      </c>
      <c r="D269" s="1">
        <v>150.03</v>
      </c>
      <c r="E269" s="5">
        <f>Tabela1[[#This Row],[Força(N)]]/$I$5</f>
        <v>3439319.6093714186</v>
      </c>
      <c r="F269" s="3">
        <f>Tabela1[[#This Row],[Tensão(Pa)]]/1000000</f>
        <v>3.4393196093714185</v>
      </c>
    </row>
    <row r="270" spans="1:6" x14ac:dyDescent="0.3">
      <c r="A270" s="1">
        <v>33.116999999999997</v>
      </c>
      <c r="B270" s="1">
        <v>2.7519999999999998</v>
      </c>
      <c r="C270" s="3">
        <f>Tabela1[[#This Row],[Alongamento(mm)]]/$I$2</f>
        <v>5.5039999999999999E-2</v>
      </c>
      <c r="D270" s="1">
        <v>151.05000000000001</v>
      </c>
      <c r="E270" s="5">
        <f>Tabela1[[#This Row],[Força(N)]]/$I$5</f>
        <v>3462702.3061757833</v>
      </c>
      <c r="F270" s="3">
        <f>Tabela1[[#This Row],[Tensão(Pa)]]/1000000</f>
        <v>3.4627023061757831</v>
      </c>
    </row>
    <row r="271" spans="1:6" x14ac:dyDescent="0.3">
      <c r="A271" s="1">
        <v>33.183</v>
      </c>
      <c r="B271" s="1">
        <v>2.7574999999999998</v>
      </c>
      <c r="C271" s="3">
        <f>Tabela1[[#This Row],[Alongamento(mm)]]/$I$2</f>
        <v>5.5149999999999998E-2</v>
      </c>
      <c r="D271" s="1">
        <v>152.24</v>
      </c>
      <c r="E271" s="5">
        <f>Tabela1[[#This Row],[Força(N)]]/$I$5</f>
        <v>3489982.119114209</v>
      </c>
      <c r="F271" s="3">
        <f>Tabela1[[#This Row],[Tensão(Pa)]]/1000000</f>
        <v>3.4899821191142091</v>
      </c>
    </row>
    <row r="272" spans="1:6" x14ac:dyDescent="0.3">
      <c r="A272" s="1">
        <v>33.25</v>
      </c>
      <c r="B272" s="1">
        <v>2.7631000000000001</v>
      </c>
      <c r="C272" s="3">
        <f>Tabela1[[#This Row],[Alongamento(mm)]]/$I$2</f>
        <v>5.5262000000000006E-2</v>
      </c>
      <c r="D272" s="1">
        <v>153.43</v>
      </c>
      <c r="E272" s="5">
        <f>Tabela1[[#This Row],[Força(N)]]/$I$5</f>
        <v>3517261.9320526342</v>
      </c>
      <c r="F272" s="3">
        <f>Tabela1[[#This Row],[Tensão(Pa)]]/1000000</f>
        <v>3.5172619320526342</v>
      </c>
    </row>
    <row r="273" spans="1:6" x14ac:dyDescent="0.3">
      <c r="A273" s="1">
        <v>33.317</v>
      </c>
      <c r="B273" s="1">
        <v>2.7686000000000002</v>
      </c>
      <c r="C273" s="3">
        <f>Tabela1[[#This Row],[Alongamento(mm)]]/$I$2</f>
        <v>5.5372000000000005E-2</v>
      </c>
      <c r="D273" s="1">
        <v>154.62</v>
      </c>
      <c r="E273" s="5">
        <f>Tabela1[[#This Row],[Força(N)]]/$I$5</f>
        <v>3544541.7449910599</v>
      </c>
      <c r="F273" s="3">
        <f>Tabela1[[#This Row],[Tensão(Pa)]]/1000000</f>
        <v>3.5445417449910597</v>
      </c>
    </row>
    <row r="274" spans="1:6" x14ac:dyDescent="0.3">
      <c r="A274" s="1">
        <v>33.383000000000003</v>
      </c>
      <c r="B274" s="1">
        <v>2.7742</v>
      </c>
      <c r="C274" s="3">
        <f>Tabela1[[#This Row],[Alongamento(mm)]]/$I$2</f>
        <v>5.5483999999999999E-2</v>
      </c>
      <c r="D274" s="1">
        <v>155.81</v>
      </c>
      <c r="E274" s="5">
        <f>Tabela1[[#This Row],[Força(N)]]/$I$5</f>
        <v>3571821.5579294856</v>
      </c>
      <c r="F274" s="3">
        <f>Tabela1[[#This Row],[Tensão(Pa)]]/1000000</f>
        <v>3.5718215579294856</v>
      </c>
    </row>
    <row r="275" spans="1:6" x14ac:dyDescent="0.3">
      <c r="A275" s="1">
        <v>33.450000000000003</v>
      </c>
      <c r="B275" s="1">
        <v>2.7795999999999998</v>
      </c>
      <c r="C275" s="3">
        <f>Tabela1[[#This Row],[Alongamento(mm)]]/$I$2</f>
        <v>5.5591999999999996E-2</v>
      </c>
      <c r="D275" s="1">
        <v>157</v>
      </c>
      <c r="E275" s="5">
        <f>Tabela1[[#This Row],[Força(N)]]/$I$5</f>
        <v>3599101.3708679108</v>
      </c>
      <c r="F275" s="3">
        <f>Tabela1[[#This Row],[Tensão(Pa)]]/1000000</f>
        <v>3.5991013708679107</v>
      </c>
    </row>
    <row r="276" spans="1:6" x14ac:dyDescent="0.3">
      <c r="A276" s="1">
        <v>33.517000000000003</v>
      </c>
      <c r="B276" s="1">
        <v>2.7852000000000001</v>
      </c>
      <c r="C276" s="3">
        <f>Tabela1[[#This Row],[Alongamento(mm)]]/$I$2</f>
        <v>5.5704000000000004E-2</v>
      </c>
      <c r="D276" s="1">
        <v>158.19</v>
      </c>
      <c r="E276" s="5">
        <f>Tabela1[[#This Row],[Força(N)]]/$I$5</f>
        <v>3626381.1838063365</v>
      </c>
      <c r="F276" s="3">
        <f>Tabela1[[#This Row],[Tensão(Pa)]]/1000000</f>
        <v>3.6263811838063367</v>
      </c>
    </row>
    <row r="277" spans="1:6" x14ac:dyDescent="0.3">
      <c r="A277" s="1">
        <v>33.582999999999998</v>
      </c>
      <c r="B277" s="1">
        <v>2.7907999999999999</v>
      </c>
      <c r="C277" s="3">
        <f>Tabela1[[#This Row],[Alongamento(mm)]]/$I$2</f>
        <v>5.5815999999999998E-2</v>
      </c>
      <c r="D277" s="1">
        <v>159.38</v>
      </c>
      <c r="E277" s="5">
        <f>Tabela1[[#This Row],[Força(N)]]/$I$5</f>
        <v>3653660.9967447622</v>
      </c>
      <c r="F277" s="3">
        <f>Tabela1[[#This Row],[Tensão(Pa)]]/1000000</f>
        <v>3.6536609967447622</v>
      </c>
    </row>
    <row r="278" spans="1:6" x14ac:dyDescent="0.3">
      <c r="A278" s="1">
        <v>33.633000000000003</v>
      </c>
      <c r="B278" s="1">
        <v>2.7949000000000002</v>
      </c>
      <c r="C278" s="3">
        <f>Tabela1[[#This Row],[Alongamento(mm)]]/$I$2</f>
        <v>5.5898000000000003E-2</v>
      </c>
      <c r="D278" s="1">
        <v>160.4</v>
      </c>
      <c r="E278" s="5">
        <f>Tabela1[[#This Row],[Força(N)]]/$I$5</f>
        <v>3677043.6935491269</v>
      </c>
      <c r="F278" s="3">
        <f>Tabela1[[#This Row],[Tensão(Pa)]]/1000000</f>
        <v>3.6770436935491269</v>
      </c>
    </row>
    <row r="279" spans="1:6" x14ac:dyDescent="0.3">
      <c r="A279" s="1">
        <v>33.700000000000003</v>
      </c>
      <c r="B279" s="1">
        <v>2.8005</v>
      </c>
      <c r="C279" s="3">
        <f>Tabela1[[#This Row],[Alongamento(mm)]]/$I$2</f>
        <v>5.6009999999999997E-2</v>
      </c>
      <c r="D279" s="1">
        <v>161.59</v>
      </c>
      <c r="E279" s="5">
        <f>Tabela1[[#This Row],[Força(N)]]/$I$5</f>
        <v>3704323.5064875525</v>
      </c>
      <c r="F279" s="3">
        <f>Tabela1[[#This Row],[Tensão(Pa)]]/1000000</f>
        <v>3.7043235064875524</v>
      </c>
    </row>
    <row r="280" spans="1:6" x14ac:dyDescent="0.3">
      <c r="A280" s="1">
        <v>33.767000000000003</v>
      </c>
      <c r="B280" s="1">
        <v>2.8060999999999998</v>
      </c>
      <c r="C280" s="3">
        <f>Tabela1[[#This Row],[Alongamento(mm)]]/$I$2</f>
        <v>5.6121999999999998E-2</v>
      </c>
      <c r="D280" s="1">
        <v>162.78</v>
      </c>
      <c r="E280" s="5">
        <f>Tabela1[[#This Row],[Força(N)]]/$I$5</f>
        <v>3731603.3194259782</v>
      </c>
      <c r="F280" s="3">
        <f>Tabela1[[#This Row],[Tensão(Pa)]]/1000000</f>
        <v>3.7316033194259783</v>
      </c>
    </row>
    <row r="281" spans="1:6" x14ac:dyDescent="0.3">
      <c r="A281" s="1">
        <v>33.817</v>
      </c>
      <c r="B281" s="1">
        <v>2.8102999999999998</v>
      </c>
      <c r="C281" s="3">
        <f>Tabela1[[#This Row],[Alongamento(mm)]]/$I$2</f>
        <v>5.6205999999999999E-2</v>
      </c>
      <c r="D281" s="1">
        <v>163.81</v>
      </c>
      <c r="E281" s="5">
        <f>Tabela1[[#This Row],[Força(N)]]/$I$5</f>
        <v>3755215.258355876</v>
      </c>
      <c r="F281" s="3">
        <f>Tabela1[[#This Row],[Tensão(Pa)]]/1000000</f>
        <v>3.755215258355876</v>
      </c>
    </row>
    <row r="282" spans="1:6" x14ac:dyDescent="0.3">
      <c r="A282" s="1">
        <v>33.866999999999997</v>
      </c>
      <c r="B282" s="1">
        <v>2.8144</v>
      </c>
      <c r="C282" s="3">
        <f>Tabela1[[#This Row],[Alongamento(mm)]]/$I$2</f>
        <v>5.6287999999999998E-2</v>
      </c>
      <c r="D282" s="1">
        <v>164.83</v>
      </c>
      <c r="E282" s="5">
        <f>Tabela1[[#This Row],[Força(N)]]/$I$5</f>
        <v>3778597.9551602406</v>
      </c>
      <c r="F282" s="3">
        <f>Tabela1[[#This Row],[Tensão(Pa)]]/1000000</f>
        <v>3.7785979551602407</v>
      </c>
    </row>
    <row r="283" spans="1:6" x14ac:dyDescent="0.3">
      <c r="A283" s="1">
        <v>33.933</v>
      </c>
      <c r="B283" s="1">
        <v>2.8199000000000001</v>
      </c>
      <c r="C283" s="3">
        <f>Tabela1[[#This Row],[Alongamento(mm)]]/$I$2</f>
        <v>5.6398000000000004E-2</v>
      </c>
      <c r="D283" s="1">
        <v>166.02</v>
      </c>
      <c r="E283" s="5">
        <f>Tabela1[[#This Row],[Força(N)]]/$I$5</f>
        <v>3805877.7680986663</v>
      </c>
      <c r="F283" s="3">
        <f>Tabela1[[#This Row],[Tensão(Pa)]]/1000000</f>
        <v>3.8058777680986662</v>
      </c>
    </row>
    <row r="284" spans="1:6" x14ac:dyDescent="0.3">
      <c r="A284" s="1">
        <v>33.982999999999997</v>
      </c>
      <c r="B284" s="1">
        <v>2.8241000000000001</v>
      </c>
      <c r="C284" s="3">
        <f>Tabela1[[#This Row],[Alongamento(mm)]]/$I$2</f>
        <v>5.6482000000000004E-2</v>
      </c>
      <c r="D284" s="1">
        <v>167.04</v>
      </c>
      <c r="E284" s="5">
        <f>Tabela1[[#This Row],[Força(N)]]/$I$5</f>
        <v>3829260.4649030305</v>
      </c>
      <c r="F284" s="3">
        <f>Tabela1[[#This Row],[Tensão(Pa)]]/1000000</f>
        <v>3.8292604649030304</v>
      </c>
    </row>
    <row r="285" spans="1:6" x14ac:dyDescent="0.3">
      <c r="A285" s="1">
        <v>34.049999999999997</v>
      </c>
      <c r="B285" s="1">
        <v>2.8296999999999999</v>
      </c>
      <c r="C285" s="3">
        <f>Tabela1[[#This Row],[Alongamento(mm)]]/$I$2</f>
        <v>5.6593999999999998E-2</v>
      </c>
      <c r="D285" s="1">
        <v>168.23</v>
      </c>
      <c r="E285" s="5">
        <f>Tabela1[[#This Row],[Força(N)]]/$I$5</f>
        <v>3856540.2778414562</v>
      </c>
      <c r="F285" s="3">
        <f>Tabela1[[#This Row],[Tensão(Pa)]]/1000000</f>
        <v>3.8565402778414564</v>
      </c>
    </row>
    <row r="286" spans="1:6" x14ac:dyDescent="0.3">
      <c r="A286" s="1">
        <v>34.1</v>
      </c>
      <c r="B286" s="1">
        <v>2.8338999999999999</v>
      </c>
      <c r="C286" s="3">
        <f>Tabela1[[#This Row],[Alongamento(mm)]]/$I$2</f>
        <v>5.6677999999999999E-2</v>
      </c>
      <c r="D286" s="1">
        <v>169.25</v>
      </c>
      <c r="E286" s="5">
        <f>Tabela1[[#This Row],[Força(N)]]/$I$5</f>
        <v>3879922.9746458214</v>
      </c>
      <c r="F286" s="3">
        <f>Tabela1[[#This Row],[Tensão(Pa)]]/1000000</f>
        <v>3.8799229746458215</v>
      </c>
    </row>
    <row r="287" spans="1:6" x14ac:dyDescent="0.3">
      <c r="A287" s="1">
        <v>34.15</v>
      </c>
      <c r="B287" s="1">
        <v>2.8380999999999998</v>
      </c>
      <c r="C287" s="3">
        <f>Tabela1[[#This Row],[Alongamento(mm)]]/$I$2</f>
        <v>5.6762E-2</v>
      </c>
      <c r="D287" s="1">
        <v>170.27</v>
      </c>
      <c r="E287" s="5">
        <f>Tabela1[[#This Row],[Força(N)]]/$I$5</f>
        <v>3903305.6714501861</v>
      </c>
      <c r="F287" s="3">
        <f>Tabela1[[#This Row],[Tensão(Pa)]]/1000000</f>
        <v>3.9033056714501861</v>
      </c>
    </row>
    <row r="288" spans="1:6" x14ac:dyDescent="0.3">
      <c r="A288" s="1">
        <v>34.200000000000003</v>
      </c>
      <c r="B288" s="1">
        <v>2.8422000000000001</v>
      </c>
      <c r="C288" s="3">
        <f>Tabela1[[#This Row],[Alongamento(mm)]]/$I$2</f>
        <v>5.6843999999999999E-2</v>
      </c>
      <c r="D288" s="1">
        <v>171.29</v>
      </c>
      <c r="E288" s="5">
        <f>Tabela1[[#This Row],[Força(N)]]/$I$5</f>
        <v>3926688.3682545507</v>
      </c>
      <c r="F288" s="3">
        <f>Tabela1[[#This Row],[Tensão(Pa)]]/1000000</f>
        <v>3.9266883682545508</v>
      </c>
    </row>
    <row r="289" spans="1:6" x14ac:dyDescent="0.3">
      <c r="A289" s="1">
        <v>34.267000000000003</v>
      </c>
      <c r="B289" s="1">
        <v>2.8477999999999999</v>
      </c>
      <c r="C289" s="3">
        <f>Tabela1[[#This Row],[Alongamento(mm)]]/$I$2</f>
        <v>5.6956E-2</v>
      </c>
      <c r="D289" s="1">
        <v>172.48</v>
      </c>
      <c r="E289" s="5">
        <f>Tabela1[[#This Row],[Força(N)]]/$I$5</f>
        <v>3953968.181192976</v>
      </c>
      <c r="F289" s="3">
        <f>Tabela1[[#This Row],[Tensão(Pa)]]/1000000</f>
        <v>3.9539681811929759</v>
      </c>
    </row>
    <row r="290" spans="1:6" x14ac:dyDescent="0.3">
      <c r="A290" s="1">
        <v>34.317</v>
      </c>
      <c r="B290" s="1">
        <v>2.8519000000000001</v>
      </c>
      <c r="C290" s="3">
        <f>Tabela1[[#This Row],[Alongamento(mm)]]/$I$2</f>
        <v>5.7038000000000005E-2</v>
      </c>
      <c r="D290" s="1">
        <v>173.5</v>
      </c>
      <c r="E290" s="5">
        <f>Tabela1[[#This Row],[Força(N)]]/$I$5</f>
        <v>3977350.8779973411</v>
      </c>
      <c r="F290" s="3">
        <f>Tabela1[[#This Row],[Tensão(Pa)]]/1000000</f>
        <v>3.977350877997341</v>
      </c>
    </row>
    <row r="291" spans="1:6" x14ac:dyDescent="0.3">
      <c r="A291" s="1">
        <v>34.366999999999997</v>
      </c>
      <c r="B291" s="1">
        <v>2.8561000000000001</v>
      </c>
      <c r="C291" s="3">
        <f>Tabela1[[#This Row],[Alongamento(mm)]]/$I$2</f>
        <v>5.7121999999999999E-2</v>
      </c>
      <c r="D291" s="1">
        <v>174.52</v>
      </c>
      <c r="E291" s="5">
        <f>Tabela1[[#This Row],[Força(N)]]/$I$5</f>
        <v>4000733.5748017062</v>
      </c>
      <c r="F291" s="3">
        <f>Tabela1[[#This Row],[Tensão(Pa)]]/1000000</f>
        <v>4.0007335748017061</v>
      </c>
    </row>
    <row r="292" spans="1:6" x14ac:dyDescent="0.3">
      <c r="A292" s="1">
        <v>34.433</v>
      </c>
      <c r="B292" s="1">
        <v>2.8616000000000001</v>
      </c>
      <c r="C292" s="3">
        <f>Tabela1[[#This Row],[Alongamento(mm)]]/$I$2</f>
        <v>5.7232000000000005E-2</v>
      </c>
      <c r="D292" s="1">
        <v>175.88</v>
      </c>
      <c r="E292" s="5">
        <f>Tabela1[[#This Row],[Força(N)]]/$I$5</f>
        <v>4031910.503874192</v>
      </c>
      <c r="F292" s="3">
        <f>Tabela1[[#This Row],[Tensão(Pa)]]/1000000</f>
        <v>4.031910503874192</v>
      </c>
    </row>
    <row r="293" spans="1:6" x14ac:dyDescent="0.3">
      <c r="A293" s="1">
        <v>34.5</v>
      </c>
      <c r="B293" s="1">
        <v>2.8671000000000002</v>
      </c>
      <c r="C293" s="3">
        <f>Tabela1[[#This Row],[Alongamento(mm)]]/$I$2</f>
        <v>5.7342000000000004E-2</v>
      </c>
      <c r="D293" s="1">
        <v>177.24</v>
      </c>
      <c r="E293" s="5">
        <f>Tabela1[[#This Row],[Força(N)]]/$I$5</f>
        <v>4063087.4329466787</v>
      </c>
      <c r="F293" s="3">
        <f>Tabela1[[#This Row],[Tensão(Pa)]]/1000000</f>
        <v>4.0630874329466788</v>
      </c>
    </row>
    <row r="294" spans="1:6" x14ac:dyDescent="0.3">
      <c r="A294" s="1">
        <v>34.567</v>
      </c>
      <c r="B294" s="1">
        <v>2.8727</v>
      </c>
      <c r="C294" s="3">
        <f>Tabela1[[#This Row],[Alongamento(mm)]]/$I$2</f>
        <v>5.7453999999999998E-2</v>
      </c>
      <c r="D294" s="1">
        <v>178.6</v>
      </c>
      <c r="E294" s="5">
        <f>Tabela1[[#This Row],[Força(N)]]/$I$5</f>
        <v>4094264.362019165</v>
      </c>
      <c r="F294" s="3">
        <f>Tabela1[[#This Row],[Tensão(Pa)]]/1000000</f>
        <v>4.0942643620191648</v>
      </c>
    </row>
    <row r="295" spans="1:6" x14ac:dyDescent="0.3">
      <c r="A295" s="1">
        <v>34.633000000000003</v>
      </c>
      <c r="B295" s="1">
        <v>2.8782999999999999</v>
      </c>
      <c r="C295" s="3">
        <f>Tabela1[[#This Row],[Alongamento(mm)]]/$I$2</f>
        <v>5.7565999999999999E-2</v>
      </c>
      <c r="D295" s="1">
        <v>179.96</v>
      </c>
      <c r="E295" s="5">
        <f>Tabela1[[#This Row],[Força(N)]]/$I$5</f>
        <v>4125441.2910916517</v>
      </c>
      <c r="F295" s="3">
        <f>Tabela1[[#This Row],[Tensão(Pa)]]/1000000</f>
        <v>4.1254412910916516</v>
      </c>
    </row>
    <row r="296" spans="1:6" x14ac:dyDescent="0.3">
      <c r="A296" s="1">
        <v>34.700000000000003</v>
      </c>
      <c r="B296" s="1">
        <v>2.8839000000000001</v>
      </c>
      <c r="C296" s="3">
        <f>Tabela1[[#This Row],[Alongamento(mm)]]/$I$2</f>
        <v>5.7678E-2</v>
      </c>
      <c r="D296" s="1">
        <v>181.33</v>
      </c>
      <c r="E296" s="5">
        <f>Tabela1[[#This Row],[Força(N)]]/$I$5</f>
        <v>4156847.4622896709</v>
      </c>
      <c r="F296" s="3">
        <f>Tabela1[[#This Row],[Tensão(Pa)]]/1000000</f>
        <v>4.1568474622896714</v>
      </c>
    </row>
    <row r="297" spans="1:6" x14ac:dyDescent="0.3">
      <c r="A297" s="1">
        <v>34.767000000000003</v>
      </c>
      <c r="B297" s="1">
        <v>2.8894000000000002</v>
      </c>
      <c r="C297" s="3">
        <f>Tabela1[[#This Row],[Alongamento(mm)]]/$I$2</f>
        <v>5.7788000000000006E-2</v>
      </c>
      <c r="D297" s="1">
        <v>182.69</v>
      </c>
      <c r="E297" s="5">
        <f>Tabela1[[#This Row],[Força(N)]]/$I$5</f>
        <v>4188024.3913621572</v>
      </c>
      <c r="F297" s="3">
        <f>Tabela1[[#This Row],[Tensão(Pa)]]/1000000</f>
        <v>4.1880243913621573</v>
      </c>
    </row>
    <row r="298" spans="1:6" x14ac:dyDescent="0.3">
      <c r="A298" s="1">
        <v>34.832999999999998</v>
      </c>
      <c r="B298" s="1">
        <v>2.8948999999999998</v>
      </c>
      <c r="C298" s="3">
        <f>Tabela1[[#This Row],[Alongamento(mm)]]/$I$2</f>
        <v>5.7897999999999998E-2</v>
      </c>
      <c r="D298" s="1">
        <v>184.22</v>
      </c>
      <c r="E298" s="5">
        <f>Tabela1[[#This Row],[Força(N)]]/$I$5</f>
        <v>4223098.4365687044</v>
      </c>
      <c r="F298" s="3">
        <f>Tabela1[[#This Row],[Tensão(Pa)]]/1000000</f>
        <v>4.2230984365687041</v>
      </c>
    </row>
    <row r="299" spans="1:6" x14ac:dyDescent="0.3">
      <c r="A299" s="1">
        <v>34.9</v>
      </c>
      <c r="B299" s="1">
        <v>2.9005999999999998</v>
      </c>
      <c r="C299" s="3">
        <f>Tabela1[[#This Row],[Alongamento(mm)]]/$I$2</f>
        <v>5.8011999999999994E-2</v>
      </c>
      <c r="D299" s="1">
        <v>185.58</v>
      </c>
      <c r="E299" s="5">
        <f>Tabela1[[#This Row],[Força(N)]]/$I$5</f>
        <v>4254275.3656411907</v>
      </c>
      <c r="F299" s="3">
        <f>Tabela1[[#This Row],[Tensão(Pa)]]/1000000</f>
        <v>4.2542753656411909</v>
      </c>
    </row>
    <row r="300" spans="1:6" x14ac:dyDescent="0.3">
      <c r="A300" s="1">
        <v>34.966999999999999</v>
      </c>
      <c r="B300" s="1">
        <v>2.9060999999999999</v>
      </c>
      <c r="C300" s="3">
        <f>Tabela1[[#This Row],[Alongamento(mm)]]/$I$2</f>
        <v>5.8122E-2</v>
      </c>
      <c r="D300" s="1">
        <v>187.11</v>
      </c>
      <c r="E300" s="5">
        <f>Tabela1[[#This Row],[Força(N)]]/$I$5</f>
        <v>4289349.4108477384</v>
      </c>
      <c r="F300" s="3">
        <f>Tabela1[[#This Row],[Tensão(Pa)]]/1000000</f>
        <v>4.2893494108477386</v>
      </c>
    </row>
    <row r="301" spans="1:6" x14ac:dyDescent="0.3">
      <c r="A301" s="1">
        <v>35.033000000000001</v>
      </c>
      <c r="B301" s="1">
        <v>2.9116</v>
      </c>
      <c r="C301" s="3">
        <f>Tabela1[[#This Row],[Alongamento(mm)]]/$I$2</f>
        <v>5.8231999999999999E-2</v>
      </c>
      <c r="D301" s="1">
        <v>188.64</v>
      </c>
      <c r="E301" s="5">
        <f>Tabela1[[#This Row],[Força(N)]]/$I$5</f>
        <v>4324423.4560542842</v>
      </c>
      <c r="F301" s="3">
        <f>Tabela1[[#This Row],[Tensão(Pa)]]/1000000</f>
        <v>4.3244234560542845</v>
      </c>
    </row>
    <row r="302" spans="1:6" x14ac:dyDescent="0.3">
      <c r="A302" s="1">
        <v>35.1</v>
      </c>
      <c r="B302" s="1">
        <v>2.9171999999999998</v>
      </c>
      <c r="C302" s="3">
        <f>Tabela1[[#This Row],[Alongamento(mm)]]/$I$2</f>
        <v>5.8343999999999993E-2</v>
      </c>
      <c r="D302" s="1">
        <v>190.17</v>
      </c>
      <c r="E302" s="5">
        <f>Tabela1[[#This Row],[Força(N)]]/$I$5</f>
        <v>4359497.501260832</v>
      </c>
      <c r="F302" s="3">
        <f>Tabela1[[#This Row],[Tensão(Pa)]]/1000000</f>
        <v>4.3594975012608321</v>
      </c>
    </row>
    <row r="303" spans="1:6" x14ac:dyDescent="0.3">
      <c r="A303" s="1">
        <v>35.167000000000002</v>
      </c>
      <c r="B303" s="1">
        <v>2.9228000000000001</v>
      </c>
      <c r="C303" s="3">
        <f>Tabela1[[#This Row],[Alongamento(mm)]]/$I$2</f>
        <v>5.8456000000000001E-2</v>
      </c>
      <c r="D303" s="1">
        <v>191.53</v>
      </c>
      <c r="E303" s="5">
        <f>Tabela1[[#This Row],[Força(N)]]/$I$5</f>
        <v>4390674.4303333182</v>
      </c>
      <c r="F303" s="3">
        <f>Tabela1[[#This Row],[Tensão(Pa)]]/1000000</f>
        <v>4.3906744303333181</v>
      </c>
    </row>
    <row r="304" spans="1:6" x14ac:dyDescent="0.3">
      <c r="A304" s="1">
        <v>35.232999999999997</v>
      </c>
      <c r="B304" s="1">
        <v>2.9283000000000001</v>
      </c>
      <c r="C304" s="3">
        <f>Tabela1[[#This Row],[Alongamento(mm)]]/$I$2</f>
        <v>5.8566E-2</v>
      </c>
      <c r="D304" s="1">
        <v>193.06</v>
      </c>
      <c r="E304" s="5">
        <f>Tabela1[[#This Row],[Força(N)]]/$I$5</f>
        <v>4425748.4755398659</v>
      </c>
      <c r="F304" s="3">
        <f>Tabela1[[#This Row],[Tensão(Pa)]]/1000000</f>
        <v>4.4257484755398657</v>
      </c>
    </row>
    <row r="305" spans="1:6" x14ac:dyDescent="0.3">
      <c r="A305" s="1">
        <v>35.299999999999997</v>
      </c>
      <c r="B305" s="1">
        <v>2.9338000000000002</v>
      </c>
      <c r="C305" s="3">
        <f>Tabela1[[#This Row],[Alongamento(mm)]]/$I$2</f>
        <v>5.8676000000000006E-2</v>
      </c>
      <c r="D305" s="1">
        <v>194.59</v>
      </c>
      <c r="E305" s="5">
        <f>Tabela1[[#This Row],[Força(N)]]/$I$5</f>
        <v>4460822.5207464127</v>
      </c>
      <c r="F305" s="3">
        <f>Tabela1[[#This Row],[Tensão(Pa)]]/1000000</f>
        <v>4.4608225207464125</v>
      </c>
    </row>
    <row r="306" spans="1:6" x14ac:dyDescent="0.3">
      <c r="A306" s="1">
        <v>35.366999999999997</v>
      </c>
      <c r="B306" s="1">
        <v>2.9394</v>
      </c>
      <c r="C306" s="3">
        <f>Tabela1[[#This Row],[Alongamento(mm)]]/$I$2</f>
        <v>5.8788E-2</v>
      </c>
      <c r="D306" s="1">
        <v>196.12</v>
      </c>
      <c r="E306" s="5">
        <f>Tabela1[[#This Row],[Força(N)]]/$I$5</f>
        <v>4495896.5659529604</v>
      </c>
      <c r="F306" s="3">
        <f>Tabela1[[#This Row],[Tensão(Pa)]]/1000000</f>
        <v>4.4958965659529602</v>
      </c>
    </row>
    <row r="307" spans="1:6" x14ac:dyDescent="0.3">
      <c r="A307" s="1">
        <v>35.433</v>
      </c>
      <c r="B307" s="1">
        <v>2.9449999999999998</v>
      </c>
      <c r="C307" s="3">
        <f>Tabela1[[#This Row],[Alongamento(mm)]]/$I$2</f>
        <v>5.8899999999999994E-2</v>
      </c>
      <c r="D307" s="1">
        <v>197.65</v>
      </c>
      <c r="E307" s="5">
        <f>Tabela1[[#This Row],[Força(N)]]/$I$5</f>
        <v>4530970.6111595072</v>
      </c>
      <c r="F307" s="3">
        <f>Tabela1[[#This Row],[Tensão(Pa)]]/1000000</f>
        <v>4.5309706111595069</v>
      </c>
    </row>
    <row r="308" spans="1:6" x14ac:dyDescent="0.3">
      <c r="A308" s="1">
        <v>35.5</v>
      </c>
      <c r="B308" s="1">
        <v>2.9504999999999999</v>
      </c>
      <c r="C308" s="3">
        <f>Tabela1[[#This Row],[Alongamento(mm)]]/$I$2</f>
        <v>5.901E-2</v>
      </c>
      <c r="D308" s="1">
        <v>199.19</v>
      </c>
      <c r="E308" s="5">
        <f>Tabela1[[#This Row],[Força(N)]]/$I$5</f>
        <v>4566273.8984915875</v>
      </c>
      <c r="F308" s="3">
        <f>Tabela1[[#This Row],[Tensão(Pa)]]/1000000</f>
        <v>4.5662738984915876</v>
      </c>
    </row>
    <row r="309" spans="1:6" x14ac:dyDescent="0.3">
      <c r="A309" s="1">
        <v>35.567</v>
      </c>
      <c r="B309" s="1">
        <v>2.9561000000000002</v>
      </c>
      <c r="C309" s="3">
        <f>Tabela1[[#This Row],[Alongamento(mm)]]/$I$2</f>
        <v>5.9122000000000001E-2</v>
      </c>
      <c r="D309" s="1">
        <v>200.89</v>
      </c>
      <c r="E309" s="5">
        <f>Tabela1[[#This Row],[Força(N)]]/$I$5</f>
        <v>4605245.0598321948</v>
      </c>
      <c r="F309" s="3">
        <f>Tabela1[[#This Row],[Tensão(Pa)]]/1000000</f>
        <v>4.6052450598321952</v>
      </c>
    </row>
    <row r="310" spans="1:6" x14ac:dyDescent="0.3">
      <c r="A310" s="1">
        <v>35.633000000000003</v>
      </c>
      <c r="B310" s="1">
        <v>2.9617</v>
      </c>
      <c r="C310" s="3">
        <f>Tabela1[[#This Row],[Alongamento(mm)]]/$I$2</f>
        <v>5.9234000000000002E-2</v>
      </c>
      <c r="D310" s="1">
        <v>202.42</v>
      </c>
      <c r="E310" s="5">
        <f>Tabela1[[#This Row],[Força(N)]]/$I$5</f>
        <v>4640319.1050387416</v>
      </c>
      <c r="F310" s="3">
        <f>Tabela1[[#This Row],[Tensão(Pa)]]/1000000</f>
        <v>4.640319105038742</v>
      </c>
    </row>
    <row r="311" spans="1:6" x14ac:dyDescent="0.3">
      <c r="A311" s="1">
        <v>35.700000000000003</v>
      </c>
      <c r="B311" s="1">
        <v>2.9672000000000001</v>
      </c>
      <c r="C311" s="3">
        <f>Tabela1[[#This Row],[Alongamento(mm)]]/$I$2</f>
        <v>5.9344000000000001E-2</v>
      </c>
      <c r="D311" s="1">
        <v>203.95</v>
      </c>
      <c r="E311" s="5">
        <f>Tabela1[[#This Row],[Força(N)]]/$I$5</f>
        <v>4675393.1502452893</v>
      </c>
      <c r="F311" s="3">
        <f>Tabela1[[#This Row],[Tensão(Pa)]]/1000000</f>
        <v>4.6753931502452897</v>
      </c>
    </row>
    <row r="312" spans="1:6" x14ac:dyDescent="0.3">
      <c r="A312" s="1">
        <v>35.75</v>
      </c>
      <c r="B312" s="1">
        <v>2.9712999999999998</v>
      </c>
      <c r="C312" s="3">
        <f>Tabela1[[#This Row],[Alongamento(mm)]]/$I$2</f>
        <v>5.9426E-2</v>
      </c>
      <c r="D312" s="1">
        <v>205.31</v>
      </c>
      <c r="E312" s="5">
        <f>Tabela1[[#This Row],[Força(N)]]/$I$5</f>
        <v>4706570.0793177756</v>
      </c>
      <c r="F312" s="3">
        <f>Tabela1[[#This Row],[Tensão(Pa)]]/1000000</f>
        <v>4.7065700793177756</v>
      </c>
    </row>
    <row r="313" spans="1:6" x14ac:dyDescent="0.3">
      <c r="A313" s="1">
        <v>35.817</v>
      </c>
      <c r="B313" s="1">
        <v>2.9769000000000001</v>
      </c>
      <c r="C313" s="3">
        <f>Tabela1[[#This Row],[Alongamento(mm)]]/$I$2</f>
        <v>5.9538000000000001E-2</v>
      </c>
      <c r="D313" s="1">
        <v>206.84</v>
      </c>
      <c r="E313" s="5">
        <f>Tabela1[[#This Row],[Força(N)]]/$I$5</f>
        <v>4741644.1245243233</v>
      </c>
      <c r="F313" s="3">
        <f>Tabela1[[#This Row],[Tensão(Pa)]]/1000000</f>
        <v>4.7416441245243233</v>
      </c>
    </row>
    <row r="314" spans="1:6" x14ac:dyDescent="0.3">
      <c r="A314" s="1">
        <v>35.883000000000003</v>
      </c>
      <c r="B314" s="1">
        <v>2.9824000000000002</v>
      </c>
      <c r="C314" s="3">
        <f>Tabela1[[#This Row],[Alongamento(mm)]]/$I$2</f>
        <v>5.9648000000000007E-2</v>
      </c>
      <c r="D314" s="1">
        <v>208.37</v>
      </c>
      <c r="E314" s="5">
        <f>Tabela1[[#This Row],[Força(N)]]/$I$5</f>
        <v>4776718.1697308701</v>
      </c>
      <c r="F314" s="3">
        <f>Tabela1[[#This Row],[Tensão(Pa)]]/1000000</f>
        <v>4.77671816973087</v>
      </c>
    </row>
    <row r="315" spans="1:6" x14ac:dyDescent="0.3">
      <c r="A315" s="1">
        <v>35.950000000000003</v>
      </c>
      <c r="B315" s="1">
        <v>2.988</v>
      </c>
      <c r="C315" s="3">
        <f>Tabela1[[#This Row],[Alongamento(mm)]]/$I$2</f>
        <v>5.9760000000000001E-2</v>
      </c>
      <c r="D315" s="1">
        <v>210.07</v>
      </c>
      <c r="E315" s="5">
        <f>Tabela1[[#This Row],[Força(N)]]/$I$5</f>
        <v>4815689.3310714783</v>
      </c>
      <c r="F315" s="3">
        <f>Tabela1[[#This Row],[Tensão(Pa)]]/1000000</f>
        <v>4.8156893310714786</v>
      </c>
    </row>
    <row r="316" spans="1:6" x14ac:dyDescent="0.3">
      <c r="A316" s="1">
        <v>36.017000000000003</v>
      </c>
      <c r="B316" s="1">
        <v>2.9937</v>
      </c>
      <c r="C316" s="3">
        <f>Tabela1[[#This Row],[Alongamento(mm)]]/$I$2</f>
        <v>5.9874000000000004E-2</v>
      </c>
      <c r="D316" s="1">
        <v>211.6</v>
      </c>
      <c r="E316" s="5">
        <f>Tabela1[[#This Row],[Força(N)]]/$I$5</f>
        <v>4850763.3762780251</v>
      </c>
      <c r="F316" s="3">
        <f>Tabela1[[#This Row],[Tensão(Pa)]]/1000000</f>
        <v>4.8507633762780253</v>
      </c>
    </row>
    <row r="317" spans="1:6" x14ac:dyDescent="0.3">
      <c r="A317" s="1">
        <v>36.067</v>
      </c>
      <c r="B317" s="1">
        <v>2.9977999999999998</v>
      </c>
      <c r="C317" s="3">
        <f>Tabela1[[#This Row],[Alongamento(mm)]]/$I$2</f>
        <v>5.9955999999999995E-2</v>
      </c>
      <c r="D317" s="1">
        <v>212.96</v>
      </c>
      <c r="E317" s="5">
        <f>Tabela1[[#This Row],[Força(N)]]/$I$5</f>
        <v>4881940.3053505113</v>
      </c>
      <c r="F317" s="3">
        <f>Tabela1[[#This Row],[Tensão(Pa)]]/1000000</f>
        <v>4.8819403053505113</v>
      </c>
    </row>
    <row r="318" spans="1:6" x14ac:dyDescent="0.3">
      <c r="A318" s="1">
        <v>36.133000000000003</v>
      </c>
      <c r="B318" s="1">
        <v>3.0032999999999999</v>
      </c>
      <c r="C318" s="3">
        <f>Tabela1[[#This Row],[Alongamento(mm)]]/$I$2</f>
        <v>6.0065999999999994E-2</v>
      </c>
      <c r="D318" s="1">
        <v>214.49</v>
      </c>
      <c r="E318" s="5">
        <f>Tabela1[[#This Row],[Força(N)]]/$I$5</f>
        <v>4917014.350557059</v>
      </c>
      <c r="F318" s="3">
        <f>Tabela1[[#This Row],[Tensão(Pa)]]/1000000</f>
        <v>4.9170143505570589</v>
      </c>
    </row>
    <row r="319" spans="1:6" x14ac:dyDescent="0.3">
      <c r="A319" s="1">
        <v>36.183</v>
      </c>
      <c r="B319" s="1">
        <v>3.0074000000000001</v>
      </c>
      <c r="C319" s="3">
        <f>Tabela1[[#This Row],[Alongamento(mm)]]/$I$2</f>
        <v>6.0148E-2</v>
      </c>
      <c r="D319" s="1">
        <v>215.86</v>
      </c>
      <c r="E319" s="5">
        <f>Tabela1[[#This Row],[Força(N)]]/$I$5</f>
        <v>4948420.5217550788</v>
      </c>
      <c r="F319" s="3">
        <f>Tabela1[[#This Row],[Tensão(Pa)]]/1000000</f>
        <v>4.9484205217550787</v>
      </c>
    </row>
    <row r="320" spans="1:6" x14ac:dyDescent="0.3">
      <c r="A320" s="1">
        <v>36.25</v>
      </c>
      <c r="B320" s="1">
        <v>3.0129999999999999</v>
      </c>
      <c r="C320" s="3">
        <f>Tabela1[[#This Row],[Alongamento(mm)]]/$I$2</f>
        <v>6.0260000000000001E-2</v>
      </c>
      <c r="D320" s="1">
        <v>217.39</v>
      </c>
      <c r="E320" s="5">
        <f>Tabela1[[#This Row],[Força(N)]]/$I$5</f>
        <v>4983494.5669616247</v>
      </c>
      <c r="F320" s="3">
        <f>Tabela1[[#This Row],[Tensão(Pa)]]/1000000</f>
        <v>4.9834945669616246</v>
      </c>
    </row>
    <row r="321" spans="1:6" x14ac:dyDescent="0.3">
      <c r="A321" s="1">
        <v>36.299999999999997</v>
      </c>
      <c r="B321" s="1">
        <v>3.0171999999999999</v>
      </c>
      <c r="C321" s="3">
        <f>Tabela1[[#This Row],[Alongamento(mm)]]/$I$2</f>
        <v>6.0343999999999995E-2</v>
      </c>
      <c r="D321" s="1">
        <v>218.75</v>
      </c>
      <c r="E321" s="5">
        <f>Tabela1[[#This Row],[Força(N)]]/$I$5</f>
        <v>5014671.4960341118</v>
      </c>
      <c r="F321" s="3">
        <f>Tabela1[[#This Row],[Tensão(Pa)]]/1000000</f>
        <v>5.0146714960341114</v>
      </c>
    </row>
    <row r="322" spans="1:6" x14ac:dyDescent="0.3">
      <c r="A322" s="1">
        <v>36.383000000000003</v>
      </c>
      <c r="B322" s="1">
        <v>3.0242</v>
      </c>
      <c r="C322" s="3">
        <f>Tabela1[[#This Row],[Alongamento(mm)]]/$I$2</f>
        <v>6.0484000000000003E-2</v>
      </c>
      <c r="D322" s="1">
        <v>220.79</v>
      </c>
      <c r="E322" s="5">
        <f>Tabela1[[#This Row],[Força(N)]]/$I$5</f>
        <v>5061436.8896428412</v>
      </c>
      <c r="F322" s="3">
        <f>Tabela1[[#This Row],[Tensão(Pa)]]/1000000</f>
        <v>5.0614368896428408</v>
      </c>
    </row>
    <row r="323" spans="1:6" x14ac:dyDescent="0.3">
      <c r="A323" s="1">
        <v>36.466999999999999</v>
      </c>
      <c r="B323" s="1">
        <v>3.0312000000000001</v>
      </c>
      <c r="C323" s="3">
        <f>Tabela1[[#This Row],[Alongamento(mm)]]/$I$2</f>
        <v>6.0624000000000004E-2</v>
      </c>
      <c r="D323" s="1">
        <v>222.66</v>
      </c>
      <c r="E323" s="5">
        <f>Tabela1[[#This Row],[Força(N)]]/$I$5</f>
        <v>5104305.16711751</v>
      </c>
      <c r="F323" s="3">
        <f>Tabela1[[#This Row],[Tensão(Pa)]]/1000000</f>
        <v>5.1043051671175101</v>
      </c>
    </row>
    <row r="324" spans="1:6" x14ac:dyDescent="0.3">
      <c r="A324" s="1">
        <v>36.533000000000001</v>
      </c>
      <c r="B324" s="1">
        <v>3.0367999999999999</v>
      </c>
      <c r="C324" s="3">
        <f>Tabela1[[#This Row],[Alongamento(mm)]]/$I$2</f>
        <v>6.0735999999999998E-2</v>
      </c>
      <c r="D324" s="1">
        <v>224.36</v>
      </c>
      <c r="E324" s="5">
        <f>Tabela1[[#This Row],[Força(N)]]/$I$5</f>
        <v>5143276.3284581183</v>
      </c>
      <c r="F324" s="3">
        <f>Tabela1[[#This Row],[Tensão(Pa)]]/1000000</f>
        <v>5.1432763284581187</v>
      </c>
    </row>
    <row r="325" spans="1:6" x14ac:dyDescent="0.3">
      <c r="A325" s="1">
        <v>36.6</v>
      </c>
      <c r="B325" s="1">
        <v>3.0423</v>
      </c>
      <c r="C325" s="3">
        <f>Tabela1[[#This Row],[Alongamento(mm)]]/$I$2</f>
        <v>6.0845999999999997E-2</v>
      </c>
      <c r="D325" s="1">
        <v>226.06</v>
      </c>
      <c r="E325" s="5">
        <f>Tabela1[[#This Row],[Força(N)]]/$I$5</f>
        <v>5182247.4897987256</v>
      </c>
      <c r="F325" s="3">
        <f>Tabela1[[#This Row],[Tensão(Pa)]]/1000000</f>
        <v>5.1822474897987254</v>
      </c>
    </row>
    <row r="326" spans="1:6" x14ac:dyDescent="0.3">
      <c r="A326" s="1">
        <v>36.683</v>
      </c>
      <c r="B326" s="1">
        <v>3.0491000000000001</v>
      </c>
      <c r="C326" s="3">
        <f>Tabela1[[#This Row],[Alongamento(mm)]]/$I$2</f>
        <v>6.0982000000000001E-2</v>
      </c>
      <c r="D326" s="1">
        <v>228.1</v>
      </c>
      <c r="E326" s="5">
        <f>Tabela1[[#This Row],[Força(N)]]/$I$5</f>
        <v>5229012.8834074549</v>
      </c>
      <c r="F326" s="3">
        <f>Tabela1[[#This Row],[Tensão(Pa)]]/1000000</f>
        <v>5.2290128834074547</v>
      </c>
    </row>
    <row r="327" spans="1:6" x14ac:dyDescent="0.3">
      <c r="A327" s="1">
        <v>36.767000000000003</v>
      </c>
      <c r="B327" s="1">
        <v>3.0560999999999998</v>
      </c>
      <c r="C327" s="3">
        <f>Tabela1[[#This Row],[Alongamento(mm)]]/$I$2</f>
        <v>6.1121999999999996E-2</v>
      </c>
      <c r="D327" s="1">
        <v>230.14</v>
      </c>
      <c r="E327" s="5">
        <f>Tabela1[[#This Row],[Força(N)]]/$I$5</f>
        <v>5275778.2770161843</v>
      </c>
      <c r="F327" s="3">
        <f>Tabela1[[#This Row],[Tensão(Pa)]]/1000000</f>
        <v>5.2757782770161841</v>
      </c>
    </row>
    <row r="328" spans="1:6" x14ac:dyDescent="0.3">
      <c r="A328" s="1">
        <v>36.832999999999998</v>
      </c>
      <c r="B328" s="1">
        <v>3.0617000000000001</v>
      </c>
      <c r="C328" s="3">
        <f>Tabela1[[#This Row],[Alongamento(mm)]]/$I$2</f>
        <v>6.1234000000000004E-2</v>
      </c>
      <c r="D328" s="1">
        <v>231.84</v>
      </c>
      <c r="E328" s="5">
        <f>Tabela1[[#This Row],[Força(N)]]/$I$5</f>
        <v>5314749.4383567926</v>
      </c>
      <c r="F328" s="3">
        <f>Tabela1[[#This Row],[Tensão(Pa)]]/1000000</f>
        <v>5.3147494383567926</v>
      </c>
    </row>
    <row r="329" spans="1:6" x14ac:dyDescent="0.3">
      <c r="A329" s="1">
        <v>36.9</v>
      </c>
      <c r="B329" s="1">
        <v>3.0672000000000001</v>
      </c>
      <c r="C329" s="3">
        <f>Tabela1[[#This Row],[Alongamento(mm)]]/$I$2</f>
        <v>6.1344000000000003E-2</v>
      </c>
      <c r="D329" s="1">
        <v>233.55</v>
      </c>
      <c r="E329" s="5">
        <f>Tabela1[[#This Row],[Força(N)]]/$I$5</f>
        <v>5353949.8418229343</v>
      </c>
      <c r="F329" s="3">
        <f>Tabela1[[#This Row],[Tensão(Pa)]]/1000000</f>
        <v>5.3539498418229341</v>
      </c>
    </row>
    <row r="330" spans="1:6" x14ac:dyDescent="0.3">
      <c r="A330" s="1">
        <v>36.966999999999999</v>
      </c>
      <c r="B330" s="1">
        <v>3.0728</v>
      </c>
      <c r="C330" s="3">
        <f>Tabela1[[#This Row],[Alongamento(mm)]]/$I$2</f>
        <v>6.1455999999999997E-2</v>
      </c>
      <c r="D330" s="1">
        <v>235.25</v>
      </c>
      <c r="E330" s="5">
        <f>Tabela1[[#This Row],[Força(N)]]/$I$5</f>
        <v>5392921.0031635417</v>
      </c>
      <c r="F330" s="3">
        <f>Tabela1[[#This Row],[Tensão(Pa)]]/1000000</f>
        <v>5.3929210031635417</v>
      </c>
    </row>
    <row r="331" spans="1:6" x14ac:dyDescent="0.3">
      <c r="A331" s="1">
        <v>37.033000000000001</v>
      </c>
      <c r="B331" s="1">
        <v>3.0783999999999998</v>
      </c>
      <c r="C331" s="3">
        <f>Tabela1[[#This Row],[Alongamento(mm)]]/$I$2</f>
        <v>6.1567999999999998E-2</v>
      </c>
      <c r="D331" s="1">
        <v>236.95</v>
      </c>
      <c r="E331" s="5">
        <f>Tabela1[[#This Row],[Força(N)]]/$I$5</f>
        <v>5431892.164504149</v>
      </c>
      <c r="F331" s="3">
        <f>Tabela1[[#This Row],[Tensão(Pa)]]/1000000</f>
        <v>5.4318921645041494</v>
      </c>
    </row>
    <row r="332" spans="1:6" x14ac:dyDescent="0.3">
      <c r="A332" s="1">
        <v>37.1</v>
      </c>
      <c r="B332" s="1">
        <v>3.0838000000000001</v>
      </c>
      <c r="C332" s="3">
        <f>Tabela1[[#This Row],[Alongamento(mm)]]/$I$2</f>
        <v>6.1676000000000002E-2</v>
      </c>
      <c r="D332" s="1">
        <v>238.65</v>
      </c>
      <c r="E332" s="5">
        <f>Tabela1[[#This Row],[Força(N)]]/$I$5</f>
        <v>5470863.3258447582</v>
      </c>
      <c r="F332" s="3">
        <f>Tabela1[[#This Row],[Tensão(Pa)]]/1000000</f>
        <v>5.4708633258447579</v>
      </c>
    </row>
    <row r="333" spans="1:6" x14ac:dyDescent="0.3">
      <c r="A333" s="1">
        <v>37.167000000000002</v>
      </c>
      <c r="B333" s="1">
        <v>3.0893999999999999</v>
      </c>
      <c r="C333" s="3">
        <f>Tabela1[[#This Row],[Alongamento(mm)]]/$I$2</f>
        <v>6.1787999999999996E-2</v>
      </c>
      <c r="D333" s="1">
        <v>240.35</v>
      </c>
      <c r="E333" s="5">
        <f>Tabela1[[#This Row],[Força(N)]]/$I$5</f>
        <v>5509834.4871853655</v>
      </c>
      <c r="F333" s="3">
        <f>Tabela1[[#This Row],[Tensão(Pa)]]/1000000</f>
        <v>5.5098344871853655</v>
      </c>
    </row>
    <row r="334" spans="1:6" x14ac:dyDescent="0.3">
      <c r="A334" s="1">
        <v>37.232999999999997</v>
      </c>
      <c r="B334" s="1">
        <v>3.0949</v>
      </c>
      <c r="C334" s="3">
        <f>Tabela1[[#This Row],[Alongamento(mm)]]/$I$2</f>
        <v>6.1898000000000002E-2</v>
      </c>
      <c r="D334" s="1">
        <v>242.05</v>
      </c>
      <c r="E334" s="5">
        <f>Tabela1[[#This Row],[Força(N)]]/$I$5</f>
        <v>5548805.6485259738</v>
      </c>
      <c r="F334" s="3">
        <f>Tabela1[[#This Row],[Tensão(Pa)]]/1000000</f>
        <v>5.548805648525974</v>
      </c>
    </row>
    <row r="335" spans="1:6" x14ac:dyDescent="0.3">
      <c r="A335" s="1">
        <v>37.299999999999997</v>
      </c>
      <c r="B335" s="1">
        <v>3.1004999999999998</v>
      </c>
      <c r="C335" s="3">
        <f>Tabela1[[#This Row],[Alongamento(mm)]]/$I$2</f>
        <v>6.2009999999999996E-2</v>
      </c>
      <c r="D335" s="1">
        <v>243.75</v>
      </c>
      <c r="E335" s="5">
        <f>Tabela1[[#This Row],[Força(N)]]/$I$5</f>
        <v>5587776.8098665811</v>
      </c>
      <c r="F335" s="3">
        <f>Tabela1[[#This Row],[Tensão(Pa)]]/1000000</f>
        <v>5.5877768098665808</v>
      </c>
    </row>
    <row r="336" spans="1:6" x14ac:dyDescent="0.3">
      <c r="A336" s="1">
        <v>37.366999999999997</v>
      </c>
      <c r="B336" s="1">
        <v>3.1059999999999999</v>
      </c>
      <c r="C336" s="3">
        <f>Tabela1[[#This Row],[Alongamento(mm)]]/$I$2</f>
        <v>6.2119999999999995E-2</v>
      </c>
      <c r="D336" s="1">
        <v>245.45</v>
      </c>
      <c r="E336" s="5">
        <f>Tabela1[[#This Row],[Força(N)]]/$I$5</f>
        <v>5626747.9712071894</v>
      </c>
      <c r="F336" s="3">
        <f>Tabela1[[#This Row],[Tensão(Pa)]]/1000000</f>
        <v>5.6267479712071893</v>
      </c>
    </row>
    <row r="337" spans="1:6" x14ac:dyDescent="0.3">
      <c r="A337" s="1">
        <v>37.433</v>
      </c>
      <c r="B337" s="1">
        <v>3.1116999999999999</v>
      </c>
      <c r="C337" s="3">
        <f>Tabela1[[#This Row],[Alongamento(mm)]]/$I$2</f>
        <v>6.2233999999999998E-2</v>
      </c>
      <c r="D337" s="1">
        <v>247.15</v>
      </c>
      <c r="E337" s="5">
        <f>Tabela1[[#This Row],[Força(N)]]/$I$5</f>
        <v>5665719.1325477976</v>
      </c>
      <c r="F337" s="3">
        <f>Tabela1[[#This Row],[Tensão(Pa)]]/1000000</f>
        <v>5.6657191325477978</v>
      </c>
    </row>
    <row r="338" spans="1:6" x14ac:dyDescent="0.3">
      <c r="A338" s="1">
        <v>37.5</v>
      </c>
      <c r="B338" s="1">
        <v>3.1172</v>
      </c>
      <c r="C338" s="3">
        <f>Tabela1[[#This Row],[Alongamento(mm)]]/$I$2</f>
        <v>6.2343999999999997E-2</v>
      </c>
      <c r="D338" s="1">
        <v>248.85</v>
      </c>
      <c r="E338" s="5">
        <f>Tabela1[[#This Row],[Força(N)]]/$I$5</f>
        <v>5704690.293888405</v>
      </c>
      <c r="F338" s="3">
        <f>Tabela1[[#This Row],[Tensão(Pa)]]/1000000</f>
        <v>5.7046902938884045</v>
      </c>
    </row>
    <row r="339" spans="1:6" x14ac:dyDescent="0.3">
      <c r="A339" s="1">
        <v>37.567</v>
      </c>
      <c r="B339" s="1">
        <v>3.1227</v>
      </c>
      <c r="C339" s="3">
        <f>Tabela1[[#This Row],[Alongamento(mm)]]/$I$2</f>
        <v>6.2454000000000003E-2</v>
      </c>
      <c r="D339" s="1">
        <v>250.73</v>
      </c>
      <c r="E339" s="5">
        <f>Tabela1[[#This Row],[Força(N)]]/$I$5</f>
        <v>5747787.8134886073</v>
      </c>
      <c r="F339" s="3">
        <f>Tabela1[[#This Row],[Tensão(Pa)]]/1000000</f>
        <v>5.7477878134886069</v>
      </c>
    </row>
    <row r="340" spans="1:6" x14ac:dyDescent="0.3">
      <c r="A340" s="1">
        <v>37.633000000000003</v>
      </c>
      <c r="B340" s="1">
        <v>3.1282999999999999</v>
      </c>
      <c r="C340" s="3">
        <f>Tabela1[[#This Row],[Alongamento(mm)]]/$I$2</f>
        <v>6.2565999999999997E-2</v>
      </c>
      <c r="D340" s="1">
        <v>252.43</v>
      </c>
      <c r="E340" s="5">
        <f>Tabela1[[#This Row],[Força(N)]]/$I$5</f>
        <v>5786758.9748292156</v>
      </c>
      <c r="F340" s="3">
        <f>Tabela1[[#This Row],[Tensão(Pa)]]/1000000</f>
        <v>5.7867589748292154</v>
      </c>
    </row>
    <row r="341" spans="1:6" x14ac:dyDescent="0.3">
      <c r="A341" s="1">
        <v>37.700000000000003</v>
      </c>
      <c r="B341" s="1">
        <v>3.1339000000000001</v>
      </c>
      <c r="C341" s="3">
        <f>Tabela1[[#This Row],[Alongamento(mm)]]/$I$2</f>
        <v>6.2677999999999998E-2</v>
      </c>
      <c r="D341" s="1">
        <v>254.13</v>
      </c>
      <c r="E341" s="5">
        <f>Tabela1[[#This Row],[Força(N)]]/$I$5</f>
        <v>5825730.1361698229</v>
      </c>
      <c r="F341" s="3">
        <f>Tabela1[[#This Row],[Tensão(Pa)]]/1000000</f>
        <v>5.825730136169823</v>
      </c>
    </row>
    <row r="342" spans="1:6" x14ac:dyDescent="0.3">
      <c r="A342" s="1">
        <v>37.767000000000003</v>
      </c>
      <c r="B342" s="1">
        <v>3.1395</v>
      </c>
      <c r="C342" s="3">
        <f>Tabela1[[#This Row],[Alongamento(mm)]]/$I$2</f>
        <v>6.2789999999999999E-2</v>
      </c>
      <c r="D342" s="1">
        <v>255.83</v>
      </c>
      <c r="E342" s="5">
        <f>Tabela1[[#This Row],[Força(N)]]/$I$5</f>
        <v>5864701.2975104311</v>
      </c>
      <c r="F342" s="3">
        <f>Tabela1[[#This Row],[Tensão(Pa)]]/1000000</f>
        <v>5.8647012975104316</v>
      </c>
    </row>
    <row r="343" spans="1:6" x14ac:dyDescent="0.3">
      <c r="A343" s="1">
        <v>37.832999999999998</v>
      </c>
      <c r="B343" s="1">
        <v>3.145</v>
      </c>
      <c r="C343" s="3">
        <f>Tabela1[[#This Row],[Alongamento(mm)]]/$I$2</f>
        <v>6.2899999999999998E-2</v>
      </c>
      <c r="D343" s="1">
        <v>257.52999999999997</v>
      </c>
      <c r="E343" s="5">
        <f>Tabela1[[#This Row],[Força(N)]]/$I$5</f>
        <v>5903672.4588510385</v>
      </c>
      <c r="F343" s="3">
        <f>Tabela1[[#This Row],[Tensão(Pa)]]/1000000</f>
        <v>5.9036724588510383</v>
      </c>
    </row>
    <row r="344" spans="1:6" x14ac:dyDescent="0.3">
      <c r="A344" s="1">
        <v>37.9</v>
      </c>
      <c r="B344" s="1">
        <v>3.1505999999999998</v>
      </c>
      <c r="C344" s="3">
        <f>Tabela1[[#This Row],[Alongamento(mm)]]/$I$2</f>
        <v>6.3011999999999999E-2</v>
      </c>
      <c r="D344" s="1">
        <v>259.23</v>
      </c>
      <c r="E344" s="5">
        <f>Tabela1[[#This Row],[Força(N)]]/$I$5</f>
        <v>5942643.6201916477</v>
      </c>
      <c r="F344" s="3">
        <f>Tabela1[[#This Row],[Tensão(Pa)]]/1000000</f>
        <v>5.9426436201916477</v>
      </c>
    </row>
    <row r="345" spans="1:6" x14ac:dyDescent="0.3">
      <c r="A345" s="1">
        <v>37.966999999999999</v>
      </c>
      <c r="B345" s="1">
        <v>3.1562000000000001</v>
      </c>
      <c r="C345" s="3">
        <f>Tabela1[[#This Row],[Alongamento(mm)]]/$I$2</f>
        <v>6.3124E-2</v>
      </c>
      <c r="D345" s="1">
        <v>260.93</v>
      </c>
      <c r="E345" s="5">
        <f>Tabela1[[#This Row],[Força(N)]]/$I$5</f>
        <v>5981614.781532255</v>
      </c>
      <c r="F345" s="3">
        <f>Tabela1[[#This Row],[Tensão(Pa)]]/1000000</f>
        <v>5.9816147815322553</v>
      </c>
    </row>
    <row r="346" spans="1:6" x14ac:dyDescent="0.3">
      <c r="A346" s="1">
        <v>38.033000000000001</v>
      </c>
      <c r="B346" s="1">
        <v>3.1616</v>
      </c>
      <c r="C346" s="3">
        <f>Tabela1[[#This Row],[Alongamento(mm)]]/$I$2</f>
        <v>6.3231999999999997E-2</v>
      </c>
      <c r="D346" s="1">
        <v>262.63</v>
      </c>
      <c r="E346" s="5">
        <f>Tabela1[[#This Row],[Força(N)]]/$I$5</f>
        <v>6020585.9428728623</v>
      </c>
      <c r="F346" s="3">
        <f>Tabela1[[#This Row],[Tensão(Pa)]]/1000000</f>
        <v>6.0205859428728621</v>
      </c>
    </row>
    <row r="347" spans="1:6" x14ac:dyDescent="0.3">
      <c r="A347" s="1">
        <v>38.116999999999997</v>
      </c>
      <c r="B347" s="1">
        <v>3.1684999999999999</v>
      </c>
      <c r="C347" s="3">
        <f>Tabela1[[#This Row],[Alongamento(mm)]]/$I$2</f>
        <v>6.3369999999999996E-2</v>
      </c>
      <c r="D347" s="1">
        <v>264.83999999999997</v>
      </c>
      <c r="E347" s="5">
        <f>Tabela1[[#This Row],[Força(N)]]/$I$5</f>
        <v>6071248.4526156522</v>
      </c>
      <c r="F347" s="3">
        <f>Tabela1[[#This Row],[Tensão(Pa)]]/1000000</f>
        <v>6.0712484526156523</v>
      </c>
    </row>
    <row r="348" spans="1:6" x14ac:dyDescent="0.3">
      <c r="A348" s="1">
        <v>38.200000000000003</v>
      </c>
      <c r="B348" s="1">
        <v>3.1755</v>
      </c>
      <c r="C348" s="3">
        <f>Tabela1[[#This Row],[Alongamento(mm)]]/$I$2</f>
        <v>6.3509999999999997E-2</v>
      </c>
      <c r="D348" s="1">
        <v>267.06</v>
      </c>
      <c r="E348" s="5">
        <f>Tabela1[[#This Row],[Força(N)]]/$I$5</f>
        <v>6122140.2044839766</v>
      </c>
      <c r="F348" s="3">
        <f>Tabela1[[#This Row],[Tensão(Pa)]]/1000000</f>
        <v>6.1221402044839763</v>
      </c>
    </row>
    <row r="349" spans="1:6" x14ac:dyDescent="0.3">
      <c r="A349" s="1">
        <v>38.283000000000001</v>
      </c>
      <c r="B349" s="1">
        <v>3.1825000000000001</v>
      </c>
      <c r="C349" s="3">
        <f>Tabela1[[#This Row],[Alongamento(mm)]]/$I$2</f>
        <v>6.3649999999999998E-2</v>
      </c>
      <c r="D349" s="1">
        <v>269.27</v>
      </c>
      <c r="E349" s="5">
        <f>Tabela1[[#This Row],[Força(N)]]/$I$5</f>
        <v>6172802.7142267665</v>
      </c>
      <c r="F349" s="3">
        <f>Tabela1[[#This Row],[Tensão(Pa)]]/1000000</f>
        <v>6.1728027142267665</v>
      </c>
    </row>
    <row r="350" spans="1:6" x14ac:dyDescent="0.3">
      <c r="A350" s="1">
        <v>38.366999999999997</v>
      </c>
      <c r="B350" s="1">
        <v>3.1894</v>
      </c>
      <c r="C350" s="3">
        <f>Tabela1[[#This Row],[Alongamento(mm)]]/$I$2</f>
        <v>6.3787999999999997E-2</v>
      </c>
      <c r="D350" s="1">
        <v>271.64999999999998</v>
      </c>
      <c r="E350" s="5">
        <f>Tabela1[[#This Row],[Força(N)]]/$I$5</f>
        <v>6227362.3401036169</v>
      </c>
      <c r="F350" s="3">
        <f>Tabela1[[#This Row],[Tensão(Pa)]]/1000000</f>
        <v>6.2273623401036167</v>
      </c>
    </row>
    <row r="351" spans="1:6" x14ac:dyDescent="0.3">
      <c r="A351" s="1">
        <v>38.450000000000003</v>
      </c>
      <c r="B351" s="1">
        <v>3.1964000000000001</v>
      </c>
      <c r="C351" s="3">
        <f>Tabela1[[#This Row],[Alongamento(mm)]]/$I$2</f>
        <v>6.3927999999999999E-2</v>
      </c>
      <c r="D351" s="1">
        <v>273.86</v>
      </c>
      <c r="E351" s="5">
        <f>Tabela1[[#This Row],[Força(N)]]/$I$5</f>
        <v>6278024.8498464087</v>
      </c>
      <c r="F351" s="3">
        <f>Tabela1[[#This Row],[Tensão(Pa)]]/1000000</f>
        <v>6.2780248498464086</v>
      </c>
    </row>
    <row r="352" spans="1:6" x14ac:dyDescent="0.3">
      <c r="A352" s="1">
        <v>38.533000000000001</v>
      </c>
      <c r="B352" s="1">
        <v>3.2033</v>
      </c>
      <c r="C352" s="3">
        <f>Tabela1[[#This Row],[Alongamento(mm)]]/$I$2</f>
        <v>6.4065999999999998E-2</v>
      </c>
      <c r="D352" s="1">
        <v>276.07</v>
      </c>
      <c r="E352" s="5">
        <f>Tabela1[[#This Row],[Força(N)]]/$I$5</f>
        <v>6328687.3595891986</v>
      </c>
      <c r="F352" s="3">
        <f>Tabela1[[#This Row],[Tensão(Pa)]]/1000000</f>
        <v>6.3286873595891988</v>
      </c>
    </row>
    <row r="353" spans="1:6" x14ac:dyDescent="0.3">
      <c r="A353" s="1">
        <v>38.616999999999997</v>
      </c>
      <c r="B353" s="1">
        <v>3.2103000000000002</v>
      </c>
      <c r="C353" s="3">
        <f>Tabela1[[#This Row],[Alongamento(mm)]]/$I$2</f>
        <v>6.4205999999999999E-2</v>
      </c>
      <c r="D353" s="1">
        <v>278.45</v>
      </c>
      <c r="E353" s="5">
        <f>Tabela1[[#This Row],[Força(N)]]/$I$5</f>
        <v>6383246.9854660491</v>
      </c>
      <c r="F353" s="3">
        <f>Tabela1[[#This Row],[Tensão(Pa)]]/1000000</f>
        <v>6.383246985466049</v>
      </c>
    </row>
    <row r="354" spans="1:6" x14ac:dyDescent="0.3">
      <c r="A354" s="1">
        <v>38.700000000000003</v>
      </c>
      <c r="B354" s="1">
        <v>3.2172999999999998</v>
      </c>
      <c r="C354" s="3">
        <f>Tabela1[[#This Row],[Alongamento(mm)]]/$I$2</f>
        <v>6.4346E-2</v>
      </c>
      <c r="D354" s="1">
        <v>280.66000000000003</v>
      </c>
      <c r="E354" s="5">
        <f>Tabela1[[#This Row],[Força(N)]]/$I$5</f>
        <v>6433909.4952088408</v>
      </c>
      <c r="F354" s="3">
        <f>Tabela1[[#This Row],[Tensão(Pa)]]/1000000</f>
        <v>6.4339094952088409</v>
      </c>
    </row>
    <row r="355" spans="1:6" x14ac:dyDescent="0.3">
      <c r="A355" s="1">
        <v>38.783000000000001</v>
      </c>
      <c r="B355" s="1">
        <v>3.2242000000000002</v>
      </c>
      <c r="C355" s="3">
        <f>Tabela1[[#This Row],[Alongamento(mm)]]/$I$2</f>
        <v>6.4484E-2</v>
      </c>
      <c r="D355" s="1">
        <v>283.04000000000002</v>
      </c>
      <c r="E355" s="5">
        <f>Tabela1[[#This Row],[Força(N)]]/$I$5</f>
        <v>6488469.1210856913</v>
      </c>
      <c r="F355" s="3">
        <f>Tabela1[[#This Row],[Tensão(Pa)]]/1000000</f>
        <v>6.4884691210856911</v>
      </c>
    </row>
    <row r="356" spans="1:6" x14ac:dyDescent="0.3">
      <c r="A356" s="1">
        <v>38.866999999999997</v>
      </c>
      <c r="B356" s="1">
        <v>3.2311999999999999</v>
      </c>
      <c r="C356" s="3">
        <f>Tabela1[[#This Row],[Alongamento(mm)]]/$I$2</f>
        <v>6.4624000000000001E-2</v>
      </c>
      <c r="D356" s="1">
        <v>285.26</v>
      </c>
      <c r="E356" s="5">
        <f>Tabela1[[#This Row],[Força(N)]]/$I$5</f>
        <v>6539360.8729540147</v>
      </c>
      <c r="F356" s="3">
        <f>Tabela1[[#This Row],[Tensão(Pa)]]/1000000</f>
        <v>6.5393608729540142</v>
      </c>
    </row>
    <row r="357" spans="1:6" x14ac:dyDescent="0.3">
      <c r="A357" s="1">
        <v>38.950000000000003</v>
      </c>
      <c r="B357" s="1">
        <v>3.238</v>
      </c>
      <c r="C357" s="3">
        <f>Tabela1[[#This Row],[Alongamento(mm)]]/$I$2</f>
        <v>6.4759999999999998E-2</v>
      </c>
      <c r="D357" s="1">
        <v>287.64</v>
      </c>
      <c r="E357" s="5">
        <f>Tabela1[[#This Row],[Força(N)]]/$I$5</f>
        <v>6593920.4988308651</v>
      </c>
      <c r="F357" s="3">
        <f>Tabela1[[#This Row],[Tensão(Pa)]]/1000000</f>
        <v>6.5939204988308653</v>
      </c>
    </row>
    <row r="358" spans="1:6" x14ac:dyDescent="0.3">
      <c r="A358" s="1">
        <v>39.033000000000001</v>
      </c>
      <c r="B358" s="1">
        <v>3.2448999999999999</v>
      </c>
      <c r="C358" s="3">
        <f>Tabela1[[#This Row],[Alongamento(mm)]]/$I$2</f>
        <v>6.4897999999999997E-2</v>
      </c>
      <c r="D358" s="1">
        <v>289.85000000000002</v>
      </c>
      <c r="E358" s="5">
        <f>Tabela1[[#This Row],[Força(N)]]/$I$5</f>
        <v>6644583.0085736569</v>
      </c>
      <c r="F358" s="3">
        <f>Tabela1[[#This Row],[Tensão(Pa)]]/1000000</f>
        <v>6.6445830085736572</v>
      </c>
    </row>
    <row r="359" spans="1:6" x14ac:dyDescent="0.3">
      <c r="A359" s="1">
        <v>39.116999999999997</v>
      </c>
      <c r="B359" s="1">
        <v>3.2519</v>
      </c>
      <c r="C359" s="3">
        <f>Tabela1[[#This Row],[Alongamento(mm)]]/$I$2</f>
        <v>6.5037999999999999E-2</v>
      </c>
      <c r="D359" s="1">
        <v>292.23</v>
      </c>
      <c r="E359" s="5">
        <f>Tabela1[[#This Row],[Força(N)]]/$I$5</f>
        <v>6699142.6344505074</v>
      </c>
      <c r="F359" s="3">
        <f>Tabela1[[#This Row],[Tensão(Pa)]]/1000000</f>
        <v>6.6991426344505074</v>
      </c>
    </row>
    <row r="360" spans="1:6" x14ac:dyDescent="0.3">
      <c r="A360" s="1">
        <v>39.200000000000003</v>
      </c>
      <c r="B360" s="1">
        <v>3.2589000000000001</v>
      </c>
      <c r="C360" s="3">
        <f>Tabela1[[#This Row],[Alongamento(mm)]]/$I$2</f>
        <v>6.5178E-2</v>
      </c>
      <c r="D360" s="1">
        <v>294.61</v>
      </c>
      <c r="E360" s="5">
        <f>Tabela1[[#This Row],[Força(N)]]/$I$5</f>
        <v>6753702.2603273587</v>
      </c>
      <c r="F360" s="3">
        <f>Tabela1[[#This Row],[Tensão(Pa)]]/1000000</f>
        <v>6.7537022603273584</v>
      </c>
    </row>
    <row r="361" spans="1:6" x14ac:dyDescent="0.3">
      <c r="A361" s="1">
        <v>39.283000000000001</v>
      </c>
      <c r="B361" s="1">
        <v>3.2658</v>
      </c>
      <c r="C361" s="3">
        <f>Tabela1[[#This Row],[Alongamento(mm)]]/$I$2</f>
        <v>6.5315999999999999E-2</v>
      </c>
      <c r="D361" s="1">
        <v>296.99</v>
      </c>
      <c r="E361" s="5">
        <f>Tabela1[[#This Row],[Força(N)]]/$I$5</f>
        <v>6808261.8862042092</v>
      </c>
      <c r="F361" s="3">
        <f>Tabela1[[#This Row],[Tensão(Pa)]]/1000000</f>
        <v>6.8082618862042095</v>
      </c>
    </row>
    <row r="362" spans="1:6" x14ac:dyDescent="0.3">
      <c r="A362" s="1">
        <v>39.35</v>
      </c>
      <c r="B362" s="1">
        <v>3.2713999999999999</v>
      </c>
      <c r="C362" s="3">
        <f>Tabela1[[#This Row],[Alongamento(mm)]]/$I$2</f>
        <v>6.5428E-2</v>
      </c>
      <c r="D362" s="1">
        <v>299.02999999999997</v>
      </c>
      <c r="E362" s="5">
        <f>Tabela1[[#This Row],[Força(N)]]/$I$5</f>
        <v>6855027.2798129385</v>
      </c>
      <c r="F362" s="3">
        <f>Tabela1[[#This Row],[Tensão(Pa)]]/1000000</f>
        <v>6.8550272798129388</v>
      </c>
    </row>
    <row r="363" spans="1:6" x14ac:dyDescent="0.3">
      <c r="A363" s="1">
        <v>39.433</v>
      </c>
      <c r="B363" s="1">
        <v>3.2783000000000002</v>
      </c>
      <c r="C363" s="3">
        <f>Tabela1[[#This Row],[Alongamento(mm)]]/$I$2</f>
        <v>6.5565999999999999E-2</v>
      </c>
      <c r="D363" s="1">
        <v>301.42</v>
      </c>
      <c r="E363" s="5">
        <f>Tabela1[[#This Row],[Força(N)]]/$I$5</f>
        <v>6909816.1478153234</v>
      </c>
      <c r="F363" s="3">
        <f>Tabela1[[#This Row],[Tensão(Pa)]]/1000000</f>
        <v>6.9098161478153237</v>
      </c>
    </row>
    <row r="364" spans="1:6" x14ac:dyDescent="0.3">
      <c r="A364" s="1">
        <v>39.517000000000003</v>
      </c>
      <c r="B364" s="1">
        <v>3.2852000000000001</v>
      </c>
      <c r="C364" s="3">
        <f>Tabela1[[#This Row],[Alongamento(mm)]]/$I$2</f>
        <v>6.5703999999999999E-2</v>
      </c>
      <c r="D364" s="1">
        <v>303.8</v>
      </c>
      <c r="E364" s="5">
        <f>Tabela1[[#This Row],[Força(N)]]/$I$5</f>
        <v>6964375.7736921748</v>
      </c>
      <c r="F364" s="3">
        <f>Tabela1[[#This Row],[Tensão(Pa)]]/1000000</f>
        <v>6.9643757736921748</v>
      </c>
    </row>
    <row r="365" spans="1:6" x14ac:dyDescent="0.3">
      <c r="A365" s="1">
        <v>39.6</v>
      </c>
      <c r="B365" s="1">
        <v>3.2921</v>
      </c>
      <c r="C365" s="3">
        <f>Tabela1[[#This Row],[Alongamento(mm)]]/$I$2</f>
        <v>6.5841999999999998E-2</v>
      </c>
      <c r="D365" s="1">
        <v>306.18</v>
      </c>
      <c r="E365" s="5">
        <f>Tabela1[[#This Row],[Força(N)]]/$I$5</f>
        <v>7018935.3995690253</v>
      </c>
      <c r="F365" s="3">
        <f>Tabela1[[#This Row],[Tensão(Pa)]]/1000000</f>
        <v>7.0189353995690249</v>
      </c>
    </row>
    <row r="366" spans="1:6" x14ac:dyDescent="0.3">
      <c r="A366" s="1">
        <v>39.683</v>
      </c>
      <c r="B366" s="1">
        <v>3.2991999999999999</v>
      </c>
      <c r="C366" s="3">
        <f>Tabela1[[#This Row],[Alongamento(mm)]]/$I$2</f>
        <v>6.5984000000000001E-2</v>
      </c>
      <c r="D366" s="1">
        <v>308.56</v>
      </c>
      <c r="E366" s="5">
        <f>Tabela1[[#This Row],[Força(N)]]/$I$5</f>
        <v>7073495.0254458766</v>
      </c>
      <c r="F366" s="3">
        <f>Tabela1[[#This Row],[Tensão(Pa)]]/1000000</f>
        <v>7.0734950254458768</v>
      </c>
    </row>
    <row r="367" spans="1:6" x14ac:dyDescent="0.3">
      <c r="A367" s="1">
        <v>39.767000000000003</v>
      </c>
      <c r="B367" s="1">
        <v>3.3060999999999998</v>
      </c>
      <c r="C367" s="3">
        <f>Tabela1[[#This Row],[Alongamento(mm)]]/$I$2</f>
        <v>6.6122E-2</v>
      </c>
      <c r="D367" s="1">
        <v>311.11</v>
      </c>
      <c r="E367" s="5">
        <f>Tabela1[[#This Row],[Força(N)]]/$I$5</f>
        <v>7131951.7674567886</v>
      </c>
      <c r="F367" s="3">
        <f>Tabela1[[#This Row],[Tensão(Pa)]]/1000000</f>
        <v>7.1319517674567887</v>
      </c>
    </row>
    <row r="368" spans="1:6" x14ac:dyDescent="0.3">
      <c r="A368" s="1">
        <v>39.85</v>
      </c>
      <c r="B368" s="1">
        <v>3.3130999999999999</v>
      </c>
      <c r="C368" s="3">
        <f>Tabela1[[#This Row],[Alongamento(mm)]]/$I$2</f>
        <v>6.6262000000000001E-2</v>
      </c>
      <c r="D368" s="1">
        <v>313.66000000000003</v>
      </c>
      <c r="E368" s="5">
        <f>Tabela1[[#This Row],[Força(N)]]/$I$5</f>
        <v>7190408.5094677005</v>
      </c>
      <c r="F368" s="3">
        <f>Tabela1[[#This Row],[Tensão(Pa)]]/1000000</f>
        <v>7.1904085094677006</v>
      </c>
    </row>
    <row r="369" spans="1:6" x14ac:dyDescent="0.3">
      <c r="A369" s="1">
        <v>39.933</v>
      </c>
      <c r="B369" s="1">
        <v>3.32</v>
      </c>
      <c r="C369" s="3">
        <f>Tabela1[[#This Row],[Alongamento(mm)]]/$I$2</f>
        <v>6.6400000000000001E-2</v>
      </c>
      <c r="D369" s="1">
        <v>316.04000000000002</v>
      </c>
      <c r="E369" s="5">
        <f>Tabela1[[#This Row],[Força(N)]]/$I$5</f>
        <v>7244968.1353445519</v>
      </c>
      <c r="F369" s="3">
        <f>Tabela1[[#This Row],[Tensão(Pa)]]/1000000</f>
        <v>7.2449681353445516</v>
      </c>
    </row>
    <row r="370" spans="1:6" x14ac:dyDescent="0.3">
      <c r="A370" s="1">
        <v>40.017000000000003</v>
      </c>
      <c r="B370" s="1">
        <v>3.3269000000000002</v>
      </c>
      <c r="C370" s="3">
        <f>Tabela1[[#This Row],[Alongamento(mm)]]/$I$2</f>
        <v>6.6538E-2</v>
      </c>
      <c r="D370" s="1">
        <v>318.60000000000002</v>
      </c>
      <c r="E370" s="5">
        <f>Tabela1[[#This Row],[Força(N)]]/$I$5</f>
        <v>7303654.1194809973</v>
      </c>
      <c r="F370" s="3">
        <f>Tabela1[[#This Row],[Tensão(Pa)]]/1000000</f>
        <v>7.3036541194809974</v>
      </c>
    </row>
    <row r="371" spans="1:6" x14ac:dyDescent="0.3">
      <c r="A371" s="1">
        <v>40.1</v>
      </c>
      <c r="B371" s="1">
        <v>3.3338999999999999</v>
      </c>
      <c r="C371" s="3">
        <f>Tabela1[[#This Row],[Alongamento(mm)]]/$I$2</f>
        <v>6.6678000000000001E-2</v>
      </c>
      <c r="D371" s="1">
        <v>321.14999999999998</v>
      </c>
      <c r="E371" s="5">
        <f>Tabela1[[#This Row],[Força(N)]]/$I$5</f>
        <v>7362110.8614919074</v>
      </c>
      <c r="F371" s="3">
        <f>Tabela1[[#This Row],[Tensão(Pa)]]/1000000</f>
        <v>7.3621108614919075</v>
      </c>
    </row>
    <row r="372" spans="1:6" x14ac:dyDescent="0.3">
      <c r="A372" s="1">
        <v>40.183</v>
      </c>
      <c r="B372" s="1">
        <v>3.3409</v>
      </c>
      <c r="C372" s="3">
        <f>Tabela1[[#This Row],[Alongamento(mm)]]/$I$2</f>
        <v>6.6818000000000002E-2</v>
      </c>
      <c r="D372" s="1">
        <v>323.7</v>
      </c>
      <c r="E372" s="5">
        <f>Tabela1[[#This Row],[Força(N)]]/$I$5</f>
        <v>7420567.6035028202</v>
      </c>
      <c r="F372" s="3">
        <f>Tabela1[[#This Row],[Tensão(Pa)]]/1000000</f>
        <v>7.4205676035028203</v>
      </c>
    </row>
    <row r="373" spans="1:6" x14ac:dyDescent="0.3">
      <c r="A373" s="1">
        <v>40.267000000000003</v>
      </c>
      <c r="B373" s="1">
        <v>3.3477999999999999</v>
      </c>
      <c r="C373" s="3">
        <f>Tabela1[[#This Row],[Alongamento(mm)]]/$I$2</f>
        <v>6.6956000000000002E-2</v>
      </c>
      <c r="D373" s="1">
        <v>326.25</v>
      </c>
      <c r="E373" s="5">
        <f>Tabela1[[#This Row],[Força(N)]]/$I$5</f>
        <v>7479024.3455137322</v>
      </c>
      <c r="F373" s="3">
        <f>Tabela1[[#This Row],[Tensão(Pa)]]/1000000</f>
        <v>7.4790243455137322</v>
      </c>
    </row>
    <row r="374" spans="1:6" x14ac:dyDescent="0.3">
      <c r="A374" s="1">
        <v>40.35</v>
      </c>
      <c r="B374" s="1">
        <v>3.3546</v>
      </c>
      <c r="C374" s="3">
        <f>Tabela1[[#This Row],[Alongamento(mm)]]/$I$2</f>
        <v>6.7091999999999999E-2</v>
      </c>
      <c r="D374" s="1">
        <v>328.8</v>
      </c>
      <c r="E374" s="5">
        <f>Tabela1[[#This Row],[Força(N)]]/$I$5</f>
        <v>7537481.0875246441</v>
      </c>
      <c r="F374" s="3">
        <f>Tabela1[[#This Row],[Tensão(Pa)]]/1000000</f>
        <v>7.5374810875246441</v>
      </c>
    </row>
    <row r="375" spans="1:6" x14ac:dyDescent="0.3">
      <c r="A375" s="1">
        <v>40.433</v>
      </c>
      <c r="B375" s="1">
        <v>3.3616000000000001</v>
      </c>
      <c r="C375" s="3">
        <f>Tabela1[[#This Row],[Alongamento(mm)]]/$I$2</f>
        <v>6.7232E-2</v>
      </c>
      <c r="D375" s="1">
        <v>331.52</v>
      </c>
      <c r="E375" s="5">
        <f>Tabela1[[#This Row],[Força(N)]]/$I$5</f>
        <v>7599834.9456696166</v>
      </c>
      <c r="F375" s="3">
        <f>Tabela1[[#This Row],[Tensão(Pa)]]/1000000</f>
        <v>7.5998349456696168</v>
      </c>
    </row>
    <row r="376" spans="1:6" x14ac:dyDescent="0.3">
      <c r="A376" s="1">
        <v>40.517000000000003</v>
      </c>
      <c r="B376" s="1">
        <v>3.3685999999999998</v>
      </c>
      <c r="C376" s="3">
        <f>Tabela1[[#This Row],[Alongamento(mm)]]/$I$2</f>
        <v>6.7372000000000001E-2</v>
      </c>
      <c r="D376" s="1">
        <v>334.07</v>
      </c>
      <c r="E376" s="5">
        <f>Tabela1[[#This Row],[Força(N)]]/$I$5</f>
        <v>7658291.6876805285</v>
      </c>
      <c r="F376" s="3">
        <f>Tabela1[[#This Row],[Tensão(Pa)]]/1000000</f>
        <v>7.6582916876805287</v>
      </c>
    </row>
    <row r="377" spans="1:6" x14ac:dyDescent="0.3">
      <c r="A377" s="1">
        <v>40.6</v>
      </c>
      <c r="B377" s="1">
        <v>3.3755000000000002</v>
      </c>
      <c r="C377" s="3">
        <f>Tabela1[[#This Row],[Alongamento(mm)]]/$I$2</f>
        <v>6.7510000000000001E-2</v>
      </c>
      <c r="D377" s="1">
        <v>336.8</v>
      </c>
      <c r="E377" s="5">
        <f>Tabela1[[#This Row],[Força(N)]]/$I$5</f>
        <v>7720874.7879510345</v>
      </c>
      <c r="F377" s="3">
        <f>Tabela1[[#This Row],[Tensão(Pa)]]/1000000</f>
        <v>7.7208747879510344</v>
      </c>
    </row>
    <row r="378" spans="1:6" x14ac:dyDescent="0.3">
      <c r="A378" s="1">
        <v>40.683</v>
      </c>
      <c r="B378" s="1">
        <v>3.3824999999999998</v>
      </c>
      <c r="C378" s="3">
        <f>Tabela1[[#This Row],[Alongamento(mm)]]/$I$2</f>
        <v>6.7650000000000002E-2</v>
      </c>
      <c r="D378" s="1">
        <v>339.52</v>
      </c>
      <c r="E378" s="5">
        <f>Tabela1[[#This Row],[Força(N)]]/$I$5</f>
        <v>7783228.646096007</v>
      </c>
      <c r="F378" s="3">
        <f>Tabela1[[#This Row],[Tensão(Pa)]]/1000000</f>
        <v>7.7832286460960072</v>
      </c>
    </row>
    <row r="379" spans="1:6" x14ac:dyDescent="0.3">
      <c r="A379" s="1">
        <v>40.767000000000003</v>
      </c>
      <c r="B379" s="1">
        <v>3.3895</v>
      </c>
      <c r="C379" s="3">
        <f>Tabela1[[#This Row],[Alongamento(mm)]]/$I$2</f>
        <v>6.7790000000000003E-2</v>
      </c>
      <c r="D379" s="1">
        <v>342.07</v>
      </c>
      <c r="E379" s="5">
        <f>Tabela1[[#This Row],[Força(N)]]/$I$5</f>
        <v>7841685.3881069189</v>
      </c>
      <c r="F379" s="3">
        <f>Tabela1[[#This Row],[Tensão(Pa)]]/1000000</f>
        <v>7.8416853881069191</v>
      </c>
    </row>
    <row r="380" spans="1:6" x14ac:dyDescent="0.3">
      <c r="A380" s="1">
        <v>40.85</v>
      </c>
      <c r="B380" s="1">
        <v>3.3963000000000001</v>
      </c>
      <c r="C380" s="3">
        <f>Tabela1[[#This Row],[Alongamento(mm)]]/$I$2</f>
        <v>6.7926E-2</v>
      </c>
      <c r="D380" s="1">
        <v>344.79</v>
      </c>
      <c r="E380" s="5">
        <f>Tabela1[[#This Row],[Força(N)]]/$I$5</f>
        <v>7904039.2462518923</v>
      </c>
      <c r="F380" s="3">
        <f>Tabela1[[#This Row],[Tensão(Pa)]]/1000000</f>
        <v>7.9040392462518927</v>
      </c>
    </row>
    <row r="381" spans="1:6" x14ac:dyDescent="0.3">
      <c r="A381" s="1">
        <v>40.933</v>
      </c>
      <c r="B381" s="1">
        <v>3.4034</v>
      </c>
      <c r="C381" s="3">
        <f>Tabela1[[#This Row],[Alongamento(mm)]]/$I$2</f>
        <v>6.8068000000000004E-2</v>
      </c>
      <c r="D381" s="1">
        <v>347.51</v>
      </c>
      <c r="E381" s="5">
        <f>Tabela1[[#This Row],[Força(N)]]/$I$5</f>
        <v>7966393.1043968648</v>
      </c>
      <c r="F381" s="3">
        <f>Tabela1[[#This Row],[Tensão(Pa)]]/1000000</f>
        <v>7.9663931043968645</v>
      </c>
    </row>
    <row r="382" spans="1:6" x14ac:dyDescent="0.3">
      <c r="A382" s="1">
        <v>41.017000000000003</v>
      </c>
      <c r="B382" s="1">
        <v>3.4102999999999999</v>
      </c>
      <c r="C382" s="3">
        <f>Tabela1[[#This Row],[Alongamento(mm)]]/$I$2</f>
        <v>6.8206000000000003E-2</v>
      </c>
      <c r="D382" s="1">
        <v>350.23</v>
      </c>
      <c r="E382" s="5">
        <f>Tabela1[[#This Row],[Força(N)]]/$I$5</f>
        <v>8028746.9625418372</v>
      </c>
      <c r="F382" s="3">
        <f>Tabela1[[#This Row],[Tensão(Pa)]]/1000000</f>
        <v>8.0287469625418364</v>
      </c>
    </row>
    <row r="383" spans="1:6" x14ac:dyDescent="0.3">
      <c r="A383" s="1">
        <v>41.116999999999997</v>
      </c>
      <c r="B383" s="1">
        <v>3.4186000000000001</v>
      </c>
      <c r="C383" s="3">
        <f>Tabela1[[#This Row],[Alongamento(mm)]]/$I$2</f>
        <v>6.8372000000000002E-2</v>
      </c>
      <c r="D383" s="1">
        <v>353.47</v>
      </c>
      <c r="E383" s="5">
        <f>Tabela1[[#This Row],[Força(N)]]/$I$5</f>
        <v>8103021.4112145258</v>
      </c>
      <c r="F383" s="3">
        <f>Tabela1[[#This Row],[Tensão(Pa)]]/1000000</f>
        <v>8.1030214112145256</v>
      </c>
    </row>
    <row r="384" spans="1:6" x14ac:dyDescent="0.3">
      <c r="A384" s="1">
        <v>41.2</v>
      </c>
      <c r="B384" s="1">
        <v>3.4255</v>
      </c>
      <c r="C384" s="3">
        <f>Tabela1[[#This Row],[Alongamento(mm)]]/$I$2</f>
        <v>6.8510000000000001E-2</v>
      </c>
      <c r="D384" s="1">
        <v>356.19</v>
      </c>
      <c r="E384" s="5">
        <f>Tabela1[[#This Row],[Força(N)]]/$I$5</f>
        <v>8165375.2693594983</v>
      </c>
      <c r="F384" s="3">
        <f>Tabela1[[#This Row],[Tensão(Pa)]]/1000000</f>
        <v>8.1653752693594974</v>
      </c>
    </row>
    <row r="385" spans="1:6" x14ac:dyDescent="0.3">
      <c r="A385" s="1">
        <v>41.283000000000001</v>
      </c>
      <c r="B385" s="1">
        <v>3.4323999999999999</v>
      </c>
      <c r="C385" s="3">
        <f>Tabela1[[#This Row],[Alongamento(mm)]]/$I$2</f>
        <v>6.8648000000000001E-2</v>
      </c>
      <c r="D385" s="1">
        <v>358.91</v>
      </c>
      <c r="E385" s="5">
        <f>Tabela1[[#This Row],[Força(N)]]/$I$5</f>
        <v>8227729.1275044717</v>
      </c>
      <c r="F385" s="3">
        <f>Tabela1[[#This Row],[Tensão(Pa)]]/1000000</f>
        <v>8.2277291275044711</v>
      </c>
    </row>
    <row r="386" spans="1:6" x14ac:dyDescent="0.3">
      <c r="A386" s="1">
        <v>41.366999999999997</v>
      </c>
      <c r="B386" s="1">
        <v>3.4394</v>
      </c>
      <c r="C386" s="3">
        <f>Tabela1[[#This Row],[Alongamento(mm)]]/$I$2</f>
        <v>6.8788000000000002E-2</v>
      </c>
      <c r="D386" s="1">
        <v>361.63</v>
      </c>
      <c r="E386" s="5">
        <f>Tabela1[[#This Row],[Força(N)]]/$I$5</f>
        <v>8290082.9856494432</v>
      </c>
      <c r="F386" s="3">
        <f>Tabela1[[#This Row],[Tensão(Pa)]]/1000000</f>
        <v>8.2900829856494429</v>
      </c>
    </row>
    <row r="387" spans="1:6" x14ac:dyDescent="0.3">
      <c r="A387" s="1">
        <v>41.45</v>
      </c>
      <c r="B387" s="1">
        <v>3.4462999999999999</v>
      </c>
      <c r="C387" s="3">
        <f>Tabela1[[#This Row],[Alongamento(mm)]]/$I$2</f>
        <v>6.8926000000000001E-2</v>
      </c>
      <c r="D387" s="1">
        <v>364.35</v>
      </c>
      <c r="E387" s="5">
        <f>Tabela1[[#This Row],[Força(N)]]/$I$5</f>
        <v>8352436.8437944166</v>
      </c>
      <c r="F387" s="3">
        <f>Tabela1[[#This Row],[Tensão(Pa)]]/1000000</f>
        <v>8.3524368437944165</v>
      </c>
    </row>
    <row r="388" spans="1:6" x14ac:dyDescent="0.3">
      <c r="A388" s="1">
        <v>41.533000000000001</v>
      </c>
      <c r="B388" s="1">
        <v>3.4533</v>
      </c>
      <c r="C388" s="3">
        <f>Tabela1[[#This Row],[Alongamento(mm)]]/$I$2</f>
        <v>6.9066000000000002E-2</v>
      </c>
      <c r="D388" s="1">
        <v>367.07</v>
      </c>
      <c r="E388" s="5">
        <f>Tabela1[[#This Row],[Força(N)]]/$I$5</f>
        <v>8414790.7019393891</v>
      </c>
      <c r="F388" s="3">
        <f>Tabela1[[#This Row],[Tensão(Pa)]]/1000000</f>
        <v>8.4147907019393884</v>
      </c>
    </row>
    <row r="389" spans="1:6" x14ac:dyDescent="0.3">
      <c r="A389" s="1">
        <v>41.616999999999997</v>
      </c>
      <c r="B389" s="1">
        <v>3.4603000000000002</v>
      </c>
      <c r="C389" s="3">
        <f>Tabela1[[#This Row],[Alongamento(mm)]]/$I$2</f>
        <v>6.9206000000000004E-2</v>
      </c>
      <c r="D389" s="1">
        <v>369.79</v>
      </c>
      <c r="E389" s="5">
        <f>Tabela1[[#This Row],[Força(N)]]/$I$5</f>
        <v>8477144.5600843616</v>
      </c>
      <c r="F389" s="3">
        <f>Tabela1[[#This Row],[Tensão(Pa)]]/1000000</f>
        <v>8.477144560084362</v>
      </c>
    </row>
    <row r="390" spans="1:6" x14ac:dyDescent="0.3">
      <c r="A390" s="1">
        <v>41.7</v>
      </c>
      <c r="B390" s="1">
        <v>3.4672000000000001</v>
      </c>
      <c r="C390" s="3">
        <f>Tabela1[[#This Row],[Alongamento(mm)]]/$I$2</f>
        <v>6.9344000000000003E-2</v>
      </c>
      <c r="D390" s="1">
        <v>372.69</v>
      </c>
      <c r="E390" s="5">
        <f>Tabela1[[#This Row],[Força(N)]]/$I$5</f>
        <v>8543624.7764889281</v>
      </c>
      <c r="F390" s="3">
        <f>Tabela1[[#This Row],[Tensão(Pa)]]/1000000</f>
        <v>8.5436247764889277</v>
      </c>
    </row>
    <row r="391" spans="1:6" x14ac:dyDescent="0.3">
      <c r="A391" s="1">
        <v>41.783000000000001</v>
      </c>
      <c r="B391" s="1">
        <v>3.4741</v>
      </c>
      <c r="C391" s="3">
        <f>Tabela1[[#This Row],[Alongamento(mm)]]/$I$2</f>
        <v>6.9482000000000002E-2</v>
      </c>
      <c r="D391" s="1">
        <v>375.41</v>
      </c>
      <c r="E391" s="5">
        <f>Tabela1[[#This Row],[Força(N)]]/$I$5</f>
        <v>8605978.6346339025</v>
      </c>
      <c r="F391" s="3">
        <f>Tabela1[[#This Row],[Tensão(Pa)]]/1000000</f>
        <v>8.6059786346339031</v>
      </c>
    </row>
    <row r="392" spans="1:6" x14ac:dyDescent="0.3">
      <c r="A392" s="1">
        <v>41.866999999999997</v>
      </c>
      <c r="B392" s="1">
        <v>3.4811000000000001</v>
      </c>
      <c r="C392" s="3">
        <f>Tabela1[[#This Row],[Alongamento(mm)]]/$I$2</f>
        <v>6.9622000000000003E-2</v>
      </c>
      <c r="D392" s="1">
        <v>378.3</v>
      </c>
      <c r="E392" s="5">
        <f>Tabela1[[#This Row],[Força(N)]]/$I$5</f>
        <v>8672229.6089129355</v>
      </c>
      <c r="F392" s="3">
        <f>Tabela1[[#This Row],[Tensão(Pa)]]/1000000</f>
        <v>8.6722296089129358</v>
      </c>
    </row>
    <row r="393" spans="1:6" x14ac:dyDescent="0.3">
      <c r="A393" s="1">
        <v>41.95</v>
      </c>
      <c r="B393" s="1">
        <v>3.488</v>
      </c>
      <c r="C393" s="3">
        <f>Tabela1[[#This Row],[Alongamento(mm)]]/$I$2</f>
        <v>6.9760000000000003E-2</v>
      </c>
      <c r="D393" s="1">
        <v>381.19</v>
      </c>
      <c r="E393" s="5">
        <f>Tabela1[[#This Row],[Força(N)]]/$I$5</f>
        <v>8738480.5831919685</v>
      </c>
      <c r="F393" s="3">
        <f>Tabela1[[#This Row],[Tensão(Pa)]]/1000000</f>
        <v>8.7384805831919685</v>
      </c>
    </row>
    <row r="394" spans="1:6" x14ac:dyDescent="0.3">
      <c r="A394" s="1">
        <v>42.033000000000001</v>
      </c>
      <c r="B394" s="1">
        <v>3.4950000000000001</v>
      </c>
      <c r="C394" s="3">
        <f>Tabela1[[#This Row],[Alongamento(mm)]]/$I$2</f>
        <v>6.9900000000000004E-2</v>
      </c>
      <c r="D394" s="1">
        <v>383.91</v>
      </c>
      <c r="E394" s="5">
        <f>Tabela1[[#This Row],[Força(N)]]/$I$5</f>
        <v>8800834.441336941</v>
      </c>
      <c r="F394" s="3">
        <f>Tabela1[[#This Row],[Tensão(Pa)]]/1000000</f>
        <v>8.8008344413369404</v>
      </c>
    </row>
    <row r="395" spans="1:6" x14ac:dyDescent="0.3">
      <c r="A395" s="1">
        <v>42.116999999999997</v>
      </c>
      <c r="B395" s="1">
        <v>3.5019999999999998</v>
      </c>
      <c r="C395" s="3">
        <f>Tabela1[[#This Row],[Alongamento(mm)]]/$I$2</f>
        <v>7.0039999999999991E-2</v>
      </c>
      <c r="D395" s="1">
        <v>386.8</v>
      </c>
      <c r="E395" s="5">
        <f>Tabela1[[#This Row],[Força(N)]]/$I$5</f>
        <v>8867085.415615974</v>
      </c>
      <c r="F395" s="3">
        <f>Tabela1[[#This Row],[Tensão(Pa)]]/1000000</f>
        <v>8.8670854156159749</v>
      </c>
    </row>
    <row r="396" spans="1:6" x14ac:dyDescent="0.3">
      <c r="A396" s="1">
        <v>42.2</v>
      </c>
      <c r="B396" s="1">
        <v>3.5087999999999999</v>
      </c>
      <c r="C396" s="3">
        <f>Tabela1[[#This Row],[Alongamento(mm)]]/$I$2</f>
        <v>7.0176000000000002E-2</v>
      </c>
      <c r="D396" s="1">
        <v>389.7</v>
      </c>
      <c r="E396" s="5">
        <f>Tabela1[[#This Row],[Força(N)]]/$I$5</f>
        <v>8933565.6320205405</v>
      </c>
      <c r="F396" s="3">
        <f>Tabela1[[#This Row],[Tensão(Pa)]]/1000000</f>
        <v>8.9335656320205405</v>
      </c>
    </row>
    <row r="397" spans="1:6" x14ac:dyDescent="0.3">
      <c r="A397" s="1">
        <v>42.283000000000001</v>
      </c>
      <c r="B397" s="1">
        <v>3.5158</v>
      </c>
      <c r="C397" s="3">
        <f>Tabela1[[#This Row],[Alongamento(mm)]]/$I$2</f>
        <v>7.0316000000000004E-2</v>
      </c>
      <c r="D397" s="1">
        <v>392.42</v>
      </c>
      <c r="E397" s="5">
        <f>Tabela1[[#This Row],[Força(N)]]/$I$5</f>
        <v>8995919.490165513</v>
      </c>
      <c r="F397" s="3">
        <f>Tabela1[[#This Row],[Tensão(Pa)]]/1000000</f>
        <v>8.9959194901655124</v>
      </c>
    </row>
    <row r="398" spans="1:6" x14ac:dyDescent="0.3">
      <c r="A398" s="1">
        <v>42.383000000000003</v>
      </c>
      <c r="B398" s="1">
        <v>3.5240999999999998</v>
      </c>
      <c r="C398" s="3">
        <f>Tabela1[[#This Row],[Alongamento(mm)]]/$I$2</f>
        <v>7.0481999999999989E-2</v>
      </c>
      <c r="D398" s="1">
        <v>395.82</v>
      </c>
      <c r="E398" s="5">
        <f>Tabela1[[#This Row],[Força(N)]]/$I$5</f>
        <v>9073861.8128467295</v>
      </c>
      <c r="F398" s="3">
        <f>Tabela1[[#This Row],[Tensão(Pa)]]/1000000</f>
        <v>9.0738618128467294</v>
      </c>
    </row>
    <row r="399" spans="1:6" x14ac:dyDescent="0.3">
      <c r="A399" s="1">
        <v>42.482999999999997</v>
      </c>
      <c r="B399" s="1">
        <v>3.5325000000000002</v>
      </c>
      <c r="C399" s="3">
        <f>Tabela1[[#This Row],[Alongamento(mm)]]/$I$2</f>
        <v>7.0650000000000004E-2</v>
      </c>
      <c r="D399" s="1">
        <v>399.22</v>
      </c>
      <c r="E399" s="5">
        <f>Tabela1[[#This Row],[Força(N)]]/$I$5</f>
        <v>9151804.1355279461</v>
      </c>
      <c r="F399" s="3">
        <f>Tabela1[[#This Row],[Tensão(Pa)]]/1000000</f>
        <v>9.1518041355279465</v>
      </c>
    </row>
    <row r="400" spans="1:6" x14ac:dyDescent="0.3">
      <c r="A400" s="1">
        <v>42.582999999999998</v>
      </c>
      <c r="B400" s="1">
        <v>3.5407999999999999</v>
      </c>
      <c r="C400" s="3">
        <f>Tabela1[[#This Row],[Alongamento(mm)]]/$I$2</f>
        <v>7.0816000000000004E-2</v>
      </c>
      <c r="D400" s="1">
        <v>402.62</v>
      </c>
      <c r="E400" s="5">
        <f>Tabela1[[#This Row],[Força(N)]]/$I$5</f>
        <v>9229746.4582091607</v>
      </c>
      <c r="F400" s="3">
        <f>Tabela1[[#This Row],[Tensão(Pa)]]/1000000</f>
        <v>9.22974645820916</v>
      </c>
    </row>
    <row r="401" spans="1:6" x14ac:dyDescent="0.3">
      <c r="A401" s="1">
        <v>42.683</v>
      </c>
      <c r="B401" s="1">
        <v>3.5491000000000001</v>
      </c>
      <c r="C401" s="3">
        <f>Tabela1[[#This Row],[Alongamento(mm)]]/$I$2</f>
        <v>7.0982000000000003E-2</v>
      </c>
      <c r="D401" s="1">
        <v>406.03</v>
      </c>
      <c r="E401" s="5">
        <f>Tabela1[[#This Row],[Força(N)]]/$I$5</f>
        <v>9307918.0230159089</v>
      </c>
      <c r="F401" s="3">
        <f>Tabela1[[#This Row],[Tensão(Pa)]]/1000000</f>
        <v>9.3079180230159082</v>
      </c>
    </row>
    <row r="402" spans="1:6" x14ac:dyDescent="0.3">
      <c r="A402" s="1">
        <v>42.783000000000001</v>
      </c>
      <c r="B402" s="1">
        <v>3.5575000000000001</v>
      </c>
      <c r="C402" s="3">
        <f>Tabela1[[#This Row],[Alongamento(mm)]]/$I$2</f>
        <v>7.1150000000000005E-2</v>
      </c>
      <c r="D402" s="1">
        <v>409.6</v>
      </c>
      <c r="E402" s="5">
        <f>Tabela1[[#This Row],[Força(N)]]/$I$5</f>
        <v>9389757.4618311878</v>
      </c>
      <c r="F402" s="3">
        <f>Tabela1[[#This Row],[Tensão(Pa)]]/1000000</f>
        <v>9.3897574618311879</v>
      </c>
    </row>
    <row r="403" spans="1:6" x14ac:dyDescent="0.3">
      <c r="A403" s="1">
        <v>42.883000000000003</v>
      </c>
      <c r="B403" s="1">
        <v>3.5657999999999999</v>
      </c>
      <c r="C403" s="3">
        <f>Tabela1[[#This Row],[Alongamento(mm)]]/$I$2</f>
        <v>7.1315999999999991E-2</v>
      </c>
      <c r="D403" s="1">
        <v>413</v>
      </c>
      <c r="E403" s="5">
        <f>Tabela1[[#This Row],[Força(N)]]/$I$5</f>
        <v>9467699.7845124025</v>
      </c>
      <c r="F403" s="3">
        <f>Tabela1[[#This Row],[Tensão(Pa)]]/1000000</f>
        <v>9.4676997845124031</v>
      </c>
    </row>
    <row r="404" spans="1:6" x14ac:dyDescent="0.3">
      <c r="A404" s="1">
        <v>42.982999999999997</v>
      </c>
      <c r="B404" s="1">
        <v>3.5741999999999998</v>
      </c>
      <c r="C404" s="3">
        <f>Tabela1[[#This Row],[Alongamento(mm)]]/$I$2</f>
        <v>7.1483999999999992E-2</v>
      </c>
      <c r="D404" s="1">
        <v>416.4</v>
      </c>
      <c r="E404" s="5">
        <f>Tabela1[[#This Row],[Força(N)]]/$I$5</f>
        <v>9545642.107193619</v>
      </c>
      <c r="F404" s="3">
        <f>Tabela1[[#This Row],[Tensão(Pa)]]/1000000</f>
        <v>9.5456421071936184</v>
      </c>
    </row>
    <row r="405" spans="1:6" x14ac:dyDescent="0.3">
      <c r="A405" s="1">
        <v>43.082999999999998</v>
      </c>
      <c r="B405" s="1">
        <v>3.5825</v>
      </c>
      <c r="C405" s="3">
        <f>Tabela1[[#This Row],[Alongamento(mm)]]/$I$2</f>
        <v>7.1650000000000005E-2</v>
      </c>
      <c r="D405" s="1">
        <v>419.8</v>
      </c>
      <c r="E405" s="5">
        <f>Tabela1[[#This Row],[Força(N)]]/$I$5</f>
        <v>9623584.4298748355</v>
      </c>
      <c r="F405" s="3">
        <f>Tabela1[[#This Row],[Tensão(Pa)]]/1000000</f>
        <v>9.6235844298748354</v>
      </c>
    </row>
    <row r="406" spans="1:6" x14ac:dyDescent="0.3">
      <c r="A406" s="1">
        <v>43.183</v>
      </c>
      <c r="B406" s="1">
        <v>3.5908000000000002</v>
      </c>
      <c r="C406" s="3">
        <f>Tabela1[[#This Row],[Alongamento(mm)]]/$I$2</f>
        <v>7.1816000000000005E-2</v>
      </c>
      <c r="D406" s="1">
        <v>423.21</v>
      </c>
      <c r="E406" s="5">
        <f>Tabela1[[#This Row],[Força(N)]]/$I$5</f>
        <v>9701755.9946815837</v>
      </c>
      <c r="F406" s="3">
        <f>Tabela1[[#This Row],[Tensão(Pa)]]/1000000</f>
        <v>9.7017559946815837</v>
      </c>
    </row>
    <row r="407" spans="1:6" x14ac:dyDescent="0.3">
      <c r="A407" s="1">
        <v>43.283000000000001</v>
      </c>
      <c r="B407" s="1">
        <v>3.5992000000000002</v>
      </c>
      <c r="C407" s="3">
        <f>Tabela1[[#This Row],[Alongamento(mm)]]/$I$2</f>
        <v>7.1984000000000006E-2</v>
      </c>
      <c r="D407" s="1">
        <v>426.61</v>
      </c>
      <c r="E407" s="5">
        <f>Tabela1[[#This Row],[Força(N)]]/$I$5</f>
        <v>9779698.3173628002</v>
      </c>
      <c r="F407" s="3">
        <f>Tabela1[[#This Row],[Tensão(Pa)]]/1000000</f>
        <v>9.7796983173628007</v>
      </c>
    </row>
    <row r="408" spans="1:6" x14ac:dyDescent="0.3">
      <c r="A408" s="1">
        <v>43.383000000000003</v>
      </c>
      <c r="B408" s="1">
        <v>3.6074999999999999</v>
      </c>
      <c r="C408" s="3">
        <f>Tabela1[[#This Row],[Alongamento(mm)]]/$I$2</f>
        <v>7.2149999999999992E-2</v>
      </c>
      <c r="D408" s="1">
        <v>430.01</v>
      </c>
      <c r="E408" s="5">
        <f>Tabela1[[#This Row],[Força(N)]]/$I$5</f>
        <v>9857640.6400440149</v>
      </c>
      <c r="F408" s="3">
        <f>Tabela1[[#This Row],[Tensão(Pa)]]/1000000</f>
        <v>9.8576406400440142</v>
      </c>
    </row>
    <row r="409" spans="1:6" x14ac:dyDescent="0.3">
      <c r="A409" s="1">
        <v>43.482999999999997</v>
      </c>
      <c r="B409" s="1">
        <v>3.6158999999999999</v>
      </c>
      <c r="C409" s="3">
        <f>Tabela1[[#This Row],[Alongamento(mm)]]/$I$2</f>
        <v>7.2317999999999993E-2</v>
      </c>
      <c r="D409" s="1">
        <v>433.41</v>
      </c>
      <c r="E409" s="5">
        <f>Tabela1[[#This Row],[Força(N)]]/$I$5</f>
        <v>9935582.9627252314</v>
      </c>
      <c r="F409" s="3">
        <f>Tabela1[[#This Row],[Tensão(Pa)]]/1000000</f>
        <v>9.9355829627252312</v>
      </c>
    </row>
    <row r="410" spans="1:6" x14ac:dyDescent="0.3">
      <c r="A410" s="1">
        <v>43.582999999999998</v>
      </c>
      <c r="B410" s="1">
        <v>3.6240999999999999</v>
      </c>
      <c r="C410" s="3">
        <f>Tabela1[[#This Row],[Alongamento(mm)]]/$I$2</f>
        <v>7.2481999999999991E-2</v>
      </c>
      <c r="D410" s="1">
        <v>436.98</v>
      </c>
      <c r="E410" s="5">
        <f>Tabela1[[#This Row],[Força(N)]]/$I$5</f>
        <v>10017422.401540508</v>
      </c>
      <c r="F410" s="3">
        <f>Tabela1[[#This Row],[Tensão(Pa)]]/1000000</f>
        <v>10.017422401540509</v>
      </c>
    </row>
    <row r="411" spans="1:6" x14ac:dyDescent="0.3">
      <c r="A411" s="1">
        <v>43.683</v>
      </c>
      <c r="B411" s="1">
        <v>3.6324000000000001</v>
      </c>
      <c r="C411" s="3">
        <f>Tabela1[[#This Row],[Alongamento(mm)]]/$I$2</f>
        <v>7.2648000000000004E-2</v>
      </c>
      <c r="D411" s="1">
        <v>440.39</v>
      </c>
      <c r="E411" s="5">
        <f>Tabela1[[#This Row],[Força(N)]]/$I$5</f>
        <v>10095593.966347257</v>
      </c>
      <c r="F411" s="3">
        <f>Tabela1[[#This Row],[Tensão(Pa)]]/1000000</f>
        <v>10.095593966347257</v>
      </c>
    </row>
    <row r="412" spans="1:6" x14ac:dyDescent="0.3">
      <c r="A412" s="1">
        <v>43.783000000000001</v>
      </c>
      <c r="B412" s="1">
        <v>3.6408</v>
      </c>
      <c r="C412" s="3">
        <f>Tabela1[[#This Row],[Alongamento(mm)]]/$I$2</f>
        <v>7.2816000000000006E-2</v>
      </c>
      <c r="D412" s="1">
        <v>443.79</v>
      </c>
      <c r="E412" s="5">
        <f>Tabela1[[#This Row],[Força(N)]]/$I$5</f>
        <v>10173536.289028473</v>
      </c>
      <c r="F412" s="3">
        <f>Tabela1[[#This Row],[Tensão(Pa)]]/1000000</f>
        <v>10.173536289028473</v>
      </c>
    </row>
    <row r="413" spans="1:6" x14ac:dyDescent="0.3">
      <c r="A413" s="1">
        <v>43.883000000000003</v>
      </c>
      <c r="B413" s="1">
        <v>3.6492</v>
      </c>
      <c r="C413" s="3">
        <f>Tabela1[[#This Row],[Alongamento(mm)]]/$I$2</f>
        <v>7.2983999999999993E-2</v>
      </c>
      <c r="D413" s="1">
        <v>447.36</v>
      </c>
      <c r="E413" s="5">
        <f>Tabela1[[#This Row],[Força(N)]]/$I$5</f>
        <v>10255375.72784375</v>
      </c>
      <c r="F413" s="3">
        <f>Tabela1[[#This Row],[Tensão(Pa)]]/1000000</f>
        <v>10.255375727843751</v>
      </c>
    </row>
    <row r="414" spans="1:6" x14ac:dyDescent="0.3">
      <c r="A414" s="1">
        <v>43.982999999999997</v>
      </c>
      <c r="B414" s="1">
        <v>3.6575000000000002</v>
      </c>
      <c r="C414" s="3">
        <f>Tabela1[[#This Row],[Alongamento(mm)]]/$I$2</f>
        <v>7.3150000000000007E-2</v>
      </c>
      <c r="D414" s="1">
        <v>450.93</v>
      </c>
      <c r="E414" s="5">
        <f>Tabela1[[#This Row],[Força(N)]]/$I$5</f>
        <v>10337215.166659025</v>
      </c>
      <c r="F414" s="3">
        <f>Tabela1[[#This Row],[Tensão(Pa)]]/1000000</f>
        <v>10.337215166659025</v>
      </c>
    </row>
    <row r="415" spans="1:6" x14ac:dyDescent="0.3">
      <c r="A415" s="1">
        <v>44.082999999999998</v>
      </c>
      <c r="B415" s="1">
        <v>3.6657999999999999</v>
      </c>
      <c r="C415" s="3">
        <f>Tabela1[[#This Row],[Alongamento(mm)]]/$I$2</f>
        <v>7.3315999999999992E-2</v>
      </c>
      <c r="D415" s="1">
        <v>454.33</v>
      </c>
      <c r="E415" s="5">
        <f>Tabela1[[#This Row],[Força(N)]]/$I$5</f>
        <v>10415157.489340242</v>
      </c>
      <c r="F415" s="3">
        <f>Tabela1[[#This Row],[Tensão(Pa)]]/1000000</f>
        <v>10.415157489340242</v>
      </c>
    </row>
    <row r="416" spans="1:6" x14ac:dyDescent="0.3">
      <c r="A416" s="1">
        <v>44.183</v>
      </c>
      <c r="B416" s="1">
        <v>3.6741000000000001</v>
      </c>
      <c r="C416" s="3">
        <f>Tabela1[[#This Row],[Alongamento(mm)]]/$I$2</f>
        <v>7.3482000000000006E-2</v>
      </c>
      <c r="D416" s="1">
        <v>457.74</v>
      </c>
      <c r="E416" s="5">
        <f>Tabela1[[#This Row],[Força(N)]]/$I$5</f>
        <v>10493329.05414699</v>
      </c>
      <c r="F416" s="3">
        <f>Tabela1[[#This Row],[Tensão(Pa)]]/1000000</f>
        <v>10.49332905414699</v>
      </c>
    </row>
    <row r="417" spans="1:6" x14ac:dyDescent="0.3">
      <c r="A417" s="1">
        <v>44.283000000000001</v>
      </c>
      <c r="B417" s="1">
        <v>3.6825000000000001</v>
      </c>
      <c r="C417" s="3">
        <f>Tabela1[[#This Row],[Alongamento(mm)]]/$I$2</f>
        <v>7.3650000000000007E-2</v>
      </c>
      <c r="D417" s="1">
        <v>461.31</v>
      </c>
      <c r="E417" s="5">
        <f>Tabela1[[#This Row],[Força(N)]]/$I$5</f>
        <v>10575168.492962267</v>
      </c>
      <c r="F417" s="3">
        <f>Tabela1[[#This Row],[Tensão(Pa)]]/1000000</f>
        <v>10.575168492962268</v>
      </c>
    </row>
    <row r="418" spans="1:6" x14ac:dyDescent="0.3">
      <c r="A418" s="1">
        <v>44.383000000000003</v>
      </c>
      <c r="B418" s="1">
        <v>3.6909000000000001</v>
      </c>
      <c r="C418" s="3">
        <f>Tabela1[[#This Row],[Alongamento(mm)]]/$I$2</f>
        <v>7.3817999999999995E-2</v>
      </c>
      <c r="D418" s="1">
        <v>464.88</v>
      </c>
      <c r="E418" s="5">
        <f>Tabela1[[#This Row],[Força(N)]]/$I$5</f>
        <v>10657007.931777544</v>
      </c>
      <c r="F418" s="3">
        <f>Tabela1[[#This Row],[Tensão(Pa)]]/1000000</f>
        <v>10.657007931777544</v>
      </c>
    </row>
    <row r="419" spans="1:6" x14ac:dyDescent="0.3">
      <c r="A419" s="1">
        <v>44.482999999999997</v>
      </c>
      <c r="B419" s="1">
        <v>3.6991000000000001</v>
      </c>
      <c r="C419" s="3">
        <f>Tabela1[[#This Row],[Alongamento(mm)]]/$I$2</f>
        <v>7.3982000000000006E-2</v>
      </c>
      <c r="D419" s="1">
        <v>468.45</v>
      </c>
      <c r="E419" s="5">
        <f>Tabela1[[#This Row],[Força(N)]]/$I$5</f>
        <v>10738847.370592821</v>
      </c>
      <c r="F419" s="3">
        <f>Tabela1[[#This Row],[Tensão(Pa)]]/1000000</f>
        <v>10.738847370592822</v>
      </c>
    </row>
    <row r="420" spans="1:6" x14ac:dyDescent="0.3">
      <c r="A420" s="1">
        <v>44.582999999999998</v>
      </c>
      <c r="B420" s="1">
        <v>3.7075</v>
      </c>
      <c r="C420" s="3">
        <f>Tabela1[[#This Row],[Alongamento(mm)]]/$I$2</f>
        <v>7.4149999999999994E-2</v>
      </c>
      <c r="D420" s="1">
        <v>471.85</v>
      </c>
      <c r="E420" s="5">
        <f>Tabela1[[#This Row],[Força(N)]]/$I$5</f>
        <v>10816789.693274038</v>
      </c>
      <c r="F420" s="3">
        <f>Tabela1[[#This Row],[Tensão(Pa)]]/1000000</f>
        <v>10.816789693274037</v>
      </c>
    </row>
    <row r="421" spans="1:6" x14ac:dyDescent="0.3">
      <c r="A421" s="1">
        <v>44.683</v>
      </c>
      <c r="B421" s="1">
        <v>3.7158000000000002</v>
      </c>
      <c r="C421" s="3">
        <f>Tabela1[[#This Row],[Alongamento(mm)]]/$I$2</f>
        <v>7.4316000000000007E-2</v>
      </c>
      <c r="D421" s="1">
        <v>475.6</v>
      </c>
      <c r="E421" s="5">
        <f>Tabela1[[#This Row],[Força(N)]]/$I$5</f>
        <v>10902755.490348907</v>
      </c>
      <c r="F421" s="3">
        <f>Tabela1[[#This Row],[Tensão(Pa)]]/1000000</f>
        <v>10.902755490348907</v>
      </c>
    </row>
    <row r="422" spans="1:6" x14ac:dyDescent="0.3">
      <c r="A422" s="1">
        <v>44.783000000000001</v>
      </c>
      <c r="B422" s="1">
        <v>3.7242000000000002</v>
      </c>
      <c r="C422" s="3">
        <f>Tabela1[[#This Row],[Alongamento(mm)]]/$I$2</f>
        <v>7.4484000000000009E-2</v>
      </c>
      <c r="D422" s="1">
        <v>479.17</v>
      </c>
      <c r="E422" s="5">
        <f>Tabela1[[#This Row],[Força(N)]]/$I$5</f>
        <v>10984594.929164184</v>
      </c>
      <c r="F422" s="3">
        <f>Tabela1[[#This Row],[Tensão(Pa)]]/1000000</f>
        <v>10.984594929164185</v>
      </c>
    </row>
    <row r="423" spans="1:6" x14ac:dyDescent="0.3">
      <c r="A423" s="1">
        <v>44.9</v>
      </c>
      <c r="B423" s="1">
        <v>3.7339000000000002</v>
      </c>
      <c r="C423" s="3">
        <f>Tabela1[[#This Row],[Alongamento(mm)]]/$I$2</f>
        <v>7.4678000000000008E-2</v>
      </c>
      <c r="D423" s="1">
        <v>483.25</v>
      </c>
      <c r="E423" s="5">
        <f>Tabela1[[#This Row],[Força(N)]]/$I$5</f>
        <v>11078125.716381643</v>
      </c>
      <c r="F423" s="3">
        <f>Tabela1[[#This Row],[Tensão(Pa)]]/1000000</f>
        <v>11.078125716381644</v>
      </c>
    </row>
    <row r="424" spans="1:6" x14ac:dyDescent="0.3">
      <c r="A424" s="1">
        <v>45</v>
      </c>
      <c r="B424" s="1">
        <v>3.7422</v>
      </c>
      <c r="C424" s="3">
        <f>Tabela1[[#This Row],[Alongamento(mm)]]/$I$2</f>
        <v>7.4843999999999994E-2</v>
      </c>
      <c r="D424" s="1">
        <v>486.99</v>
      </c>
      <c r="E424" s="5">
        <f>Tabela1[[#This Row],[Força(N)]]/$I$5</f>
        <v>11163862.271330981</v>
      </c>
      <c r="F424" s="3">
        <f>Tabela1[[#This Row],[Tensão(Pa)]]/1000000</f>
        <v>11.163862271330981</v>
      </c>
    </row>
    <row r="425" spans="1:6" x14ac:dyDescent="0.3">
      <c r="A425" s="1">
        <v>45.116999999999997</v>
      </c>
      <c r="B425" s="1">
        <v>3.7519</v>
      </c>
      <c r="C425" s="3">
        <f>Tabela1[[#This Row],[Alongamento(mm)]]/$I$2</f>
        <v>7.5037999999999994E-2</v>
      </c>
      <c r="D425" s="1">
        <v>491.08</v>
      </c>
      <c r="E425" s="5">
        <f>Tabela1[[#This Row],[Força(N)]]/$I$5</f>
        <v>11257622.300673973</v>
      </c>
      <c r="F425" s="3">
        <f>Tabela1[[#This Row],[Tensão(Pa)]]/1000000</f>
        <v>11.257622300673972</v>
      </c>
    </row>
    <row r="426" spans="1:6" x14ac:dyDescent="0.3">
      <c r="A426" s="1">
        <v>45.232999999999997</v>
      </c>
      <c r="B426" s="1">
        <v>3.7616999999999998</v>
      </c>
      <c r="C426" s="3">
        <f>Tabela1[[#This Row],[Alongamento(mm)]]/$I$2</f>
        <v>7.5233999999999995E-2</v>
      </c>
      <c r="D426" s="1">
        <v>495.33</v>
      </c>
      <c r="E426" s="5">
        <f>Tabela1[[#This Row],[Força(N)]]/$I$5</f>
        <v>11355050.204025492</v>
      </c>
      <c r="F426" s="3">
        <f>Tabela1[[#This Row],[Tensão(Pa)]]/1000000</f>
        <v>11.355050204025492</v>
      </c>
    </row>
    <row r="427" spans="1:6" x14ac:dyDescent="0.3">
      <c r="A427" s="1">
        <v>45.35</v>
      </c>
      <c r="B427" s="1">
        <v>3.7713999999999999</v>
      </c>
      <c r="C427" s="3">
        <f>Tabela1[[#This Row],[Alongamento(mm)]]/$I$2</f>
        <v>7.5427999999999995E-2</v>
      </c>
      <c r="D427" s="1">
        <v>499.41</v>
      </c>
      <c r="E427" s="5">
        <f>Tabela1[[#This Row],[Força(N)]]/$I$5</f>
        <v>11448580.991242953</v>
      </c>
      <c r="F427" s="3">
        <f>Tabela1[[#This Row],[Tensão(Pa)]]/1000000</f>
        <v>11.448580991242952</v>
      </c>
    </row>
    <row r="428" spans="1:6" x14ac:dyDescent="0.3">
      <c r="A428" s="1">
        <v>45.466999999999999</v>
      </c>
      <c r="B428" s="1">
        <v>3.7810999999999999</v>
      </c>
      <c r="C428" s="3">
        <f>Tabela1[[#This Row],[Alongamento(mm)]]/$I$2</f>
        <v>7.5621999999999995E-2</v>
      </c>
      <c r="D428" s="1">
        <v>503.66</v>
      </c>
      <c r="E428" s="5">
        <f>Tabela1[[#This Row],[Força(N)]]/$I$5</f>
        <v>11546008.894594472</v>
      </c>
      <c r="F428" s="3">
        <f>Tabela1[[#This Row],[Tensão(Pa)]]/1000000</f>
        <v>11.546008894594472</v>
      </c>
    </row>
    <row r="429" spans="1:6" x14ac:dyDescent="0.3">
      <c r="A429" s="1">
        <v>45.582999999999998</v>
      </c>
      <c r="B429" s="1">
        <v>3.7909000000000002</v>
      </c>
      <c r="C429" s="3">
        <f>Tabela1[[#This Row],[Alongamento(mm)]]/$I$2</f>
        <v>7.5817999999999997E-2</v>
      </c>
      <c r="D429" s="1">
        <v>507.74</v>
      </c>
      <c r="E429" s="5">
        <f>Tabela1[[#This Row],[Força(N)]]/$I$5</f>
        <v>11639539.681811931</v>
      </c>
      <c r="F429" s="3">
        <f>Tabela1[[#This Row],[Tensão(Pa)]]/1000000</f>
        <v>11.639539681811931</v>
      </c>
    </row>
    <row r="430" spans="1:6" x14ac:dyDescent="0.3">
      <c r="A430" s="1">
        <v>45.683</v>
      </c>
      <c r="B430" s="1">
        <v>3.7991000000000001</v>
      </c>
      <c r="C430" s="3">
        <f>Tabela1[[#This Row],[Alongamento(mm)]]/$I$2</f>
        <v>7.5982000000000008E-2</v>
      </c>
      <c r="D430" s="1">
        <v>511.49</v>
      </c>
      <c r="E430" s="5">
        <f>Tabela1[[#This Row],[Força(N)]]/$I$5</f>
        <v>11725505.478886802</v>
      </c>
      <c r="F430" s="3">
        <f>Tabela1[[#This Row],[Tensão(Pa)]]/1000000</f>
        <v>11.725505478886802</v>
      </c>
    </row>
    <row r="431" spans="1:6" x14ac:dyDescent="0.3">
      <c r="A431" s="1">
        <v>45.8</v>
      </c>
      <c r="B431" s="1">
        <v>3.8089</v>
      </c>
      <c r="C431" s="3">
        <f>Tabela1[[#This Row],[Alongamento(mm)]]/$I$2</f>
        <v>7.6177999999999996E-2</v>
      </c>
      <c r="D431" s="1">
        <v>515.74</v>
      </c>
      <c r="E431" s="5">
        <f>Tabela1[[#This Row],[Força(N)]]/$I$5</f>
        <v>11822933.382238321</v>
      </c>
      <c r="F431" s="3">
        <f>Tabela1[[#This Row],[Tensão(Pa)]]/1000000</f>
        <v>11.822933382238322</v>
      </c>
    </row>
    <row r="432" spans="1:6" x14ac:dyDescent="0.3">
      <c r="A432" s="1">
        <v>45.9</v>
      </c>
      <c r="B432" s="1">
        <v>3.8172000000000001</v>
      </c>
      <c r="C432" s="3">
        <f>Tabela1[[#This Row],[Alongamento(mm)]]/$I$2</f>
        <v>7.6344000000000009E-2</v>
      </c>
      <c r="D432" s="1">
        <v>519.48</v>
      </c>
      <c r="E432" s="5">
        <f>Tabela1[[#This Row],[Força(N)]]/$I$5</f>
        <v>11908669.937187659</v>
      </c>
      <c r="F432" s="3">
        <f>Tabela1[[#This Row],[Tensão(Pa)]]/1000000</f>
        <v>11.908669937187659</v>
      </c>
    </row>
    <row r="433" spans="1:6" x14ac:dyDescent="0.3">
      <c r="A433" s="1">
        <v>46.017000000000003</v>
      </c>
      <c r="B433" s="1">
        <v>3.8269000000000002</v>
      </c>
      <c r="C433" s="3">
        <f>Tabela1[[#This Row],[Alongamento(mm)]]/$I$2</f>
        <v>7.6538000000000009E-2</v>
      </c>
      <c r="D433" s="1">
        <v>523.73</v>
      </c>
      <c r="E433" s="5">
        <f>Tabela1[[#This Row],[Força(N)]]/$I$5</f>
        <v>12006097.840539178</v>
      </c>
      <c r="F433" s="3">
        <f>Tabela1[[#This Row],[Tensão(Pa)]]/1000000</f>
        <v>12.006097840539178</v>
      </c>
    </row>
    <row r="434" spans="1:6" x14ac:dyDescent="0.3">
      <c r="A434" s="1">
        <v>46.133000000000003</v>
      </c>
      <c r="B434" s="1">
        <v>3.8367</v>
      </c>
      <c r="C434" s="3">
        <f>Tabela1[[#This Row],[Alongamento(mm)]]/$I$2</f>
        <v>7.6733999999999997E-2</v>
      </c>
      <c r="D434" s="1">
        <v>527.99</v>
      </c>
      <c r="E434" s="5">
        <f>Tabela1[[#This Row],[Força(N)]]/$I$5</f>
        <v>12103754.986016231</v>
      </c>
      <c r="F434" s="3">
        <f>Tabela1[[#This Row],[Tensão(Pa)]]/1000000</f>
        <v>12.103754986016231</v>
      </c>
    </row>
    <row r="435" spans="1:6" x14ac:dyDescent="0.3">
      <c r="A435" s="1">
        <v>46.25</v>
      </c>
      <c r="B435" s="1">
        <v>3.8464</v>
      </c>
      <c r="C435" s="3">
        <f>Tabela1[[#This Row],[Alongamento(mm)]]/$I$2</f>
        <v>7.6927999999999996E-2</v>
      </c>
      <c r="D435" s="1">
        <v>532.41</v>
      </c>
      <c r="E435" s="5">
        <f>Tabela1[[#This Row],[Força(N)]]/$I$5</f>
        <v>12205080.00550181</v>
      </c>
      <c r="F435" s="3">
        <f>Tabela1[[#This Row],[Tensão(Pa)]]/1000000</f>
        <v>12.205080005501811</v>
      </c>
    </row>
    <row r="436" spans="1:6" x14ac:dyDescent="0.3">
      <c r="A436" s="1">
        <v>46.366999999999997</v>
      </c>
      <c r="B436" s="1">
        <v>3.8559999999999999</v>
      </c>
      <c r="C436" s="3">
        <f>Tabela1[[#This Row],[Alongamento(mm)]]/$I$2</f>
        <v>7.7119999999999994E-2</v>
      </c>
      <c r="D436" s="1">
        <v>536.66</v>
      </c>
      <c r="E436" s="5">
        <f>Tabela1[[#This Row],[Força(N)]]/$I$5</f>
        <v>12302507.908853332</v>
      </c>
      <c r="F436" s="3">
        <f>Tabela1[[#This Row],[Tensão(Pa)]]/1000000</f>
        <v>12.302507908853332</v>
      </c>
    </row>
    <row r="437" spans="1:6" x14ac:dyDescent="0.3">
      <c r="A437" s="1">
        <v>46.482999999999997</v>
      </c>
      <c r="B437" s="1">
        <v>3.8656999999999999</v>
      </c>
      <c r="C437" s="3">
        <f>Tabela1[[#This Row],[Alongamento(mm)]]/$I$2</f>
        <v>7.7313999999999994E-2</v>
      </c>
      <c r="D437" s="1">
        <v>540.91</v>
      </c>
      <c r="E437" s="5">
        <f>Tabela1[[#This Row],[Força(N)]]/$I$5</f>
        <v>12399935.812204851</v>
      </c>
      <c r="F437" s="3">
        <f>Tabela1[[#This Row],[Tensão(Pa)]]/1000000</f>
        <v>12.39993581220485</v>
      </c>
    </row>
    <row r="438" spans="1:6" x14ac:dyDescent="0.3">
      <c r="A438" s="1">
        <v>46.6</v>
      </c>
      <c r="B438" s="1">
        <v>3.8755000000000002</v>
      </c>
      <c r="C438" s="3">
        <f>Tabela1[[#This Row],[Alongamento(mm)]]/$I$2</f>
        <v>7.7510000000000009E-2</v>
      </c>
      <c r="D438" s="1">
        <v>545.16999999999996</v>
      </c>
      <c r="E438" s="5">
        <f>Tabela1[[#This Row],[Força(N)]]/$I$5</f>
        <v>12497592.957681904</v>
      </c>
      <c r="F438" s="3">
        <f>Tabela1[[#This Row],[Tensão(Pa)]]/1000000</f>
        <v>12.497592957681904</v>
      </c>
    </row>
    <row r="439" spans="1:6" x14ac:dyDescent="0.3">
      <c r="A439" s="1">
        <v>46.716999999999999</v>
      </c>
      <c r="B439" s="1">
        <v>3.8853</v>
      </c>
      <c r="C439" s="3">
        <f>Tabela1[[#This Row],[Alongamento(mm)]]/$I$2</f>
        <v>7.7705999999999997E-2</v>
      </c>
      <c r="D439" s="1">
        <v>549.59</v>
      </c>
      <c r="E439" s="5">
        <f>Tabela1[[#This Row],[Força(N)]]/$I$5</f>
        <v>12598917.977167485</v>
      </c>
      <c r="F439" s="3">
        <f>Tabela1[[#This Row],[Tensão(Pa)]]/1000000</f>
        <v>12.598917977167485</v>
      </c>
    </row>
    <row r="440" spans="1:6" x14ac:dyDescent="0.3">
      <c r="A440" s="1">
        <v>46.832999999999998</v>
      </c>
      <c r="B440" s="1">
        <v>3.8948999999999998</v>
      </c>
      <c r="C440" s="3">
        <f>Tabela1[[#This Row],[Alongamento(mm)]]/$I$2</f>
        <v>7.7897999999999995E-2</v>
      </c>
      <c r="D440" s="1">
        <v>553.84</v>
      </c>
      <c r="E440" s="5">
        <f>Tabela1[[#This Row],[Força(N)]]/$I$5</f>
        <v>12696345.880519006</v>
      </c>
      <c r="F440" s="3">
        <f>Tabela1[[#This Row],[Tensão(Pa)]]/1000000</f>
        <v>12.696345880519006</v>
      </c>
    </row>
    <row r="441" spans="1:6" x14ac:dyDescent="0.3">
      <c r="A441" s="1">
        <v>46.95</v>
      </c>
      <c r="B441" s="1">
        <v>3.9047000000000001</v>
      </c>
      <c r="C441" s="3">
        <f>Tabela1[[#This Row],[Alongamento(mm)]]/$I$2</f>
        <v>7.8093999999999997E-2</v>
      </c>
      <c r="D441" s="1">
        <v>558.26</v>
      </c>
      <c r="E441" s="5">
        <f>Tabela1[[#This Row],[Força(N)]]/$I$5</f>
        <v>12797670.900004586</v>
      </c>
      <c r="F441" s="3">
        <f>Tabela1[[#This Row],[Tensão(Pa)]]/1000000</f>
        <v>12.797670900004587</v>
      </c>
    </row>
    <row r="442" spans="1:6" x14ac:dyDescent="0.3">
      <c r="A442" s="1">
        <v>47.067</v>
      </c>
      <c r="B442" s="1">
        <v>3.9144999999999999</v>
      </c>
      <c r="C442" s="3">
        <f>Tabela1[[#This Row],[Alongamento(mm)]]/$I$2</f>
        <v>7.8289999999999998E-2</v>
      </c>
      <c r="D442" s="1">
        <v>562.69000000000005</v>
      </c>
      <c r="E442" s="5">
        <f>Tabela1[[#This Row],[Força(N)]]/$I$5</f>
        <v>12899225.161615701</v>
      </c>
      <c r="F442" s="3">
        <f>Tabela1[[#This Row],[Tensão(Pa)]]/1000000</f>
        <v>12.899225161615702</v>
      </c>
    </row>
    <row r="443" spans="1:6" x14ac:dyDescent="0.3">
      <c r="A443" s="1">
        <v>47.183</v>
      </c>
      <c r="B443" s="1">
        <v>3.9241999999999999</v>
      </c>
      <c r="C443" s="3">
        <f>Tabela1[[#This Row],[Alongamento(mm)]]/$I$2</f>
        <v>7.8483999999999998E-2</v>
      </c>
      <c r="D443" s="1">
        <v>567.11</v>
      </c>
      <c r="E443" s="5">
        <f>Tabela1[[#This Row],[Força(N)]]/$I$5</f>
        <v>13000550.181101281</v>
      </c>
      <c r="F443" s="3">
        <f>Tabela1[[#This Row],[Tensão(Pa)]]/1000000</f>
        <v>13.000550181101282</v>
      </c>
    </row>
    <row r="444" spans="1:6" x14ac:dyDescent="0.3">
      <c r="A444" s="1">
        <v>47.3</v>
      </c>
      <c r="B444" s="1">
        <v>3.9338000000000002</v>
      </c>
      <c r="C444" s="3">
        <f>Tabela1[[#This Row],[Alongamento(mm)]]/$I$2</f>
        <v>7.867600000000001E-2</v>
      </c>
      <c r="D444" s="1">
        <v>571.53</v>
      </c>
      <c r="E444" s="5">
        <f>Tabela1[[#This Row],[Força(N)]]/$I$5</f>
        <v>13101875.200586861</v>
      </c>
      <c r="F444" s="3">
        <f>Tabela1[[#This Row],[Tensão(Pa)]]/1000000</f>
        <v>13.101875200586861</v>
      </c>
    </row>
    <row r="445" spans="1:6" x14ac:dyDescent="0.3">
      <c r="A445" s="1">
        <v>47.417000000000002</v>
      </c>
      <c r="B445" s="1">
        <v>3.9434999999999998</v>
      </c>
      <c r="C445" s="3">
        <f>Tabela1[[#This Row],[Alongamento(mm)]]/$I$2</f>
        <v>7.8869999999999996E-2</v>
      </c>
      <c r="D445" s="1">
        <v>575.95000000000005</v>
      </c>
      <c r="E445" s="5">
        <f>Tabela1[[#This Row],[Força(N)]]/$I$5</f>
        <v>13203200.220072443</v>
      </c>
      <c r="F445" s="3">
        <f>Tabela1[[#This Row],[Tensão(Pa)]]/1000000</f>
        <v>13.203200220072443</v>
      </c>
    </row>
    <row r="446" spans="1:6" x14ac:dyDescent="0.3">
      <c r="A446" s="1">
        <v>47.533000000000001</v>
      </c>
      <c r="B446" s="1">
        <v>3.9533</v>
      </c>
      <c r="C446" s="3">
        <f>Tabela1[[#This Row],[Alongamento(mm)]]/$I$2</f>
        <v>7.9065999999999997E-2</v>
      </c>
      <c r="D446" s="1">
        <v>580.54999999999995</v>
      </c>
      <c r="E446" s="5">
        <f>Tabela1[[#This Row],[Força(N)]]/$I$5</f>
        <v>13308651.597817615</v>
      </c>
      <c r="F446" s="3">
        <f>Tabela1[[#This Row],[Tensão(Pa)]]/1000000</f>
        <v>13.308651597817615</v>
      </c>
    </row>
    <row r="447" spans="1:6" x14ac:dyDescent="0.3">
      <c r="A447" s="1">
        <v>47.65</v>
      </c>
      <c r="B447" s="1">
        <v>3.9630999999999998</v>
      </c>
      <c r="C447" s="3">
        <f>Tabela1[[#This Row],[Alongamento(mm)]]/$I$2</f>
        <v>7.9261999999999999E-2</v>
      </c>
      <c r="D447" s="1">
        <v>584.97</v>
      </c>
      <c r="E447" s="5">
        <f>Tabela1[[#This Row],[Força(N)]]/$I$5</f>
        <v>13409976.617303196</v>
      </c>
      <c r="F447" s="3">
        <f>Tabela1[[#This Row],[Tensão(Pa)]]/1000000</f>
        <v>13.409976617303196</v>
      </c>
    </row>
    <row r="448" spans="1:6" x14ac:dyDescent="0.3">
      <c r="A448" s="1">
        <v>47.767000000000003</v>
      </c>
      <c r="B448" s="1">
        <v>3.9727999999999999</v>
      </c>
      <c r="C448" s="3">
        <f>Tabela1[[#This Row],[Alongamento(mm)]]/$I$2</f>
        <v>7.9455999999999999E-2</v>
      </c>
      <c r="D448" s="1">
        <v>589.55999999999995</v>
      </c>
      <c r="E448" s="5">
        <f>Tabela1[[#This Row],[Força(N)]]/$I$5</f>
        <v>13515198.752922837</v>
      </c>
      <c r="F448" s="3">
        <f>Tabela1[[#This Row],[Tensão(Pa)]]/1000000</f>
        <v>13.515198752922837</v>
      </c>
    </row>
    <row r="449" spans="1:6" x14ac:dyDescent="0.3">
      <c r="A449" s="1">
        <v>47.883000000000003</v>
      </c>
      <c r="B449" s="1">
        <v>3.9824999999999999</v>
      </c>
      <c r="C449" s="3">
        <f>Tabela1[[#This Row],[Alongamento(mm)]]/$I$2</f>
        <v>7.9649999999999999E-2</v>
      </c>
      <c r="D449" s="1">
        <v>593.99</v>
      </c>
      <c r="E449" s="5">
        <f>Tabela1[[#This Row],[Força(N)]]/$I$5</f>
        <v>13616753.014533952</v>
      </c>
      <c r="F449" s="3">
        <f>Tabela1[[#This Row],[Tensão(Pa)]]/1000000</f>
        <v>13.616753014533952</v>
      </c>
    </row>
    <row r="450" spans="1:6" x14ac:dyDescent="0.3">
      <c r="A450" s="1">
        <v>48</v>
      </c>
      <c r="B450" s="1">
        <v>3.9922</v>
      </c>
      <c r="C450" s="3">
        <f>Tabela1[[#This Row],[Alongamento(mm)]]/$I$2</f>
        <v>7.9843999999999998E-2</v>
      </c>
      <c r="D450" s="1">
        <v>598.41</v>
      </c>
      <c r="E450" s="5">
        <f>Tabela1[[#This Row],[Força(N)]]/$I$5</f>
        <v>13718078.034019532</v>
      </c>
      <c r="F450" s="3">
        <f>Tabela1[[#This Row],[Tensão(Pa)]]/1000000</f>
        <v>13.718078034019532</v>
      </c>
    </row>
    <row r="451" spans="1:6" x14ac:dyDescent="0.3">
      <c r="A451" s="1">
        <v>48.116999999999997</v>
      </c>
      <c r="B451" s="1">
        <v>4.0019999999999998</v>
      </c>
      <c r="C451" s="3">
        <f>Tabela1[[#This Row],[Alongamento(mm)]]/$I$2</f>
        <v>8.004E-2</v>
      </c>
      <c r="D451" s="1">
        <v>603.16999999999996</v>
      </c>
      <c r="E451" s="5">
        <f>Tabela1[[#This Row],[Força(N)]]/$I$5</f>
        <v>13827197.285773234</v>
      </c>
      <c r="F451" s="3">
        <f>Tabela1[[#This Row],[Tensão(Pa)]]/1000000</f>
        <v>13.827197285773234</v>
      </c>
    </row>
    <row r="452" spans="1:6" x14ac:dyDescent="0.3">
      <c r="A452" s="1">
        <v>48.232999999999997</v>
      </c>
      <c r="B452" s="1">
        <v>4.0115999999999996</v>
      </c>
      <c r="C452" s="3">
        <f>Tabela1[[#This Row],[Alongamento(mm)]]/$I$2</f>
        <v>8.0231999999999998E-2</v>
      </c>
      <c r="D452" s="1">
        <v>607.76</v>
      </c>
      <c r="E452" s="5">
        <f>Tabela1[[#This Row],[Força(N)]]/$I$5</f>
        <v>13932419.421392877</v>
      </c>
      <c r="F452" s="3">
        <f>Tabela1[[#This Row],[Tensão(Pa)]]/1000000</f>
        <v>13.932419421392877</v>
      </c>
    </row>
    <row r="453" spans="1:6" x14ac:dyDescent="0.3">
      <c r="A453" s="1">
        <v>48.35</v>
      </c>
      <c r="B453" s="1">
        <v>4.0213000000000001</v>
      </c>
      <c r="C453" s="3">
        <f>Tabela1[[#This Row],[Alongamento(mm)]]/$I$2</f>
        <v>8.0425999999999997E-2</v>
      </c>
      <c r="D453" s="1">
        <v>612.36</v>
      </c>
      <c r="E453" s="5">
        <f>Tabela1[[#This Row],[Força(N)]]/$I$5</f>
        <v>14037870.799138051</v>
      </c>
      <c r="F453" s="3">
        <f>Tabela1[[#This Row],[Tensão(Pa)]]/1000000</f>
        <v>14.03787079913805</v>
      </c>
    </row>
    <row r="454" spans="1:6" x14ac:dyDescent="0.3">
      <c r="A454" s="1">
        <v>48.466999999999999</v>
      </c>
      <c r="B454" s="1">
        <v>4.0311000000000003</v>
      </c>
      <c r="C454" s="3">
        <f>Tabela1[[#This Row],[Alongamento(mm)]]/$I$2</f>
        <v>8.0622000000000013E-2</v>
      </c>
      <c r="D454" s="1">
        <v>617.12</v>
      </c>
      <c r="E454" s="5">
        <f>Tabela1[[#This Row],[Força(N)]]/$I$5</f>
        <v>14146990.050891753</v>
      </c>
      <c r="F454" s="3">
        <f>Tabela1[[#This Row],[Tensão(Pa)]]/1000000</f>
        <v>14.146990050891754</v>
      </c>
    </row>
    <row r="455" spans="1:6" x14ac:dyDescent="0.3">
      <c r="A455" s="1">
        <v>48.6</v>
      </c>
      <c r="B455" s="1">
        <v>4.0422000000000002</v>
      </c>
      <c r="C455" s="3">
        <f>Tabela1[[#This Row],[Alongamento(mm)]]/$I$2</f>
        <v>8.0843999999999999E-2</v>
      </c>
      <c r="D455" s="1">
        <v>622.39</v>
      </c>
      <c r="E455" s="5">
        <f>Tabela1[[#This Row],[Força(N)]]/$I$5</f>
        <v>14267800.651047638</v>
      </c>
      <c r="F455" s="3">
        <f>Tabela1[[#This Row],[Tensão(Pa)]]/1000000</f>
        <v>14.267800651047638</v>
      </c>
    </row>
    <row r="456" spans="1:6" x14ac:dyDescent="0.3">
      <c r="A456" s="1">
        <v>48.732999999999997</v>
      </c>
      <c r="B456" s="1">
        <v>4.0533000000000001</v>
      </c>
      <c r="C456" s="3">
        <f>Tabela1[[#This Row],[Alongamento(mm)]]/$I$2</f>
        <v>8.1065999999999999E-2</v>
      </c>
      <c r="D456" s="1">
        <v>627.83000000000004</v>
      </c>
      <c r="E456" s="5">
        <f>Tabela1[[#This Row],[Força(N)]]/$I$5</f>
        <v>14392508.367337584</v>
      </c>
      <c r="F456" s="3">
        <f>Tabela1[[#This Row],[Tensão(Pa)]]/1000000</f>
        <v>14.392508367337584</v>
      </c>
    </row>
    <row r="457" spans="1:6" x14ac:dyDescent="0.3">
      <c r="A457" s="1">
        <v>48.866999999999997</v>
      </c>
      <c r="B457" s="1">
        <v>4.0644999999999998</v>
      </c>
      <c r="C457" s="3">
        <f>Tabela1[[#This Row],[Alongamento(mm)]]/$I$2</f>
        <v>8.1290000000000001E-2</v>
      </c>
      <c r="D457" s="1">
        <v>633.11</v>
      </c>
      <c r="E457" s="5">
        <f>Tabela1[[#This Row],[Força(N)]]/$I$5</f>
        <v>14513548.209619001</v>
      </c>
      <c r="F457" s="3">
        <f>Tabela1[[#This Row],[Tensão(Pa)]]/1000000</f>
        <v>14.513548209619001</v>
      </c>
    </row>
    <row r="458" spans="1:6" x14ac:dyDescent="0.3">
      <c r="A458" s="1">
        <v>49</v>
      </c>
      <c r="B458" s="1">
        <v>4.0755999999999997</v>
      </c>
      <c r="C458" s="3">
        <f>Tabela1[[#This Row],[Alongamento(mm)]]/$I$2</f>
        <v>8.1511999999999987E-2</v>
      </c>
      <c r="D458" s="1">
        <v>638.38</v>
      </c>
      <c r="E458" s="5">
        <f>Tabela1[[#This Row],[Força(N)]]/$I$5</f>
        <v>14634358.809774885</v>
      </c>
      <c r="F458" s="3">
        <f>Tabela1[[#This Row],[Tensão(Pa)]]/1000000</f>
        <v>14.634358809774884</v>
      </c>
    </row>
    <row r="459" spans="1:6" x14ac:dyDescent="0.3">
      <c r="A459" s="1">
        <v>49.133000000000003</v>
      </c>
      <c r="B459" s="1">
        <v>4.0865999999999998</v>
      </c>
      <c r="C459" s="3">
        <f>Tabela1[[#This Row],[Alongamento(mm)]]/$I$2</f>
        <v>8.1731999999999999E-2</v>
      </c>
      <c r="D459" s="1">
        <v>643.65</v>
      </c>
      <c r="E459" s="5">
        <f>Tabela1[[#This Row],[Força(N)]]/$I$5</f>
        <v>14755169.409930769</v>
      </c>
      <c r="F459" s="3">
        <f>Tabela1[[#This Row],[Tensão(Pa)]]/1000000</f>
        <v>14.755169409930769</v>
      </c>
    </row>
    <row r="460" spans="1:6" x14ac:dyDescent="0.3">
      <c r="A460" s="1">
        <v>49.25</v>
      </c>
      <c r="B460" s="1">
        <v>4.0964</v>
      </c>
      <c r="C460" s="3">
        <f>Tabela1[[#This Row],[Alongamento(mm)]]/$I$2</f>
        <v>8.1928000000000001E-2</v>
      </c>
      <c r="D460" s="1">
        <v>648.41999999999996</v>
      </c>
      <c r="E460" s="5">
        <f>Tabela1[[#This Row],[Força(N)]]/$I$5</f>
        <v>14864517.903810004</v>
      </c>
      <c r="F460" s="3">
        <f>Tabela1[[#This Row],[Tensão(Pa)]]/1000000</f>
        <v>14.864517903810004</v>
      </c>
    </row>
    <row r="461" spans="1:6" x14ac:dyDescent="0.3">
      <c r="A461" s="1">
        <v>49.383000000000003</v>
      </c>
      <c r="B461" s="1">
        <v>4.1074999999999999</v>
      </c>
      <c r="C461" s="3">
        <f>Tabela1[[#This Row],[Alongamento(mm)]]/$I$2</f>
        <v>8.2150000000000001E-2</v>
      </c>
      <c r="D461" s="1">
        <v>653.69000000000005</v>
      </c>
      <c r="E461" s="5">
        <f>Tabela1[[#This Row],[Força(N)]]/$I$5</f>
        <v>14985328.503965892</v>
      </c>
      <c r="F461" s="3">
        <f>Tabela1[[#This Row],[Tensão(Pa)]]/1000000</f>
        <v>14.985328503965892</v>
      </c>
    </row>
    <row r="462" spans="1:6" x14ac:dyDescent="0.3">
      <c r="A462" s="1">
        <v>49.517000000000003</v>
      </c>
      <c r="B462" s="1">
        <v>4.1185999999999998</v>
      </c>
      <c r="C462" s="3">
        <f>Tabela1[[#This Row],[Alongamento(mm)]]/$I$2</f>
        <v>8.2372000000000001E-2</v>
      </c>
      <c r="D462" s="1">
        <v>658.96</v>
      </c>
      <c r="E462" s="5">
        <f>Tabela1[[#This Row],[Força(N)]]/$I$5</f>
        <v>15106139.104121776</v>
      </c>
      <c r="F462" s="3">
        <f>Tabela1[[#This Row],[Tensão(Pa)]]/1000000</f>
        <v>15.106139104121777</v>
      </c>
    </row>
    <row r="463" spans="1:6" x14ac:dyDescent="0.3">
      <c r="A463" s="1">
        <v>49.65</v>
      </c>
      <c r="B463" s="1">
        <v>4.1295999999999999</v>
      </c>
      <c r="C463" s="3">
        <f>Tabela1[[#This Row],[Alongamento(mm)]]/$I$2</f>
        <v>8.2591999999999999E-2</v>
      </c>
      <c r="D463" s="1">
        <v>664.24</v>
      </c>
      <c r="E463" s="5">
        <f>Tabela1[[#This Row],[Força(N)]]/$I$5</f>
        <v>15227178.946403192</v>
      </c>
      <c r="F463" s="3">
        <f>Tabela1[[#This Row],[Tensão(Pa)]]/1000000</f>
        <v>15.227178946403193</v>
      </c>
    </row>
    <row r="464" spans="1:6" x14ac:dyDescent="0.3">
      <c r="A464" s="1">
        <v>49.783000000000001</v>
      </c>
      <c r="B464" s="1">
        <v>4.1407999999999996</v>
      </c>
      <c r="C464" s="3">
        <f>Tabela1[[#This Row],[Alongamento(mm)]]/$I$2</f>
        <v>8.2815999999999987E-2</v>
      </c>
      <c r="D464" s="1">
        <v>669.68</v>
      </c>
      <c r="E464" s="5">
        <f>Tabela1[[#This Row],[Força(N)]]/$I$5</f>
        <v>15351886.662693137</v>
      </c>
      <c r="F464" s="3">
        <f>Tabela1[[#This Row],[Tensão(Pa)]]/1000000</f>
        <v>15.351886662693138</v>
      </c>
    </row>
    <row r="465" spans="1:6" x14ac:dyDescent="0.3">
      <c r="A465" s="1">
        <v>49.917000000000002</v>
      </c>
      <c r="B465" s="1">
        <v>4.1520000000000001</v>
      </c>
      <c r="C465" s="3">
        <f>Tabela1[[#This Row],[Alongamento(mm)]]/$I$2</f>
        <v>8.3040000000000003E-2</v>
      </c>
      <c r="D465" s="1">
        <v>674.95</v>
      </c>
      <c r="E465" s="5">
        <f>Tabela1[[#This Row],[Força(N)]]/$I$5</f>
        <v>15472697.262849024</v>
      </c>
      <c r="F465" s="3">
        <f>Tabela1[[#This Row],[Tensão(Pa)]]/1000000</f>
        <v>15.472697262849023</v>
      </c>
    </row>
    <row r="466" spans="1:6" x14ac:dyDescent="0.3">
      <c r="A466" s="1">
        <v>50.05</v>
      </c>
      <c r="B466" s="1">
        <v>4.1630000000000003</v>
      </c>
      <c r="C466" s="3">
        <f>Tabela1[[#This Row],[Alongamento(mm)]]/$I$2</f>
        <v>8.3260000000000001E-2</v>
      </c>
      <c r="D466" s="1">
        <v>680.23</v>
      </c>
      <c r="E466" s="5">
        <f>Tabela1[[#This Row],[Força(N)]]/$I$5</f>
        <v>15593737.10513044</v>
      </c>
      <c r="F466" s="3">
        <f>Tabela1[[#This Row],[Tensão(Pa)]]/1000000</f>
        <v>15.59373710513044</v>
      </c>
    </row>
    <row r="467" spans="1:6" x14ac:dyDescent="0.3">
      <c r="A467" s="1">
        <v>50.183</v>
      </c>
      <c r="B467" s="1">
        <v>4.1741000000000001</v>
      </c>
      <c r="C467" s="3">
        <f>Tabela1[[#This Row],[Alongamento(mm)]]/$I$2</f>
        <v>8.3482000000000001E-2</v>
      </c>
      <c r="D467" s="1">
        <v>685.5</v>
      </c>
      <c r="E467" s="5">
        <f>Tabela1[[#This Row],[Força(N)]]/$I$5</f>
        <v>15714547.705286324</v>
      </c>
      <c r="F467" s="3">
        <f>Tabela1[[#This Row],[Tensão(Pa)]]/1000000</f>
        <v>15.714547705286323</v>
      </c>
    </row>
    <row r="468" spans="1:6" x14ac:dyDescent="0.3">
      <c r="A468" s="1">
        <v>50.317</v>
      </c>
      <c r="B468" s="1">
        <v>4.1852999999999998</v>
      </c>
      <c r="C468" s="3">
        <f>Tabela1[[#This Row],[Alongamento(mm)]]/$I$2</f>
        <v>8.3706000000000003E-2</v>
      </c>
      <c r="D468" s="1">
        <v>690.77</v>
      </c>
      <c r="E468" s="5">
        <f>Tabela1[[#This Row],[Força(N)]]/$I$5</f>
        <v>15835358.305442208</v>
      </c>
      <c r="F468" s="3">
        <f>Tabela1[[#This Row],[Tensão(Pa)]]/1000000</f>
        <v>15.835358305442208</v>
      </c>
    </row>
    <row r="469" spans="1:6" x14ac:dyDescent="0.3">
      <c r="A469" s="1">
        <v>50.45</v>
      </c>
      <c r="B469" s="1">
        <v>4.1963999999999997</v>
      </c>
      <c r="C469" s="3">
        <f>Tabela1[[#This Row],[Alongamento(mm)]]/$I$2</f>
        <v>8.3927999999999989E-2</v>
      </c>
      <c r="D469" s="1">
        <v>696.04</v>
      </c>
      <c r="E469" s="5">
        <f>Tabela1[[#This Row],[Força(N)]]/$I$5</f>
        <v>15956168.905598093</v>
      </c>
      <c r="F469" s="3">
        <f>Tabela1[[#This Row],[Tensão(Pa)]]/1000000</f>
        <v>15.956168905598092</v>
      </c>
    </row>
    <row r="470" spans="1:6" x14ac:dyDescent="0.3">
      <c r="A470" s="1">
        <v>50.582999999999998</v>
      </c>
      <c r="B470" s="1">
        <v>4.2073999999999998</v>
      </c>
      <c r="C470" s="3">
        <f>Tabela1[[#This Row],[Alongamento(mm)]]/$I$2</f>
        <v>8.4148000000000001E-2</v>
      </c>
      <c r="D470" s="1">
        <v>701.49</v>
      </c>
      <c r="E470" s="5">
        <f>Tabela1[[#This Row],[Força(N)]]/$I$5</f>
        <v>16081105.864013573</v>
      </c>
      <c r="F470" s="3">
        <f>Tabela1[[#This Row],[Tensão(Pa)]]/1000000</f>
        <v>16.081105864013573</v>
      </c>
    </row>
    <row r="471" spans="1:6" x14ac:dyDescent="0.3">
      <c r="A471" s="1">
        <v>50.732999999999997</v>
      </c>
      <c r="B471" s="1">
        <v>4.22</v>
      </c>
      <c r="C471" s="3">
        <f>Tabela1[[#This Row],[Alongamento(mm)]]/$I$2</f>
        <v>8.4399999999999989E-2</v>
      </c>
      <c r="D471" s="1">
        <v>707.44</v>
      </c>
      <c r="E471" s="5">
        <f>Tabela1[[#This Row],[Força(N)]]/$I$5</f>
        <v>16217504.928705702</v>
      </c>
      <c r="F471" s="3">
        <f>Tabela1[[#This Row],[Tensão(Pa)]]/1000000</f>
        <v>16.217504928705701</v>
      </c>
    </row>
    <row r="472" spans="1:6" x14ac:dyDescent="0.3">
      <c r="A472" s="1">
        <v>50.866999999999997</v>
      </c>
      <c r="B472" s="1">
        <v>4.2310999999999996</v>
      </c>
      <c r="C472" s="3">
        <f>Tabela1[[#This Row],[Alongamento(mm)]]/$I$2</f>
        <v>8.4621999999999989E-2</v>
      </c>
      <c r="D472" s="1">
        <v>712.88</v>
      </c>
      <c r="E472" s="5">
        <f>Tabela1[[#This Row],[Força(N)]]/$I$5</f>
        <v>16342212.644995645</v>
      </c>
      <c r="F472" s="3">
        <f>Tabela1[[#This Row],[Tensão(Pa)]]/1000000</f>
        <v>16.342212644995644</v>
      </c>
    </row>
    <row r="473" spans="1:6" x14ac:dyDescent="0.3">
      <c r="A473" s="1">
        <v>51.017000000000003</v>
      </c>
      <c r="B473" s="1">
        <v>4.2435</v>
      </c>
      <c r="C473" s="3">
        <f>Tabela1[[#This Row],[Alongamento(mm)]]/$I$2</f>
        <v>8.4870000000000001E-2</v>
      </c>
      <c r="D473" s="1">
        <v>718.84</v>
      </c>
      <c r="E473" s="5">
        <f>Tabela1[[#This Row],[Força(N)]]/$I$5</f>
        <v>16478840.951813307</v>
      </c>
      <c r="F473" s="3">
        <f>Tabela1[[#This Row],[Tensão(Pa)]]/1000000</f>
        <v>16.478840951813307</v>
      </c>
    </row>
    <row r="474" spans="1:6" x14ac:dyDescent="0.3">
      <c r="A474" s="1">
        <v>51.15</v>
      </c>
      <c r="B474" s="1">
        <v>4.2546999999999997</v>
      </c>
      <c r="C474" s="3">
        <f>Tabela1[[#This Row],[Alongamento(mm)]]/$I$2</f>
        <v>8.5093999999999989E-2</v>
      </c>
      <c r="D474" s="1">
        <v>724.28</v>
      </c>
      <c r="E474" s="5">
        <f>Tabela1[[#This Row],[Força(N)]]/$I$5</f>
        <v>16603548.668103252</v>
      </c>
      <c r="F474" s="3">
        <f>Tabela1[[#This Row],[Tensão(Pa)]]/1000000</f>
        <v>16.603548668103251</v>
      </c>
    </row>
    <row r="475" spans="1:6" x14ac:dyDescent="0.3">
      <c r="A475" s="1">
        <v>51.3</v>
      </c>
      <c r="B475" s="1">
        <v>4.2671999999999999</v>
      </c>
      <c r="C475" s="3">
        <f>Tabela1[[#This Row],[Alongamento(mm)]]/$I$2</f>
        <v>8.5344000000000003E-2</v>
      </c>
      <c r="D475" s="1">
        <v>730.23</v>
      </c>
      <c r="E475" s="5">
        <f>Tabela1[[#This Row],[Força(N)]]/$I$5</f>
        <v>16739947.73279538</v>
      </c>
      <c r="F475" s="3">
        <f>Tabela1[[#This Row],[Tensão(Pa)]]/1000000</f>
        <v>16.739947732795379</v>
      </c>
    </row>
    <row r="476" spans="1:6" x14ac:dyDescent="0.3">
      <c r="A476" s="1">
        <v>51.433</v>
      </c>
      <c r="B476" s="1">
        <v>4.2782999999999998</v>
      </c>
      <c r="C476" s="3">
        <f>Tabela1[[#This Row],[Alongamento(mm)]]/$I$2</f>
        <v>8.5565999999999989E-2</v>
      </c>
      <c r="D476" s="1">
        <v>735.68</v>
      </c>
      <c r="E476" s="5">
        <f>Tabela1[[#This Row],[Força(N)]]/$I$5</f>
        <v>16864884.691210859</v>
      </c>
      <c r="F476" s="3">
        <f>Tabela1[[#This Row],[Tensão(Pa)]]/1000000</f>
        <v>16.864884691210857</v>
      </c>
    </row>
    <row r="477" spans="1:6" x14ac:dyDescent="0.3">
      <c r="A477" s="1">
        <v>51.567</v>
      </c>
      <c r="B477" s="1">
        <v>4.2893999999999997</v>
      </c>
      <c r="C477" s="3">
        <f>Tabela1[[#This Row],[Alongamento(mm)]]/$I$2</f>
        <v>8.5787999999999989E-2</v>
      </c>
      <c r="D477" s="1">
        <v>741.12</v>
      </c>
      <c r="E477" s="5">
        <f>Tabela1[[#This Row],[Força(N)]]/$I$5</f>
        <v>16989592.407500803</v>
      </c>
      <c r="F477" s="3">
        <f>Tabela1[[#This Row],[Tensão(Pa)]]/1000000</f>
        <v>16.989592407500805</v>
      </c>
    </row>
    <row r="478" spans="1:6" x14ac:dyDescent="0.3">
      <c r="A478" s="1">
        <v>51.716999999999999</v>
      </c>
      <c r="B478" s="1">
        <v>4.3019999999999996</v>
      </c>
      <c r="C478" s="3">
        <f>Tabela1[[#This Row],[Alongamento(mm)]]/$I$2</f>
        <v>8.6039999999999991E-2</v>
      </c>
      <c r="D478" s="1">
        <v>747.24</v>
      </c>
      <c r="E478" s="5">
        <f>Tabela1[[#This Row],[Força(N)]]/$I$5</f>
        <v>17129888.588326991</v>
      </c>
      <c r="F478" s="3">
        <f>Tabela1[[#This Row],[Tensão(Pa)]]/1000000</f>
        <v>17.129888588326992</v>
      </c>
    </row>
    <row r="479" spans="1:6" x14ac:dyDescent="0.3">
      <c r="A479" s="1">
        <v>51.866999999999997</v>
      </c>
      <c r="B479" s="1">
        <v>4.3144</v>
      </c>
      <c r="C479" s="3">
        <f>Tabela1[[#This Row],[Alongamento(mm)]]/$I$2</f>
        <v>8.6288000000000004E-2</v>
      </c>
      <c r="D479" s="1">
        <v>753.37</v>
      </c>
      <c r="E479" s="5">
        <f>Tabela1[[#This Row],[Força(N)]]/$I$5</f>
        <v>17270414.011278715</v>
      </c>
      <c r="F479" s="3">
        <f>Tabela1[[#This Row],[Tensão(Pa)]]/1000000</f>
        <v>17.270414011278714</v>
      </c>
    </row>
    <row r="480" spans="1:6" x14ac:dyDescent="0.3">
      <c r="A480" s="1">
        <v>52.017000000000003</v>
      </c>
      <c r="B480" s="1">
        <v>4.3269000000000002</v>
      </c>
      <c r="C480" s="3">
        <f>Tabela1[[#This Row],[Alongamento(mm)]]/$I$2</f>
        <v>8.6538000000000004E-2</v>
      </c>
      <c r="D480" s="1">
        <v>759.49</v>
      </c>
      <c r="E480" s="5">
        <f>Tabela1[[#This Row],[Força(N)]]/$I$5</f>
        <v>17410710.192104902</v>
      </c>
      <c r="F480" s="3">
        <f>Tabela1[[#This Row],[Tensão(Pa)]]/1000000</f>
        <v>17.410710192104901</v>
      </c>
    </row>
    <row r="481" spans="1:6" x14ac:dyDescent="0.3">
      <c r="A481" s="1">
        <v>52.167000000000002</v>
      </c>
      <c r="B481" s="1">
        <v>4.3395000000000001</v>
      </c>
      <c r="C481" s="3">
        <f>Tabela1[[#This Row],[Alongamento(mm)]]/$I$2</f>
        <v>8.6790000000000006E-2</v>
      </c>
      <c r="D481" s="1">
        <v>765.78</v>
      </c>
      <c r="E481" s="5">
        <f>Tabela1[[#This Row],[Força(N)]]/$I$5</f>
        <v>17554903.489065152</v>
      </c>
      <c r="F481" s="3">
        <f>Tabela1[[#This Row],[Tensão(Pa)]]/1000000</f>
        <v>17.554903489065151</v>
      </c>
    </row>
    <row r="482" spans="1:6" x14ac:dyDescent="0.3">
      <c r="A482" s="1">
        <v>52.317</v>
      </c>
      <c r="B482" s="1">
        <v>4.3518999999999997</v>
      </c>
      <c r="C482" s="3">
        <f>Tabela1[[#This Row],[Alongamento(mm)]]/$I$2</f>
        <v>8.703799999999999E-2</v>
      </c>
      <c r="D482" s="1">
        <v>771.91</v>
      </c>
      <c r="E482" s="5">
        <f>Tabela1[[#This Row],[Força(N)]]/$I$5</f>
        <v>17695428.912016872</v>
      </c>
      <c r="F482" s="3">
        <f>Tabela1[[#This Row],[Tensão(Pa)]]/1000000</f>
        <v>17.695428912016872</v>
      </c>
    </row>
    <row r="483" spans="1:6" x14ac:dyDescent="0.3">
      <c r="A483" s="1">
        <v>52.466999999999999</v>
      </c>
      <c r="B483" s="1">
        <v>4.3643999999999998</v>
      </c>
      <c r="C483" s="3">
        <f>Tabela1[[#This Row],[Alongamento(mm)]]/$I$2</f>
        <v>8.7287999999999991E-2</v>
      </c>
      <c r="D483" s="1">
        <v>778.03</v>
      </c>
      <c r="E483" s="5">
        <f>Tabela1[[#This Row],[Força(N)]]/$I$5</f>
        <v>17835725.092843063</v>
      </c>
      <c r="F483" s="3">
        <f>Tabela1[[#This Row],[Tensão(Pa)]]/1000000</f>
        <v>17.835725092843063</v>
      </c>
    </row>
    <row r="484" spans="1:6" x14ac:dyDescent="0.3">
      <c r="A484" s="1">
        <v>52.616999999999997</v>
      </c>
      <c r="B484" s="1">
        <v>4.3769</v>
      </c>
      <c r="C484" s="3">
        <f>Tabela1[[#This Row],[Alongamento(mm)]]/$I$2</f>
        <v>8.7538000000000005E-2</v>
      </c>
      <c r="D484" s="1">
        <v>784.33</v>
      </c>
      <c r="E484" s="5">
        <f>Tabela1[[#This Row],[Força(N)]]/$I$5</f>
        <v>17980147.631928846</v>
      </c>
      <c r="F484" s="3">
        <f>Tabela1[[#This Row],[Tensão(Pa)]]/1000000</f>
        <v>17.980147631928848</v>
      </c>
    </row>
    <row r="485" spans="1:6" x14ac:dyDescent="0.3">
      <c r="A485" s="1">
        <v>52.767000000000003</v>
      </c>
      <c r="B485" s="1">
        <v>4.3895</v>
      </c>
      <c r="C485" s="3">
        <f>Tabela1[[#This Row],[Alongamento(mm)]]/$I$2</f>
        <v>8.7789999999999993E-2</v>
      </c>
      <c r="D485" s="1">
        <v>790.62</v>
      </c>
      <c r="E485" s="5">
        <f>Tabela1[[#This Row],[Força(N)]]/$I$5</f>
        <v>18124340.928889096</v>
      </c>
      <c r="F485" s="3">
        <f>Tabela1[[#This Row],[Tensão(Pa)]]/1000000</f>
        <v>18.124340928889097</v>
      </c>
    </row>
    <row r="486" spans="1:6" x14ac:dyDescent="0.3">
      <c r="A486" s="1">
        <v>52.917000000000002</v>
      </c>
      <c r="B486" s="1">
        <v>4.4019000000000004</v>
      </c>
      <c r="C486" s="3">
        <f>Tabela1[[#This Row],[Alongamento(mm)]]/$I$2</f>
        <v>8.8038000000000005E-2</v>
      </c>
      <c r="D486" s="1">
        <v>796.74</v>
      </c>
      <c r="E486" s="5">
        <f>Tabela1[[#This Row],[Força(N)]]/$I$5</f>
        <v>18264637.109715283</v>
      </c>
      <c r="F486" s="3">
        <f>Tabela1[[#This Row],[Tensão(Pa)]]/1000000</f>
        <v>18.264637109715284</v>
      </c>
    </row>
    <row r="487" spans="1:6" x14ac:dyDescent="0.3">
      <c r="A487" s="1">
        <v>53.067</v>
      </c>
      <c r="B487" s="1">
        <v>4.4143999999999997</v>
      </c>
      <c r="C487" s="3">
        <f>Tabela1[[#This Row],[Alongamento(mm)]]/$I$2</f>
        <v>8.8287999999999991E-2</v>
      </c>
      <c r="D487" s="1">
        <v>803.04</v>
      </c>
      <c r="E487" s="5">
        <f>Tabela1[[#This Row],[Força(N)]]/$I$5</f>
        <v>18409059.648801066</v>
      </c>
      <c r="F487" s="3">
        <f>Tabela1[[#This Row],[Tensão(Pa)]]/1000000</f>
        <v>18.409059648801065</v>
      </c>
    </row>
    <row r="488" spans="1:6" x14ac:dyDescent="0.3">
      <c r="A488" s="1">
        <v>53.216999999999999</v>
      </c>
      <c r="B488" s="1">
        <v>4.4269999999999996</v>
      </c>
      <c r="C488" s="3">
        <f>Tabela1[[#This Row],[Alongamento(mm)]]/$I$2</f>
        <v>8.8539999999999994E-2</v>
      </c>
      <c r="D488" s="1">
        <v>809.33</v>
      </c>
      <c r="E488" s="5">
        <f>Tabela1[[#This Row],[Força(N)]]/$I$5</f>
        <v>18553252.945761316</v>
      </c>
      <c r="F488" s="3">
        <f>Tabela1[[#This Row],[Tensão(Pa)]]/1000000</f>
        <v>18.553252945761315</v>
      </c>
    </row>
    <row r="489" spans="1:6" x14ac:dyDescent="0.3">
      <c r="A489" s="1">
        <v>53.366999999999997</v>
      </c>
      <c r="B489" s="1">
        <v>4.4393000000000002</v>
      </c>
      <c r="C489" s="3">
        <f>Tabela1[[#This Row],[Alongamento(mm)]]/$I$2</f>
        <v>8.8786000000000004E-2</v>
      </c>
      <c r="D489" s="1">
        <v>815.79</v>
      </c>
      <c r="E489" s="5">
        <f>Tabela1[[#This Row],[Força(N)]]/$I$5</f>
        <v>18701343.358855624</v>
      </c>
      <c r="F489" s="3">
        <f>Tabela1[[#This Row],[Tensão(Pa)]]/1000000</f>
        <v>18.701343358855624</v>
      </c>
    </row>
    <row r="490" spans="1:6" x14ac:dyDescent="0.3">
      <c r="A490" s="1">
        <v>53.517000000000003</v>
      </c>
      <c r="B490" s="1">
        <v>4.4519000000000002</v>
      </c>
      <c r="C490" s="3">
        <f>Tabela1[[#This Row],[Alongamento(mm)]]/$I$2</f>
        <v>8.9038000000000006E-2</v>
      </c>
      <c r="D490" s="1">
        <v>822.26</v>
      </c>
      <c r="E490" s="5">
        <f>Tabela1[[#This Row],[Força(N)]]/$I$5</f>
        <v>18849663.014075469</v>
      </c>
      <c r="F490" s="3">
        <f>Tabela1[[#This Row],[Tensão(Pa)]]/1000000</f>
        <v>18.849663014075468</v>
      </c>
    </row>
    <row r="491" spans="1:6" x14ac:dyDescent="0.3">
      <c r="A491" s="1">
        <v>53.667000000000002</v>
      </c>
      <c r="B491" s="1">
        <v>4.4645000000000001</v>
      </c>
      <c r="C491" s="3">
        <f>Tabela1[[#This Row],[Alongamento(mm)]]/$I$2</f>
        <v>8.9290000000000008E-2</v>
      </c>
      <c r="D491" s="1">
        <v>828.72</v>
      </c>
      <c r="E491" s="5">
        <f>Tabela1[[#This Row],[Força(N)]]/$I$5</f>
        <v>18997753.427169777</v>
      </c>
      <c r="F491" s="3">
        <f>Tabela1[[#This Row],[Tensão(Pa)]]/1000000</f>
        <v>18.997753427169776</v>
      </c>
    </row>
    <row r="492" spans="1:6" x14ac:dyDescent="0.3">
      <c r="A492" s="1">
        <v>53.817</v>
      </c>
      <c r="B492" s="1">
        <v>4.4768999999999997</v>
      </c>
      <c r="C492" s="3">
        <f>Tabela1[[#This Row],[Alongamento(mm)]]/$I$2</f>
        <v>8.9537999999999993E-2</v>
      </c>
      <c r="D492" s="1">
        <v>835.36</v>
      </c>
      <c r="E492" s="5">
        <f>Tabela1[[#This Row],[Força(N)]]/$I$5</f>
        <v>19149970.198523682</v>
      </c>
      <c r="F492" s="3">
        <f>Tabela1[[#This Row],[Tensão(Pa)]]/1000000</f>
        <v>19.149970198523683</v>
      </c>
    </row>
    <row r="493" spans="1:6" x14ac:dyDescent="0.3">
      <c r="A493" s="1">
        <v>53.966999999999999</v>
      </c>
      <c r="B493" s="1">
        <v>4.4894999999999996</v>
      </c>
      <c r="C493" s="3">
        <f>Tabela1[[#This Row],[Alongamento(mm)]]/$I$2</f>
        <v>8.9789999999999995E-2</v>
      </c>
      <c r="D493" s="1">
        <v>841.99</v>
      </c>
      <c r="E493" s="5">
        <f>Tabela1[[#This Row],[Força(N)]]/$I$5</f>
        <v>19301957.727752052</v>
      </c>
      <c r="F493" s="3">
        <f>Tabela1[[#This Row],[Tensão(Pa)]]/1000000</f>
        <v>19.301957727752054</v>
      </c>
    </row>
    <row r="494" spans="1:6" x14ac:dyDescent="0.3">
      <c r="A494" s="1">
        <v>54.116999999999997</v>
      </c>
      <c r="B494" s="1">
        <v>4.5019</v>
      </c>
      <c r="C494" s="3">
        <f>Tabela1[[#This Row],[Alongamento(mm)]]/$I$2</f>
        <v>9.0038000000000007E-2</v>
      </c>
      <c r="D494" s="1">
        <v>848.62</v>
      </c>
      <c r="E494" s="5">
        <f>Tabela1[[#This Row],[Força(N)]]/$I$5</f>
        <v>19453945.256980423</v>
      </c>
      <c r="F494" s="3">
        <f>Tabela1[[#This Row],[Tensão(Pa)]]/1000000</f>
        <v>19.453945256980422</v>
      </c>
    </row>
    <row r="495" spans="1:6" x14ac:dyDescent="0.3">
      <c r="A495" s="1">
        <v>54.267000000000003</v>
      </c>
      <c r="B495" s="1">
        <v>4.5144000000000002</v>
      </c>
      <c r="C495" s="3">
        <f>Tabela1[[#This Row],[Alongamento(mm)]]/$I$2</f>
        <v>9.0288000000000007E-2</v>
      </c>
      <c r="D495" s="1">
        <v>855.26</v>
      </c>
      <c r="E495" s="5">
        <f>Tabela1[[#This Row],[Força(N)]]/$I$5</f>
        <v>19606162.028334327</v>
      </c>
      <c r="F495" s="3">
        <f>Tabela1[[#This Row],[Tensão(Pa)]]/1000000</f>
        <v>19.606162028334328</v>
      </c>
    </row>
    <row r="496" spans="1:6" x14ac:dyDescent="0.3">
      <c r="A496" s="1">
        <v>54.417000000000002</v>
      </c>
      <c r="B496" s="1">
        <v>4.5269000000000004</v>
      </c>
      <c r="C496" s="3">
        <f>Tabela1[[#This Row],[Alongamento(mm)]]/$I$2</f>
        <v>9.0538000000000007E-2</v>
      </c>
      <c r="D496" s="1">
        <v>861.72</v>
      </c>
      <c r="E496" s="5">
        <f>Tabela1[[#This Row],[Força(N)]]/$I$5</f>
        <v>19754252.441428639</v>
      </c>
      <c r="F496" s="3">
        <f>Tabela1[[#This Row],[Tensão(Pa)]]/1000000</f>
        <v>19.75425244142864</v>
      </c>
    </row>
    <row r="497" spans="1:6" x14ac:dyDescent="0.3">
      <c r="A497" s="1">
        <v>54.567</v>
      </c>
      <c r="B497" s="1">
        <v>4.5393999999999997</v>
      </c>
      <c r="C497" s="3">
        <f>Tabela1[[#This Row],[Alongamento(mm)]]/$I$2</f>
        <v>9.0787999999999994E-2</v>
      </c>
      <c r="D497" s="1">
        <v>868.35</v>
      </c>
      <c r="E497" s="5">
        <f>Tabela1[[#This Row],[Força(N)]]/$I$5</f>
        <v>19906239.97065701</v>
      </c>
      <c r="F497" s="3">
        <f>Tabela1[[#This Row],[Tensão(Pa)]]/1000000</f>
        <v>19.906239970657008</v>
      </c>
    </row>
    <row r="498" spans="1:6" x14ac:dyDescent="0.3">
      <c r="A498" s="1">
        <v>54.716999999999999</v>
      </c>
      <c r="B498" s="1">
        <v>4.5518999999999998</v>
      </c>
      <c r="C498" s="3">
        <f>Tabela1[[#This Row],[Alongamento(mm)]]/$I$2</f>
        <v>9.1037999999999994E-2</v>
      </c>
      <c r="D498" s="1">
        <v>874.82</v>
      </c>
      <c r="E498" s="5">
        <f>Tabela1[[#This Row],[Força(N)]]/$I$5</f>
        <v>20054559.625876855</v>
      </c>
      <c r="F498" s="3">
        <f>Tabela1[[#This Row],[Tensão(Pa)]]/1000000</f>
        <v>20.054559625876855</v>
      </c>
    </row>
    <row r="499" spans="1:6" x14ac:dyDescent="0.3">
      <c r="A499" s="1">
        <v>54.883000000000003</v>
      </c>
      <c r="B499" s="1">
        <v>4.5658000000000003</v>
      </c>
      <c r="C499" s="3">
        <f>Tabela1[[#This Row],[Alongamento(mm)]]/$I$2</f>
        <v>9.1316000000000008E-2</v>
      </c>
      <c r="D499" s="1">
        <v>882.13</v>
      </c>
      <c r="E499" s="5">
        <f>Tabela1[[#This Row],[Força(N)]]/$I$5</f>
        <v>20222135.619641468</v>
      </c>
      <c r="F499" s="3">
        <f>Tabela1[[#This Row],[Tensão(Pa)]]/1000000</f>
        <v>20.222135619641467</v>
      </c>
    </row>
    <row r="500" spans="1:6" x14ac:dyDescent="0.3">
      <c r="A500" s="1">
        <v>55.05</v>
      </c>
      <c r="B500" s="1">
        <v>4.5796999999999999</v>
      </c>
      <c r="C500" s="3">
        <f>Tabela1[[#This Row],[Alongamento(mm)]]/$I$2</f>
        <v>9.1593999999999995E-2</v>
      </c>
      <c r="D500" s="1">
        <v>889.45</v>
      </c>
      <c r="E500" s="5">
        <f>Tabela1[[#This Row],[Força(N)]]/$I$5</f>
        <v>20389940.855531614</v>
      </c>
      <c r="F500" s="3">
        <f>Tabela1[[#This Row],[Tensão(Pa)]]/1000000</f>
        <v>20.389940855531613</v>
      </c>
    </row>
    <row r="501" spans="1:6" x14ac:dyDescent="0.3">
      <c r="A501" s="1">
        <v>55.216999999999999</v>
      </c>
      <c r="B501" s="1">
        <v>4.5934999999999997</v>
      </c>
      <c r="C501" s="3">
        <f>Tabela1[[#This Row],[Alongamento(mm)]]/$I$2</f>
        <v>9.1869999999999993E-2</v>
      </c>
      <c r="D501" s="1">
        <v>896.76</v>
      </c>
      <c r="E501" s="5">
        <f>Tabela1[[#This Row],[Força(N)]]/$I$5</f>
        <v>20557516.849296227</v>
      </c>
      <c r="F501" s="3">
        <f>Tabela1[[#This Row],[Tensão(Pa)]]/1000000</f>
        <v>20.557516849296228</v>
      </c>
    </row>
    <row r="502" spans="1:6" x14ac:dyDescent="0.3">
      <c r="A502" s="1">
        <v>55.383000000000003</v>
      </c>
      <c r="B502" s="1">
        <v>4.6074999999999999</v>
      </c>
      <c r="C502" s="3">
        <f>Tabela1[[#This Row],[Alongamento(mm)]]/$I$2</f>
        <v>9.2149999999999996E-2</v>
      </c>
      <c r="D502" s="1">
        <v>904.08</v>
      </c>
      <c r="E502" s="5">
        <f>Tabela1[[#This Row],[Força(N)]]/$I$5</f>
        <v>20725322.085186377</v>
      </c>
      <c r="F502" s="3">
        <f>Tabela1[[#This Row],[Tensão(Pa)]]/1000000</f>
        <v>20.725322085186377</v>
      </c>
    </row>
    <row r="503" spans="1:6" x14ac:dyDescent="0.3">
      <c r="A503" s="1">
        <v>55.55</v>
      </c>
      <c r="B503" s="1">
        <v>4.6214000000000004</v>
      </c>
      <c r="C503" s="3">
        <f>Tabela1[[#This Row],[Alongamento(mm)]]/$I$2</f>
        <v>9.242800000000001E-2</v>
      </c>
      <c r="D503" s="1">
        <v>911.22</v>
      </c>
      <c r="E503" s="5">
        <f>Tabela1[[#This Row],[Força(N)]]/$I$5</f>
        <v>20889000.962816928</v>
      </c>
      <c r="F503" s="3">
        <f>Tabela1[[#This Row],[Tensão(Pa)]]/1000000</f>
        <v>20.889000962816926</v>
      </c>
    </row>
    <row r="504" spans="1:6" x14ac:dyDescent="0.3">
      <c r="A504" s="1">
        <v>55.716999999999999</v>
      </c>
      <c r="B504" s="1">
        <v>4.6352000000000002</v>
      </c>
      <c r="C504" s="3">
        <f>Tabela1[[#This Row],[Alongamento(mm)]]/$I$2</f>
        <v>9.2704000000000009E-2</v>
      </c>
      <c r="D504" s="1">
        <v>918.7</v>
      </c>
      <c r="E504" s="5">
        <f>Tabela1[[#This Row],[Força(N)]]/$I$5</f>
        <v>21060474.072715607</v>
      </c>
      <c r="F504" s="3">
        <f>Tabela1[[#This Row],[Tensão(Pa)]]/1000000</f>
        <v>21.060474072715607</v>
      </c>
    </row>
    <row r="505" spans="1:6" x14ac:dyDescent="0.3">
      <c r="A505" s="1">
        <v>55.883000000000003</v>
      </c>
      <c r="B505" s="1">
        <v>4.6492000000000004</v>
      </c>
      <c r="C505" s="3">
        <f>Tabela1[[#This Row],[Alongamento(mm)]]/$I$2</f>
        <v>9.2984000000000011E-2</v>
      </c>
      <c r="D505" s="1">
        <v>925.85</v>
      </c>
      <c r="E505" s="5">
        <f>Tabela1[[#This Row],[Força(N)]]/$I$5</f>
        <v>21224382.19247169</v>
      </c>
      <c r="F505" s="3">
        <f>Tabela1[[#This Row],[Tensão(Pa)]]/1000000</f>
        <v>21.22438219247169</v>
      </c>
    </row>
    <row r="506" spans="1:6" x14ac:dyDescent="0.3">
      <c r="A506" s="1">
        <v>56.05</v>
      </c>
      <c r="B506" s="1">
        <v>4.6630000000000003</v>
      </c>
      <c r="C506" s="3">
        <f>Tabela1[[#This Row],[Alongamento(mm)]]/$I$2</f>
        <v>9.326000000000001E-2</v>
      </c>
      <c r="D506" s="1">
        <v>933.16</v>
      </c>
      <c r="E506" s="5">
        <f>Tabela1[[#This Row],[Força(N)]]/$I$5</f>
        <v>21391958.186236303</v>
      </c>
      <c r="F506" s="3">
        <f>Tabela1[[#This Row],[Tensão(Pa)]]/1000000</f>
        <v>21.391958186236302</v>
      </c>
    </row>
    <row r="507" spans="1:6" x14ac:dyDescent="0.3">
      <c r="A507" s="1">
        <v>56.216999999999999</v>
      </c>
      <c r="B507" s="1">
        <v>4.6768999999999998</v>
      </c>
      <c r="C507" s="3">
        <f>Tabela1[[#This Row],[Alongamento(mm)]]/$I$2</f>
        <v>9.3537999999999996E-2</v>
      </c>
      <c r="D507" s="1">
        <v>940.31</v>
      </c>
      <c r="E507" s="5">
        <f>Tabela1[[#This Row],[Força(N)]]/$I$5</f>
        <v>21555866.305992391</v>
      </c>
      <c r="F507" s="3">
        <f>Tabela1[[#This Row],[Tensão(Pa)]]/1000000</f>
        <v>21.555866305992392</v>
      </c>
    </row>
    <row r="508" spans="1:6" x14ac:dyDescent="0.3">
      <c r="A508" s="1">
        <v>56.383000000000003</v>
      </c>
      <c r="B508" s="1">
        <v>4.6909000000000001</v>
      </c>
      <c r="C508" s="3">
        <f>Tabela1[[#This Row],[Alongamento(mm)]]/$I$2</f>
        <v>9.3817999999999999E-2</v>
      </c>
      <c r="D508" s="1">
        <v>947.62</v>
      </c>
      <c r="E508" s="5">
        <f>Tabela1[[#This Row],[Força(N)]]/$I$5</f>
        <v>21723442.299757004</v>
      </c>
      <c r="F508" s="3">
        <f>Tabela1[[#This Row],[Tensão(Pa)]]/1000000</f>
        <v>21.723442299757004</v>
      </c>
    </row>
    <row r="509" spans="1:6" x14ac:dyDescent="0.3">
      <c r="A509" s="1">
        <v>56.55</v>
      </c>
      <c r="B509" s="1">
        <v>4.7046999999999999</v>
      </c>
      <c r="C509" s="3">
        <f>Tabela1[[#This Row],[Alongamento(mm)]]/$I$2</f>
        <v>9.4093999999999997E-2</v>
      </c>
      <c r="D509" s="1">
        <v>955.1</v>
      </c>
      <c r="E509" s="5">
        <f>Tabela1[[#This Row],[Força(N)]]/$I$5</f>
        <v>21894915.409655679</v>
      </c>
      <c r="F509" s="3">
        <f>Tabela1[[#This Row],[Tensão(Pa)]]/1000000</f>
        <v>21.894915409655678</v>
      </c>
    </row>
    <row r="510" spans="1:6" x14ac:dyDescent="0.3">
      <c r="A510" s="1">
        <v>56.716999999999999</v>
      </c>
      <c r="B510" s="1">
        <v>4.7184999999999997</v>
      </c>
      <c r="C510" s="3">
        <f>Tabela1[[#This Row],[Alongamento(mm)]]/$I$2</f>
        <v>9.4369999999999996E-2</v>
      </c>
      <c r="D510" s="1">
        <v>962.42</v>
      </c>
      <c r="E510" s="5">
        <f>Tabela1[[#This Row],[Força(N)]]/$I$5</f>
        <v>22062720.645545825</v>
      </c>
      <c r="F510" s="3">
        <f>Tabela1[[#This Row],[Tensão(Pa)]]/1000000</f>
        <v>22.062720645545827</v>
      </c>
    </row>
    <row r="511" spans="1:6" x14ac:dyDescent="0.3">
      <c r="A511" s="1">
        <v>56.9</v>
      </c>
      <c r="B511" s="1">
        <v>4.7337999999999996</v>
      </c>
      <c r="C511" s="3">
        <f>Tabela1[[#This Row],[Alongamento(mm)]]/$I$2</f>
        <v>9.4675999999999996E-2</v>
      </c>
      <c r="D511" s="1">
        <v>970.41</v>
      </c>
      <c r="E511" s="5">
        <f>Tabela1[[#This Row],[Força(N)]]/$I$5</f>
        <v>22245885.103846684</v>
      </c>
      <c r="F511" s="3">
        <f>Tabela1[[#This Row],[Tensão(Pa)]]/1000000</f>
        <v>22.245885103846685</v>
      </c>
    </row>
    <row r="512" spans="1:6" x14ac:dyDescent="0.3">
      <c r="A512" s="1">
        <v>57.082999999999998</v>
      </c>
      <c r="B512" s="1">
        <v>4.7489999999999997</v>
      </c>
      <c r="C512" s="3">
        <f>Tabela1[[#This Row],[Alongamento(mm)]]/$I$2</f>
        <v>9.4979999999999995E-2</v>
      </c>
      <c r="D512" s="1">
        <v>978.41</v>
      </c>
      <c r="E512" s="5">
        <f>Tabela1[[#This Row],[Força(N)]]/$I$5</f>
        <v>22429278.804273073</v>
      </c>
      <c r="F512" s="3">
        <f>Tabela1[[#This Row],[Tensão(Pa)]]/1000000</f>
        <v>22.429278804273071</v>
      </c>
    </row>
    <row r="513" spans="1:6" x14ac:dyDescent="0.3">
      <c r="A513" s="1">
        <v>57.267000000000003</v>
      </c>
      <c r="B513" s="1">
        <v>4.7644000000000002</v>
      </c>
      <c r="C513" s="3">
        <f>Tabela1[[#This Row],[Alongamento(mm)]]/$I$2</f>
        <v>9.5287999999999998E-2</v>
      </c>
      <c r="D513" s="1">
        <v>986.4</v>
      </c>
      <c r="E513" s="5">
        <f>Tabela1[[#This Row],[Força(N)]]/$I$5</f>
        <v>22612443.262573931</v>
      </c>
      <c r="F513" s="3">
        <f>Tabela1[[#This Row],[Tensão(Pa)]]/1000000</f>
        <v>22.612443262573933</v>
      </c>
    </row>
    <row r="514" spans="1:6" x14ac:dyDescent="0.3">
      <c r="A514" s="1">
        <v>57.45</v>
      </c>
      <c r="B514" s="1">
        <v>4.7796000000000003</v>
      </c>
      <c r="C514" s="3">
        <f>Tabela1[[#This Row],[Alongamento(mm)]]/$I$2</f>
        <v>9.559200000000001E-2</v>
      </c>
      <c r="D514" s="1">
        <v>994.57</v>
      </c>
      <c r="E514" s="5">
        <f>Tabela1[[#This Row],[Força(N)]]/$I$5</f>
        <v>22799734.079134386</v>
      </c>
      <c r="F514" s="3">
        <f>Tabela1[[#This Row],[Tensão(Pa)]]/1000000</f>
        <v>22.799734079134385</v>
      </c>
    </row>
    <row r="515" spans="1:6" x14ac:dyDescent="0.3">
      <c r="A515" s="1">
        <v>57.633000000000003</v>
      </c>
      <c r="B515" s="1">
        <v>4.7949999999999999</v>
      </c>
      <c r="C515" s="3">
        <f>Tabela1[[#This Row],[Alongamento(mm)]]/$I$2</f>
        <v>9.5899999999999999E-2</v>
      </c>
      <c r="D515" s="1">
        <v>1002.7</v>
      </c>
      <c r="E515" s="5">
        <f>Tabela1[[#This Row],[Força(N)]]/$I$5</f>
        <v>22986107.927192703</v>
      </c>
      <c r="F515" s="3">
        <f>Tabela1[[#This Row],[Tensão(Pa)]]/1000000</f>
        <v>22.986107927192702</v>
      </c>
    </row>
    <row r="516" spans="1:6" x14ac:dyDescent="0.3">
      <c r="A516" s="1">
        <v>57.817</v>
      </c>
      <c r="B516" s="1">
        <v>4.8102999999999998</v>
      </c>
      <c r="C516" s="3">
        <f>Tabela1[[#This Row],[Alongamento(mm)]]/$I$2</f>
        <v>9.6206E-2</v>
      </c>
      <c r="D516" s="1">
        <v>1010.7</v>
      </c>
      <c r="E516" s="5">
        <f>Tabela1[[#This Row],[Força(N)]]/$I$5</f>
        <v>23169501.627619095</v>
      </c>
      <c r="F516" s="3">
        <f>Tabela1[[#This Row],[Tensão(Pa)]]/1000000</f>
        <v>23.169501627619095</v>
      </c>
    </row>
    <row r="517" spans="1:6" x14ac:dyDescent="0.3">
      <c r="A517" s="1">
        <v>58</v>
      </c>
      <c r="B517" s="1">
        <v>4.8254999999999999</v>
      </c>
      <c r="C517" s="3">
        <f>Tabela1[[#This Row],[Alongamento(mm)]]/$I$2</f>
        <v>9.6509999999999999E-2</v>
      </c>
      <c r="D517" s="1">
        <v>1018.7</v>
      </c>
      <c r="E517" s="5">
        <f>Tabela1[[#This Row],[Força(N)]]/$I$5</f>
        <v>23352895.328045484</v>
      </c>
      <c r="F517" s="3">
        <f>Tabela1[[#This Row],[Tensão(Pa)]]/1000000</f>
        <v>23.352895328045484</v>
      </c>
    </row>
    <row r="518" spans="1:6" x14ac:dyDescent="0.3">
      <c r="A518" s="1">
        <v>58.183</v>
      </c>
      <c r="B518" s="1">
        <v>4.8409000000000004</v>
      </c>
      <c r="C518" s="3">
        <f>Tabela1[[#This Row],[Alongamento(mm)]]/$I$2</f>
        <v>9.6818000000000015E-2</v>
      </c>
      <c r="D518" s="1">
        <v>1026.9000000000001</v>
      </c>
      <c r="E518" s="5">
        <f>Tabela1[[#This Row],[Força(N)]]/$I$5</f>
        <v>23540873.870982535</v>
      </c>
      <c r="F518" s="3">
        <f>Tabela1[[#This Row],[Tensão(Pa)]]/1000000</f>
        <v>23.540873870982534</v>
      </c>
    </row>
    <row r="519" spans="1:6" x14ac:dyDescent="0.3">
      <c r="A519" s="1">
        <v>58.366999999999997</v>
      </c>
      <c r="B519" s="1">
        <v>4.8560999999999996</v>
      </c>
      <c r="C519" s="3">
        <f>Tabela1[[#This Row],[Alongamento(mm)]]/$I$2</f>
        <v>9.7121999999999986E-2</v>
      </c>
      <c r="D519" s="1">
        <v>1034.9000000000001</v>
      </c>
      <c r="E519" s="5">
        <f>Tabela1[[#This Row],[Força(N)]]/$I$5</f>
        <v>23724267.571408927</v>
      </c>
      <c r="F519" s="3">
        <f>Tabela1[[#This Row],[Tensão(Pa)]]/1000000</f>
        <v>23.724267571408927</v>
      </c>
    </row>
    <row r="520" spans="1:6" x14ac:dyDescent="0.3">
      <c r="A520" s="1">
        <v>58.55</v>
      </c>
      <c r="B520" s="1">
        <v>4.8714000000000004</v>
      </c>
      <c r="C520" s="3">
        <f>Tabela1[[#This Row],[Alongamento(mm)]]/$I$2</f>
        <v>9.7428000000000015E-2</v>
      </c>
      <c r="D520" s="1">
        <v>1043</v>
      </c>
      <c r="E520" s="5">
        <f>Tabela1[[#This Row],[Força(N)]]/$I$5</f>
        <v>23909953.693090644</v>
      </c>
      <c r="F520" s="3">
        <f>Tabela1[[#This Row],[Tensão(Pa)]]/1000000</f>
        <v>23.909953693090642</v>
      </c>
    </row>
    <row r="521" spans="1:6" x14ac:dyDescent="0.3">
      <c r="A521" s="1">
        <v>58.732999999999997</v>
      </c>
      <c r="B521" s="1">
        <v>4.8867000000000003</v>
      </c>
      <c r="C521" s="3">
        <f>Tabela1[[#This Row],[Alongamento(mm)]]/$I$2</f>
        <v>9.7734000000000001E-2</v>
      </c>
      <c r="D521" s="1">
        <v>1051.4000000000001</v>
      </c>
      <c r="E521" s="5">
        <f>Tabela1[[#This Row],[Força(N)]]/$I$5</f>
        <v>24102517.078538354</v>
      </c>
      <c r="F521" s="3">
        <f>Tabela1[[#This Row],[Tensão(Pa)]]/1000000</f>
        <v>24.102517078538355</v>
      </c>
    </row>
    <row r="522" spans="1:6" x14ac:dyDescent="0.3">
      <c r="A522" s="1">
        <v>58.917000000000002</v>
      </c>
      <c r="B522" s="1">
        <v>4.9020000000000001</v>
      </c>
      <c r="C522" s="3">
        <f>Tabela1[[#This Row],[Alongamento(mm)]]/$I$2</f>
        <v>9.8040000000000002E-2</v>
      </c>
      <c r="D522" s="1">
        <v>1059.5</v>
      </c>
      <c r="E522" s="5">
        <f>Tabela1[[#This Row],[Força(N)]]/$I$5</f>
        <v>24288203.200220075</v>
      </c>
      <c r="F522" s="3">
        <f>Tabela1[[#This Row],[Tensão(Pa)]]/1000000</f>
        <v>24.288203200220075</v>
      </c>
    </row>
    <row r="523" spans="1:6" x14ac:dyDescent="0.3">
      <c r="A523" s="1">
        <v>59.116999999999997</v>
      </c>
      <c r="B523" s="1">
        <v>4.9185999999999996</v>
      </c>
      <c r="C523" s="3">
        <f>Tabela1[[#This Row],[Alongamento(mm)]]/$I$2</f>
        <v>9.8371999999999987E-2</v>
      </c>
      <c r="D523" s="1">
        <v>1068.4000000000001</v>
      </c>
      <c r="E523" s="5">
        <f>Tabela1[[#This Row],[Força(N)]]/$I$5</f>
        <v>24492228.691944435</v>
      </c>
      <c r="F523" s="3">
        <f>Tabela1[[#This Row],[Tensão(Pa)]]/1000000</f>
        <v>24.492228691944437</v>
      </c>
    </row>
    <row r="524" spans="1:6" x14ac:dyDescent="0.3">
      <c r="A524" s="1">
        <v>59.3</v>
      </c>
      <c r="B524" s="1">
        <v>4.9339000000000004</v>
      </c>
      <c r="C524" s="3">
        <f>Tabela1[[#This Row],[Alongamento(mm)]]/$I$2</f>
        <v>9.8678000000000002E-2</v>
      </c>
      <c r="D524" s="1">
        <v>1076.7</v>
      </c>
      <c r="E524" s="5">
        <f>Tabela1[[#This Row],[Força(N)]]/$I$5</f>
        <v>24682499.656136815</v>
      </c>
      <c r="F524" s="3">
        <f>Tabela1[[#This Row],[Tensão(Pa)]]/1000000</f>
        <v>24.682499656136816</v>
      </c>
    </row>
    <row r="525" spans="1:6" x14ac:dyDescent="0.3">
      <c r="A525" s="1">
        <v>59.482999999999997</v>
      </c>
      <c r="B525" s="1">
        <v>4.9492000000000003</v>
      </c>
      <c r="C525" s="3">
        <f>Tabela1[[#This Row],[Alongamento(mm)]]/$I$2</f>
        <v>9.8984000000000003E-2</v>
      </c>
      <c r="D525" s="1">
        <v>1085.0999999999999</v>
      </c>
      <c r="E525" s="5">
        <f>Tabela1[[#This Row],[Força(N)]]/$I$5</f>
        <v>24875063.041584522</v>
      </c>
      <c r="F525" s="3">
        <f>Tabela1[[#This Row],[Tensão(Pa)]]/1000000</f>
        <v>24.875063041584522</v>
      </c>
    </row>
    <row r="526" spans="1:6" x14ac:dyDescent="0.3">
      <c r="A526" s="1">
        <v>59.667000000000002</v>
      </c>
      <c r="B526" s="1">
        <v>4.9645000000000001</v>
      </c>
      <c r="C526" s="3">
        <f>Tabela1[[#This Row],[Alongamento(mm)]]/$I$2</f>
        <v>9.9290000000000003E-2</v>
      </c>
      <c r="D526" s="1">
        <v>1093.4000000000001</v>
      </c>
      <c r="E526" s="5">
        <f>Tabela1[[#This Row],[Força(N)]]/$I$5</f>
        <v>25065334.005776905</v>
      </c>
      <c r="F526" s="3">
        <f>Tabela1[[#This Row],[Tensão(Pa)]]/1000000</f>
        <v>25.065334005776904</v>
      </c>
    </row>
    <row r="527" spans="1:6" x14ac:dyDescent="0.3">
      <c r="A527" s="1">
        <v>59.85</v>
      </c>
      <c r="B527" s="1">
        <v>4.9797000000000002</v>
      </c>
      <c r="C527" s="3">
        <f>Tabela1[[#This Row],[Alongamento(mm)]]/$I$2</f>
        <v>9.9594000000000002E-2</v>
      </c>
      <c r="D527" s="1">
        <v>1101.9000000000001</v>
      </c>
      <c r="E527" s="5">
        <f>Tabela1[[#This Row],[Força(N)]]/$I$5</f>
        <v>25260189.812479947</v>
      </c>
      <c r="F527" s="3">
        <f>Tabela1[[#This Row],[Tensão(Pa)]]/1000000</f>
        <v>25.260189812479947</v>
      </c>
    </row>
    <row r="528" spans="1:6" x14ac:dyDescent="0.3">
      <c r="A528" s="1">
        <v>60.033000000000001</v>
      </c>
      <c r="B528" s="1">
        <v>4.9950000000000001</v>
      </c>
      <c r="C528" s="3">
        <f>Tabela1[[#This Row],[Alongamento(mm)]]/$I$2</f>
        <v>9.9900000000000003E-2</v>
      </c>
      <c r="D528" s="1">
        <v>1110.4000000000001</v>
      </c>
      <c r="E528" s="5">
        <f>Tabela1[[#This Row],[Força(N)]]/$I$5</f>
        <v>25455045.619182985</v>
      </c>
      <c r="F528" s="3">
        <f>Tabela1[[#This Row],[Tensão(Pa)]]/1000000</f>
        <v>25.455045619182986</v>
      </c>
    </row>
    <row r="529" spans="1:6" x14ac:dyDescent="0.3">
      <c r="A529" s="1">
        <v>60.216999999999999</v>
      </c>
      <c r="B529" s="1">
        <v>5.0102000000000002</v>
      </c>
      <c r="C529" s="3">
        <f>Tabela1[[#This Row],[Alongamento(mm)]]/$I$2</f>
        <v>0.100204</v>
      </c>
      <c r="D529" s="1">
        <v>1118.9000000000001</v>
      </c>
      <c r="E529" s="5">
        <f>Tabela1[[#This Row],[Força(N)]]/$I$5</f>
        <v>25649901.425886024</v>
      </c>
      <c r="F529" s="3">
        <f>Tabela1[[#This Row],[Tensão(Pa)]]/1000000</f>
        <v>25.649901425886025</v>
      </c>
    </row>
    <row r="530" spans="1:6" x14ac:dyDescent="0.3">
      <c r="A530" s="1">
        <v>60.417000000000002</v>
      </c>
      <c r="B530" s="1">
        <v>5.0270000000000001</v>
      </c>
      <c r="C530" s="3">
        <f>Tabela1[[#This Row],[Alongamento(mm)]]/$I$2</f>
        <v>0.10054</v>
      </c>
      <c r="D530" s="1">
        <v>1128.0999999999999</v>
      </c>
      <c r="E530" s="5">
        <f>Tabela1[[#This Row],[Força(N)]]/$I$5</f>
        <v>25860804.181376368</v>
      </c>
      <c r="F530" s="3">
        <f>Tabela1[[#This Row],[Tensão(Pa)]]/1000000</f>
        <v>25.860804181376366</v>
      </c>
    </row>
    <row r="531" spans="1:6" x14ac:dyDescent="0.3">
      <c r="A531" s="1">
        <v>60.6</v>
      </c>
      <c r="B531" s="1">
        <v>5.0423</v>
      </c>
      <c r="C531" s="3">
        <f>Tabela1[[#This Row],[Alongamento(mm)]]/$I$2</f>
        <v>0.10084600000000001</v>
      </c>
      <c r="D531" s="1">
        <v>1136.5999999999999</v>
      </c>
      <c r="E531" s="5">
        <f>Tabela1[[#This Row],[Força(N)]]/$I$5</f>
        <v>26055659.98807941</v>
      </c>
      <c r="F531" s="3">
        <f>Tabela1[[#This Row],[Tensão(Pa)]]/1000000</f>
        <v>26.055659988079409</v>
      </c>
    </row>
    <row r="532" spans="1:6" x14ac:dyDescent="0.3">
      <c r="A532" s="1">
        <v>60.8</v>
      </c>
      <c r="B532" s="1">
        <v>5.0587999999999997</v>
      </c>
      <c r="C532" s="3">
        <f>Tabela1[[#This Row],[Alongamento(mm)]]/$I$2</f>
        <v>0.10117599999999999</v>
      </c>
      <c r="D532" s="1">
        <v>1146</v>
      </c>
      <c r="E532" s="5">
        <f>Tabela1[[#This Row],[Força(N)]]/$I$5</f>
        <v>26271147.586080421</v>
      </c>
      <c r="F532" s="3">
        <f>Tabela1[[#This Row],[Tensão(Pa)]]/1000000</f>
        <v>26.271147586080421</v>
      </c>
    </row>
    <row r="533" spans="1:6" x14ac:dyDescent="0.3">
      <c r="A533" s="1">
        <v>61</v>
      </c>
      <c r="B533" s="1">
        <v>5.0754999999999999</v>
      </c>
      <c r="C533" s="3">
        <f>Tabela1[[#This Row],[Alongamento(mm)]]/$I$2</f>
        <v>0.10151</v>
      </c>
      <c r="D533" s="1">
        <v>1155.3</v>
      </c>
      <c r="E533" s="5">
        <f>Tabela1[[#This Row],[Força(N)]]/$I$5</f>
        <v>26484342.762826096</v>
      </c>
      <c r="F533" s="3">
        <f>Tabela1[[#This Row],[Tensão(Pa)]]/1000000</f>
        <v>26.484342762826095</v>
      </c>
    </row>
    <row r="534" spans="1:6" x14ac:dyDescent="0.3">
      <c r="A534" s="1">
        <v>61.2</v>
      </c>
      <c r="B534" s="1">
        <v>5.0922000000000001</v>
      </c>
      <c r="C534" s="3">
        <f>Tabela1[[#This Row],[Alongamento(mm)]]/$I$2</f>
        <v>0.101844</v>
      </c>
      <c r="D534" s="1">
        <v>1164.3</v>
      </c>
      <c r="E534" s="5">
        <f>Tabela1[[#This Row],[Força(N)]]/$I$5</f>
        <v>26690660.675805788</v>
      </c>
      <c r="F534" s="3">
        <f>Tabela1[[#This Row],[Tensão(Pa)]]/1000000</f>
        <v>26.690660675805788</v>
      </c>
    </row>
    <row r="535" spans="1:6" x14ac:dyDescent="0.3">
      <c r="A535" s="1">
        <v>61.4</v>
      </c>
      <c r="B535" s="1">
        <v>5.1089000000000002</v>
      </c>
      <c r="C535" s="3">
        <f>Tabela1[[#This Row],[Alongamento(mm)]]/$I$2</f>
        <v>0.102178</v>
      </c>
      <c r="D535" s="1">
        <v>1173.5</v>
      </c>
      <c r="E535" s="5">
        <f>Tabela1[[#This Row],[Força(N)]]/$I$5</f>
        <v>26901563.431296136</v>
      </c>
      <c r="F535" s="3">
        <f>Tabela1[[#This Row],[Tensão(Pa)]]/1000000</f>
        <v>26.901563431296136</v>
      </c>
    </row>
    <row r="536" spans="1:6" x14ac:dyDescent="0.3">
      <c r="A536" s="1">
        <v>61.6</v>
      </c>
      <c r="B536" s="1">
        <v>5.1254999999999997</v>
      </c>
      <c r="C536" s="3">
        <f>Tabela1[[#This Row],[Alongamento(mm)]]/$I$2</f>
        <v>0.10250999999999999</v>
      </c>
      <c r="D536" s="1">
        <v>1182.7</v>
      </c>
      <c r="E536" s="5">
        <f>Tabela1[[#This Row],[Força(N)]]/$I$5</f>
        <v>27112466.186786488</v>
      </c>
      <c r="F536" s="3">
        <f>Tabela1[[#This Row],[Tensão(Pa)]]/1000000</f>
        <v>27.112466186786488</v>
      </c>
    </row>
    <row r="537" spans="1:6" x14ac:dyDescent="0.3">
      <c r="A537" s="1">
        <v>61.8</v>
      </c>
      <c r="B537" s="1">
        <v>5.1421999999999999</v>
      </c>
      <c r="C537" s="3">
        <f>Tabela1[[#This Row],[Alongamento(mm)]]/$I$2</f>
        <v>0.10284399999999999</v>
      </c>
      <c r="D537" s="1">
        <v>1191.9000000000001</v>
      </c>
      <c r="E537" s="5">
        <f>Tabela1[[#This Row],[Força(N)]]/$I$5</f>
        <v>27323368.942276835</v>
      </c>
      <c r="F537" s="3">
        <f>Tabela1[[#This Row],[Tensão(Pa)]]/1000000</f>
        <v>27.323368942276836</v>
      </c>
    </row>
    <row r="538" spans="1:6" x14ac:dyDescent="0.3">
      <c r="A538" s="1">
        <v>62</v>
      </c>
      <c r="B538" s="1">
        <v>5.1589</v>
      </c>
      <c r="C538" s="3">
        <f>Tabela1[[#This Row],[Alongamento(mm)]]/$I$2</f>
        <v>0.10317800000000001</v>
      </c>
      <c r="D538" s="1">
        <v>1201.0999999999999</v>
      </c>
      <c r="E538" s="5">
        <f>Tabela1[[#This Row],[Força(N)]]/$I$5</f>
        <v>27534271.697767183</v>
      </c>
      <c r="F538" s="3">
        <f>Tabela1[[#This Row],[Tensão(Pa)]]/1000000</f>
        <v>27.534271697767185</v>
      </c>
    </row>
    <row r="539" spans="1:6" x14ac:dyDescent="0.3">
      <c r="A539" s="1">
        <v>62.216999999999999</v>
      </c>
      <c r="B539" s="1">
        <v>5.1768999999999998</v>
      </c>
      <c r="C539" s="3">
        <f>Tabela1[[#This Row],[Alongamento(mm)]]/$I$2</f>
        <v>0.10353799999999999</v>
      </c>
      <c r="D539" s="1">
        <v>1210.8</v>
      </c>
      <c r="E539" s="5">
        <f>Tabela1[[#This Row],[Força(N)]]/$I$5</f>
        <v>27756636.559534181</v>
      </c>
      <c r="F539" s="3">
        <f>Tabela1[[#This Row],[Tensão(Pa)]]/1000000</f>
        <v>27.756636559534179</v>
      </c>
    </row>
    <row r="540" spans="1:6" x14ac:dyDescent="0.3">
      <c r="A540" s="1">
        <v>62.433</v>
      </c>
      <c r="B540" s="1">
        <v>5.1950000000000003</v>
      </c>
      <c r="C540" s="3">
        <f>Tabela1[[#This Row],[Alongamento(mm)]]/$I$2</f>
        <v>0.10390000000000001</v>
      </c>
      <c r="D540" s="1">
        <v>1220.5999999999999</v>
      </c>
      <c r="E540" s="5">
        <f>Tabela1[[#This Row],[Força(N)]]/$I$5</f>
        <v>27981293.842556506</v>
      </c>
      <c r="F540" s="3">
        <f>Tabela1[[#This Row],[Tensão(Pa)]]/1000000</f>
        <v>27.981293842556507</v>
      </c>
    </row>
    <row r="541" spans="1:6" x14ac:dyDescent="0.3">
      <c r="A541" s="1">
        <v>62.65</v>
      </c>
      <c r="B541" s="1">
        <v>5.2130000000000001</v>
      </c>
      <c r="C541" s="3">
        <f>Tabela1[[#This Row],[Alongamento(mm)]]/$I$2</f>
        <v>0.10426000000000001</v>
      </c>
      <c r="D541" s="1">
        <v>1230.3</v>
      </c>
      <c r="E541" s="5">
        <f>Tabela1[[#This Row],[Força(N)]]/$I$5</f>
        <v>28203658.704323508</v>
      </c>
      <c r="F541" s="3">
        <f>Tabela1[[#This Row],[Tensão(Pa)]]/1000000</f>
        <v>28.203658704323509</v>
      </c>
    </row>
    <row r="542" spans="1:6" x14ac:dyDescent="0.3">
      <c r="A542" s="1">
        <v>62.866999999999997</v>
      </c>
      <c r="B542" s="1">
        <v>5.2310999999999996</v>
      </c>
      <c r="C542" s="3">
        <f>Tabela1[[#This Row],[Alongamento(mm)]]/$I$2</f>
        <v>0.10462199999999999</v>
      </c>
      <c r="D542" s="1">
        <v>1240.4000000000001</v>
      </c>
      <c r="E542" s="5">
        <f>Tabela1[[#This Row],[Força(N)]]/$I$5</f>
        <v>28435193.251111828</v>
      </c>
      <c r="F542" s="3">
        <f>Tabela1[[#This Row],[Tensão(Pa)]]/1000000</f>
        <v>28.435193251111826</v>
      </c>
    </row>
    <row r="543" spans="1:6" x14ac:dyDescent="0.3">
      <c r="A543" s="1">
        <v>63.082999999999998</v>
      </c>
      <c r="B543" s="1">
        <v>5.2492000000000001</v>
      </c>
      <c r="C543" s="3">
        <f>Tabela1[[#This Row],[Alongamento(mm)]]/$I$2</f>
        <v>0.10498400000000001</v>
      </c>
      <c r="D543" s="1">
        <v>1250.2</v>
      </c>
      <c r="E543" s="5">
        <f>Tabela1[[#This Row],[Força(N)]]/$I$5</f>
        <v>28659850.534134157</v>
      </c>
      <c r="F543" s="3">
        <f>Tabela1[[#This Row],[Tensão(Pa)]]/1000000</f>
        <v>28.659850534134158</v>
      </c>
    </row>
    <row r="544" spans="1:6" x14ac:dyDescent="0.3">
      <c r="A544" s="1">
        <v>63.3</v>
      </c>
      <c r="B544" s="1">
        <v>5.2672999999999996</v>
      </c>
      <c r="C544" s="3">
        <f>Tabela1[[#This Row],[Alongamento(mm)]]/$I$2</f>
        <v>0.105346</v>
      </c>
      <c r="D544" s="1">
        <v>1260.0999999999999</v>
      </c>
      <c r="E544" s="5">
        <f>Tabela1[[#This Row],[Força(N)]]/$I$5</f>
        <v>28886800.23841181</v>
      </c>
      <c r="F544" s="3">
        <f>Tabela1[[#This Row],[Tensão(Pa)]]/1000000</f>
        <v>28.886800238411809</v>
      </c>
    </row>
    <row r="545" spans="1:6" x14ac:dyDescent="0.3">
      <c r="A545" s="1">
        <v>63.517000000000003</v>
      </c>
      <c r="B545" s="1">
        <v>5.2851999999999997</v>
      </c>
      <c r="C545" s="3">
        <f>Tabela1[[#This Row],[Alongamento(mm)]]/$I$2</f>
        <v>0.10570399999999999</v>
      </c>
      <c r="D545" s="1">
        <v>1270</v>
      </c>
      <c r="E545" s="5">
        <f>Tabela1[[#This Row],[Força(N)]]/$I$5</f>
        <v>29113749.942689471</v>
      </c>
      <c r="F545" s="3">
        <f>Tabela1[[#This Row],[Tensão(Pa)]]/1000000</f>
        <v>29.11374994268947</v>
      </c>
    </row>
    <row r="546" spans="1:6" x14ac:dyDescent="0.3">
      <c r="A546" s="1">
        <v>63.732999999999997</v>
      </c>
      <c r="B546" s="1">
        <v>5.3033000000000001</v>
      </c>
      <c r="C546" s="3">
        <f>Tabela1[[#This Row],[Alongamento(mm)]]/$I$2</f>
        <v>0.10606600000000001</v>
      </c>
      <c r="D546" s="1">
        <v>1279.8</v>
      </c>
      <c r="E546" s="5">
        <f>Tabela1[[#This Row],[Força(N)]]/$I$5</f>
        <v>29338407.225711796</v>
      </c>
      <c r="F546" s="3">
        <f>Tabela1[[#This Row],[Tensão(Pa)]]/1000000</f>
        <v>29.338407225711798</v>
      </c>
    </row>
    <row r="547" spans="1:6" x14ac:dyDescent="0.3">
      <c r="A547" s="1">
        <v>63.95</v>
      </c>
      <c r="B547" s="1">
        <v>5.3213999999999997</v>
      </c>
      <c r="C547" s="3">
        <f>Tabela1[[#This Row],[Alongamento(mm)]]/$I$2</f>
        <v>0.10642799999999999</v>
      </c>
      <c r="D547" s="1">
        <v>1289.7</v>
      </c>
      <c r="E547" s="5">
        <f>Tabela1[[#This Row],[Força(N)]]/$I$5</f>
        <v>29565356.929989457</v>
      </c>
      <c r="F547" s="3">
        <f>Tabela1[[#This Row],[Tensão(Pa)]]/1000000</f>
        <v>29.565356929989456</v>
      </c>
    </row>
    <row r="548" spans="1:6" x14ac:dyDescent="0.3">
      <c r="A548" s="1">
        <v>64.167000000000002</v>
      </c>
      <c r="B548" s="1">
        <v>5.3394000000000004</v>
      </c>
      <c r="C548" s="3">
        <f>Tabela1[[#This Row],[Alongamento(mm)]]/$I$2</f>
        <v>0.10678800000000001</v>
      </c>
      <c r="D548" s="1">
        <v>1299.5999999999999</v>
      </c>
      <c r="E548" s="5">
        <f>Tabela1[[#This Row],[Força(N)]]/$I$5</f>
        <v>29792306.634267114</v>
      </c>
      <c r="F548" s="3">
        <f>Tabela1[[#This Row],[Tensão(Pa)]]/1000000</f>
        <v>29.792306634267113</v>
      </c>
    </row>
    <row r="549" spans="1:6" x14ac:dyDescent="0.3">
      <c r="A549" s="1">
        <v>64.382999999999996</v>
      </c>
      <c r="B549" s="1">
        <v>5.3574999999999999</v>
      </c>
      <c r="C549" s="3">
        <f>Tabela1[[#This Row],[Alongamento(mm)]]/$I$2</f>
        <v>0.10715</v>
      </c>
      <c r="D549" s="1">
        <v>1309.4000000000001</v>
      </c>
      <c r="E549" s="5">
        <f>Tabela1[[#This Row],[Força(N)]]/$I$5</f>
        <v>30016963.917289447</v>
      </c>
      <c r="F549" s="3">
        <f>Tabela1[[#This Row],[Tensão(Pa)]]/1000000</f>
        <v>30.016963917289448</v>
      </c>
    </row>
    <row r="550" spans="1:6" x14ac:dyDescent="0.3">
      <c r="A550" s="1">
        <v>64.617000000000004</v>
      </c>
      <c r="B550" s="1">
        <v>5.3769</v>
      </c>
      <c r="C550" s="3">
        <f>Tabela1[[#This Row],[Alongamento(mm)]]/$I$2</f>
        <v>0.10753799999999999</v>
      </c>
      <c r="D550" s="1">
        <v>1320.1</v>
      </c>
      <c r="E550" s="5">
        <f>Tabela1[[#This Row],[Força(N)]]/$I$5</f>
        <v>30262252.991609737</v>
      </c>
      <c r="F550" s="3">
        <f>Tabela1[[#This Row],[Tensão(Pa)]]/1000000</f>
        <v>30.262252991609738</v>
      </c>
    </row>
    <row r="551" spans="1:6" x14ac:dyDescent="0.3">
      <c r="A551" s="1">
        <v>64.849999999999994</v>
      </c>
      <c r="B551" s="1">
        <v>5.3963000000000001</v>
      </c>
      <c r="C551" s="3">
        <f>Tabela1[[#This Row],[Alongamento(mm)]]/$I$2</f>
        <v>0.10792600000000001</v>
      </c>
      <c r="D551" s="1">
        <v>1330.9</v>
      </c>
      <c r="E551" s="5">
        <f>Tabela1[[#This Row],[Força(N)]]/$I$5</f>
        <v>30509834.48718537</v>
      </c>
      <c r="F551" s="3">
        <f>Tabela1[[#This Row],[Tensão(Pa)]]/1000000</f>
        <v>30.509834487185369</v>
      </c>
    </row>
    <row r="552" spans="1:6" x14ac:dyDescent="0.3">
      <c r="A552" s="1">
        <v>65.066999999999993</v>
      </c>
      <c r="B552" s="1">
        <v>5.4145000000000003</v>
      </c>
      <c r="C552" s="3">
        <f>Tabela1[[#This Row],[Alongamento(mm)]]/$I$2</f>
        <v>0.10829000000000001</v>
      </c>
      <c r="D552" s="1">
        <v>1341.4</v>
      </c>
      <c r="E552" s="5">
        <f>Tabela1[[#This Row],[Força(N)]]/$I$5</f>
        <v>30750538.718995009</v>
      </c>
      <c r="F552" s="3">
        <f>Tabela1[[#This Row],[Tensão(Pa)]]/1000000</f>
        <v>30.75053871899501</v>
      </c>
    </row>
    <row r="553" spans="1:6" x14ac:dyDescent="0.3">
      <c r="A553" s="1">
        <v>65.283000000000001</v>
      </c>
      <c r="B553" s="1">
        <v>5.4324000000000003</v>
      </c>
      <c r="C553" s="3">
        <f>Tabela1[[#This Row],[Alongamento(mm)]]/$I$2</f>
        <v>0.10864800000000001</v>
      </c>
      <c r="D553" s="1">
        <v>1351.8</v>
      </c>
      <c r="E553" s="5">
        <f>Tabela1[[#This Row],[Força(N)]]/$I$5</f>
        <v>30988950.529549312</v>
      </c>
      <c r="F553" s="3">
        <f>Tabela1[[#This Row],[Tensão(Pa)]]/1000000</f>
        <v>30.98895052954931</v>
      </c>
    </row>
    <row r="554" spans="1:6" x14ac:dyDescent="0.3">
      <c r="A554" s="1">
        <v>65.516999999999996</v>
      </c>
      <c r="B554" s="1">
        <v>5.452</v>
      </c>
      <c r="C554" s="3">
        <f>Tabela1[[#This Row],[Alongamento(mm)]]/$I$2</f>
        <v>0.10904</v>
      </c>
      <c r="D554" s="1">
        <v>1363</v>
      </c>
      <c r="E554" s="5">
        <f>Tabela1[[#This Row],[Força(N)]]/$I$5</f>
        <v>31245701.71014626</v>
      </c>
      <c r="F554" s="3">
        <f>Tabela1[[#This Row],[Tensão(Pa)]]/1000000</f>
        <v>31.24570171014626</v>
      </c>
    </row>
    <row r="555" spans="1:6" x14ac:dyDescent="0.3">
      <c r="A555" s="1">
        <v>65.75</v>
      </c>
      <c r="B555" s="1">
        <v>5.4713000000000003</v>
      </c>
      <c r="C555" s="3">
        <f>Tabela1[[#This Row],[Alongamento(mm)]]/$I$2</f>
        <v>0.10942600000000001</v>
      </c>
      <c r="D555" s="1">
        <v>1373.9</v>
      </c>
      <c r="E555" s="5">
        <f>Tabela1[[#This Row],[Força(N)]]/$I$5</f>
        <v>31495575.626977216</v>
      </c>
      <c r="F555" s="3">
        <f>Tabela1[[#This Row],[Tensão(Pa)]]/1000000</f>
        <v>31.495575626977217</v>
      </c>
    </row>
    <row r="556" spans="1:6" x14ac:dyDescent="0.3">
      <c r="A556" s="1">
        <v>65.983000000000004</v>
      </c>
      <c r="B556" s="1">
        <v>5.4908000000000001</v>
      </c>
      <c r="C556" s="3">
        <f>Tabela1[[#This Row],[Alongamento(mm)]]/$I$2</f>
        <v>0.109816</v>
      </c>
      <c r="D556" s="1">
        <v>1384.8</v>
      </c>
      <c r="E556" s="5">
        <f>Tabela1[[#This Row],[Força(N)]]/$I$5</f>
        <v>31745449.543808173</v>
      </c>
      <c r="F556" s="3">
        <f>Tabela1[[#This Row],[Tensão(Pa)]]/1000000</f>
        <v>31.745449543808174</v>
      </c>
    </row>
    <row r="557" spans="1:6" x14ac:dyDescent="0.3">
      <c r="A557" s="1">
        <v>66.216999999999999</v>
      </c>
      <c r="B557" s="1">
        <v>5.5102000000000002</v>
      </c>
      <c r="C557" s="3">
        <f>Tabela1[[#This Row],[Alongamento(mm)]]/$I$2</f>
        <v>0.11020400000000001</v>
      </c>
      <c r="D557" s="1">
        <v>1395.8</v>
      </c>
      <c r="E557" s="5">
        <f>Tabela1[[#This Row],[Força(N)]]/$I$5</f>
        <v>31997615.881894458</v>
      </c>
      <c r="F557" s="3">
        <f>Tabela1[[#This Row],[Tensão(Pa)]]/1000000</f>
        <v>31.997615881894458</v>
      </c>
    </row>
    <row r="558" spans="1:6" x14ac:dyDescent="0.3">
      <c r="A558" s="1">
        <v>66.45</v>
      </c>
      <c r="B558" s="1">
        <v>5.5297000000000001</v>
      </c>
      <c r="C558" s="3">
        <f>Tabela1[[#This Row],[Alongamento(mm)]]/$I$2</f>
        <v>0.110594</v>
      </c>
      <c r="D558" s="1">
        <v>1406.9</v>
      </c>
      <c r="E558" s="5">
        <f>Tabela1[[#This Row],[Força(N)]]/$I$5</f>
        <v>32252074.641236078</v>
      </c>
      <c r="F558" s="3">
        <f>Tabela1[[#This Row],[Tensão(Pa)]]/1000000</f>
        <v>32.252074641236078</v>
      </c>
    </row>
    <row r="559" spans="1:6" x14ac:dyDescent="0.3">
      <c r="A559" s="1">
        <v>66.683000000000007</v>
      </c>
      <c r="B559" s="1">
        <v>5.5491000000000001</v>
      </c>
      <c r="C559" s="3">
        <f>Tabela1[[#This Row],[Alongamento(mm)]]/$I$2</f>
        <v>0.110982</v>
      </c>
      <c r="D559" s="1">
        <v>1417.8</v>
      </c>
      <c r="E559" s="5">
        <f>Tabela1[[#This Row],[Força(N)]]/$I$5</f>
        <v>32501948.558067031</v>
      </c>
      <c r="F559" s="3">
        <f>Tabela1[[#This Row],[Tensão(Pa)]]/1000000</f>
        <v>32.501948558067028</v>
      </c>
    </row>
    <row r="560" spans="1:6" x14ac:dyDescent="0.3">
      <c r="A560" s="1">
        <v>66.917000000000002</v>
      </c>
      <c r="B560" s="1">
        <v>5.5686</v>
      </c>
      <c r="C560" s="3">
        <f>Tabela1[[#This Row],[Alongamento(mm)]]/$I$2</f>
        <v>0.111372</v>
      </c>
      <c r="D560" s="1">
        <v>1428.8</v>
      </c>
      <c r="E560" s="5">
        <f>Tabela1[[#This Row],[Força(N)]]/$I$5</f>
        <v>32754114.89615332</v>
      </c>
      <c r="F560" s="3">
        <f>Tabela1[[#This Row],[Tensão(Pa)]]/1000000</f>
        <v>32.754114896153318</v>
      </c>
    </row>
    <row r="561" spans="1:6" x14ac:dyDescent="0.3">
      <c r="A561" s="1">
        <v>67.150000000000006</v>
      </c>
      <c r="B561" s="1">
        <v>5.5880000000000001</v>
      </c>
      <c r="C561" s="3">
        <f>Tabela1[[#This Row],[Alongamento(mm)]]/$I$2</f>
        <v>0.11176</v>
      </c>
      <c r="D561" s="1">
        <v>1439.9</v>
      </c>
      <c r="E561" s="5">
        <f>Tabela1[[#This Row],[Força(N)]]/$I$5</f>
        <v>33008573.65549494</v>
      </c>
      <c r="F561" s="3">
        <f>Tabela1[[#This Row],[Tensão(Pa)]]/1000000</f>
        <v>33.008573655494942</v>
      </c>
    </row>
    <row r="562" spans="1:6" x14ac:dyDescent="0.3">
      <c r="A562" s="1">
        <v>67.400000000000006</v>
      </c>
      <c r="B562" s="1">
        <v>5.6089000000000002</v>
      </c>
      <c r="C562" s="3">
        <f>Tabela1[[#This Row],[Alongamento(mm)]]/$I$2</f>
        <v>0.112178</v>
      </c>
      <c r="D562" s="1">
        <v>1451.6</v>
      </c>
      <c r="E562" s="5">
        <f>Tabela1[[#This Row],[Força(N)]]/$I$5</f>
        <v>33276786.94236853</v>
      </c>
      <c r="F562" s="3">
        <f>Tabela1[[#This Row],[Tensão(Pa)]]/1000000</f>
        <v>33.276786942368531</v>
      </c>
    </row>
    <row r="563" spans="1:6" x14ac:dyDescent="0.3">
      <c r="A563" s="1">
        <v>67.650000000000006</v>
      </c>
      <c r="B563" s="1">
        <v>5.6296999999999997</v>
      </c>
      <c r="C563" s="3">
        <f>Tabela1[[#This Row],[Alongamento(mm)]]/$I$2</f>
        <v>0.112594</v>
      </c>
      <c r="D563" s="1">
        <v>1463.4</v>
      </c>
      <c r="E563" s="5">
        <f>Tabela1[[#This Row],[Força(N)]]/$I$5</f>
        <v>33547292.650497459</v>
      </c>
      <c r="F563" s="3">
        <f>Tabela1[[#This Row],[Tensão(Pa)]]/1000000</f>
        <v>33.547292650497461</v>
      </c>
    </row>
    <row r="564" spans="1:6" x14ac:dyDescent="0.3">
      <c r="A564" s="1">
        <v>67.900000000000006</v>
      </c>
      <c r="B564" s="1">
        <v>5.6505999999999998</v>
      </c>
      <c r="C564" s="3">
        <f>Tabela1[[#This Row],[Alongamento(mm)]]/$I$2</f>
        <v>0.113012</v>
      </c>
      <c r="D564" s="1">
        <v>1474.9</v>
      </c>
      <c r="E564" s="5">
        <f>Tabela1[[#This Row],[Força(N)]]/$I$5</f>
        <v>33810921.094860397</v>
      </c>
      <c r="F564" s="3">
        <f>Tabela1[[#This Row],[Tensão(Pa)]]/1000000</f>
        <v>33.810921094860397</v>
      </c>
    </row>
    <row r="565" spans="1:6" x14ac:dyDescent="0.3">
      <c r="A565" s="1">
        <v>68.150000000000006</v>
      </c>
      <c r="B565" s="1">
        <v>5.6712999999999996</v>
      </c>
      <c r="C565" s="3">
        <f>Tabela1[[#This Row],[Alongamento(mm)]]/$I$2</f>
        <v>0.11342599999999999</v>
      </c>
      <c r="D565" s="1">
        <v>1486.3</v>
      </c>
      <c r="E565" s="5">
        <f>Tabela1[[#This Row],[Força(N)]]/$I$5</f>
        <v>34072257.117968</v>
      </c>
      <c r="F565" s="3">
        <f>Tabela1[[#This Row],[Tensão(Pa)]]/1000000</f>
        <v>34.072257117968</v>
      </c>
    </row>
    <row r="566" spans="1:6" x14ac:dyDescent="0.3">
      <c r="A566" s="1">
        <v>68.400000000000006</v>
      </c>
      <c r="B566" s="1">
        <v>5.6923000000000004</v>
      </c>
      <c r="C566" s="3">
        <f>Tabela1[[#This Row],[Alongamento(mm)]]/$I$2</f>
        <v>0.113846</v>
      </c>
      <c r="D566" s="1">
        <v>1497.9</v>
      </c>
      <c r="E566" s="5">
        <f>Tabela1[[#This Row],[Força(N)]]/$I$5</f>
        <v>34338177.983586267</v>
      </c>
      <c r="F566" s="3">
        <f>Tabela1[[#This Row],[Tensão(Pa)]]/1000000</f>
        <v>34.33817798358627</v>
      </c>
    </row>
    <row r="567" spans="1:6" x14ac:dyDescent="0.3">
      <c r="A567" s="1">
        <v>68.650000000000006</v>
      </c>
      <c r="B567" s="1">
        <v>5.7130000000000001</v>
      </c>
      <c r="C567" s="3">
        <f>Tabela1[[#This Row],[Alongamento(mm)]]/$I$2</f>
        <v>0.11426</v>
      </c>
      <c r="D567" s="1">
        <v>1509.6</v>
      </c>
      <c r="E567" s="5">
        <f>Tabela1[[#This Row],[Força(N)]]/$I$5</f>
        <v>34606391.270459861</v>
      </c>
      <c r="F567" s="3">
        <f>Tabela1[[#This Row],[Tensão(Pa)]]/1000000</f>
        <v>34.606391270459859</v>
      </c>
    </row>
    <row r="568" spans="1:6" x14ac:dyDescent="0.3">
      <c r="A568" s="1">
        <v>68.900000000000006</v>
      </c>
      <c r="B568" s="1">
        <v>5.7339000000000002</v>
      </c>
      <c r="C568" s="3">
        <f>Tabela1[[#This Row],[Alongamento(mm)]]/$I$2</f>
        <v>0.114678</v>
      </c>
      <c r="D568" s="1">
        <v>1521.2</v>
      </c>
      <c r="E568" s="5">
        <f>Tabela1[[#This Row],[Força(N)]]/$I$5</f>
        <v>34872312.136078127</v>
      </c>
      <c r="F568" s="3">
        <f>Tabela1[[#This Row],[Tensão(Pa)]]/1000000</f>
        <v>34.872312136078129</v>
      </c>
    </row>
    <row r="569" spans="1:6" x14ac:dyDescent="0.3">
      <c r="A569" s="1">
        <v>69.150000000000006</v>
      </c>
      <c r="B569" s="1">
        <v>5.7546999999999997</v>
      </c>
      <c r="C569" s="3">
        <f>Tabela1[[#This Row],[Alongamento(mm)]]/$I$2</f>
        <v>0.11509399999999999</v>
      </c>
      <c r="D569" s="1">
        <v>1532.8</v>
      </c>
      <c r="E569" s="5">
        <f>Tabela1[[#This Row],[Força(N)]]/$I$5</f>
        <v>35138233.001696393</v>
      </c>
      <c r="F569" s="3">
        <f>Tabela1[[#This Row],[Tensão(Pa)]]/1000000</f>
        <v>35.138233001696392</v>
      </c>
    </row>
    <row r="570" spans="1:6" x14ac:dyDescent="0.3">
      <c r="A570" s="1">
        <v>69.417000000000002</v>
      </c>
      <c r="B570" s="1">
        <v>5.7769000000000004</v>
      </c>
      <c r="C570" s="3">
        <f>Tabela1[[#This Row],[Alongamento(mm)]]/$I$2</f>
        <v>0.115538</v>
      </c>
      <c r="D570" s="1">
        <v>1545.2</v>
      </c>
      <c r="E570" s="5">
        <f>Tabela1[[#This Row],[Força(N)]]/$I$5</f>
        <v>35422493.237357304</v>
      </c>
      <c r="F570" s="3">
        <f>Tabela1[[#This Row],[Tensão(Pa)]]/1000000</f>
        <v>35.422493237357301</v>
      </c>
    </row>
    <row r="571" spans="1:6" x14ac:dyDescent="0.3">
      <c r="A571" s="1">
        <v>69.683000000000007</v>
      </c>
      <c r="B571" s="1">
        <v>5.7991000000000001</v>
      </c>
      <c r="C571" s="3">
        <f>Tabela1[[#This Row],[Alongamento(mm)]]/$I$2</f>
        <v>0.115982</v>
      </c>
      <c r="D571" s="1">
        <v>1557.6</v>
      </c>
      <c r="E571" s="5">
        <f>Tabela1[[#This Row],[Força(N)]]/$I$5</f>
        <v>35706753.473018199</v>
      </c>
      <c r="F571" s="3">
        <f>Tabela1[[#This Row],[Tensão(Pa)]]/1000000</f>
        <v>35.706753473018196</v>
      </c>
    </row>
    <row r="572" spans="1:6" x14ac:dyDescent="0.3">
      <c r="A572" s="1">
        <v>69.95</v>
      </c>
      <c r="B572" s="1">
        <v>5.8212999999999999</v>
      </c>
      <c r="C572" s="3">
        <f>Tabela1[[#This Row],[Alongamento(mm)]]/$I$2</f>
        <v>0.116426</v>
      </c>
      <c r="D572" s="1">
        <v>1569.7</v>
      </c>
      <c r="E572" s="5">
        <f>Tabela1[[#This Row],[Força(N)]]/$I$5</f>
        <v>35984136.444913119</v>
      </c>
      <c r="F572" s="3">
        <f>Tabela1[[#This Row],[Tensão(Pa)]]/1000000</f>
        <v>35.984136444913119</v>
      </c>
    </row>
    <row r="573" spans="1:6" x14ac:dyDescent="0.3">
      <c r="A573" s="1">
        <v>70.216999999999999</v>
      </c>
      <c r="B573" s="1">
        <v>5.8436000000000003</v>
      </c>
      <c r="C573" s="3">
        <f>Tabela1[[#This Row],[Alongamento(mm)]]/$I$2</f>
        <v>0.116872</v>
      </c>
      <c r="D573" s="1">
        <v>1581.9</v>
      </c>
      <c r="E573" s="5">
        <f>Tabela1[[#This Row],[Força(N)]]/$I$5</f>
        <v>36263811.838063367</v>
      </c>
      <c r="F573" s="3">
        <f>Tabela1[[#This Row],[Tensão(Pa)]]/1000000</f>
        <v>36.263811838063368</v>
      </c>
    </row>
    <row r="574" spans="1:6" x14ac:dyDescent="0.3">
      <c r="A574" s="1">
        <v>70.483000000000004</v>
      </c>
      <c r="B574" s="1">
        <v>5.8657000000000004</v>
      </c>
      <c r="C574" s="3">
        <f>Tabela1[[#This Row],[Alongamento(mm)]]/$I$2</f>
        <v>0.117314</v>
      </c>
      <c r="D574" s="1">
        <v>1594.2</v>
      </c>
      <c r="E574" s="5">
        <f>Tabela1[[#This Row],[Força(N)]]/$I$5</f>
        <v>36545779.652468942</v>
      </c>
      <c r="F574" s="3">
        <f>Tabela1[[#This Row],[Tensão(Pa)]]/1000000</f>
        <v>36.545779652468944</v>
      </c>
    </row>
    <row r="575" spans="1:6" x14ac:dyDescent="0.3">
      <c r="A575" s="1">
        <v>70.75</v>
      </c>
      <c r="B575" s="1">
        <v>5.8879999999999999</v>
      </c>
      <c r="C575" s="3">
        <f>Tabela1[[#This Row],[Alongamento(mm)]]/$I$2</f>
        <v>0.11776</v>
      </c>
      <c r="D575" s="1">
        <v>1606.8</v>
      </c>
      <c r="E575" s="5">
        <f>Tabela1[[#This Row],[Força(N)]]/$I$5</f>
        <v>36834624.730640501</v>
      </c>
      <c r="F575" s="3">
        <f>Tabela1[[#This Row],[Tensão(Pa)]]/1000000</f>
        <v>36.834624730640499</v>
      </c>
    </row>
    <row r="576" spans="1:6" x14ac:dyDescent="0.3">
      <c r="A576" s="1">
        <v>71.016999999999996</v>
      </c>
      <c r="B576" s="1">
        <v>5.9103000000000003</v>
      </c>
      <c r="C576" s="3">
        <f>Tabela1[[#This Row],[Alongamento(mm)]]/$I$2</f>
        <v>0.11820600000000001</v>
      </c>
      <c r="D576" s="1">
        <v>1619.2</v>
      </c>
      <c r="E576" s="5">
        <f>Tabela1[[#This Row],[Força(N)]]/$I$5</f>
        <v>37118884.966301411</v>
      </c>
      <c r="F576" s="3">
        <f>Tabela1[[#This Row],[Tensão(Pa)]]/1000000</f>
        <v>37.118884966301408</v>
      </c>
    </row>
    <row r="577" spans="1:6" x14ac:dyDescent="0.3">
      <c r="A577" s="1">
        <v>71.3</v>
      </c>
      <c r="B577" s="1">
        <v>5.9337999999999997</v>
      </c>
      <c r="C577" s="3">
        <f>Tabela1[[#This Row],[Alongamento(mm)]]/$I$2</f>
        <v>0.11867599999999999</v>
      </c>
      <c r="D577" s="1">
        <v>1632.3</v>
      </c>
      <c r="E577" s="5">
        <f>Tabela1[[#This Row],[Força(N)]]/$I$5</f>
        <v>37419192.150749624</v>
      </c>
      <c r="F577" s="3">
        <f>Tabela1[[#This Row],[Tensão(Pa)]]/1000000</f>
        <v>37.419192150749623</v>
      </c>
    </row>
    <row r="578" spans="1:6" x14ac:dyDescent="0.3">
      <c r="A578" s="1">
        <v>71.582999999999998</v>
      </c>
      <c r="B578" s="1">
        <v>5.9574999999999996</v>
      </c>
      <c r="C578" s="3">
        <f>Tabela1[[#This Row],[Alongamento(mm)]]/$I$2</f>
        <v>0.11914999999999999</v>
      </c>
      <c r="D578" s="1">
        <v>1645.5</v>
      </c>
      <c r="E578" s="5">
        <f>Tabela1[[#This Row],[Força(N)]]/$I$5</f>
        <v>37721791.756453171</v>
      </c>
      <c r="F578" s="3">
        <f>Tabela1[[#This Row],[Tensão(Pa)]]/1000000</f>
        <v>37.721791756453172</v>
      </c>
    </row>
    <row r="579" spans="1:6" x14ac:dyDescent="0.3">
      <c r="A579" s="1">
        <v>71.849999999999994</v>
      </c>
      <c r="B579" s="1">
        <v>5.9795999999999996</v>
      </c>
      <c r="C579" s="3">
        <f>Tabela1[[#This Row],[Alongamento(mm)]]/$I$2</f>
        <v>0.11959199999999999</v>
      </c>
      <c r="D579" s="1">
        <v>1658.1</v>
      </c>
      <c r="E579" s="5">
        <f>Tabela1[[#This Row],[Força(N)]]/$I$5</f>
        <v>38010636.83462473</v>
      </c>
      <c r="F579" s="3">
        <f>Tabela1[[#This Row],[Tensão(Pa)]]/1000000</f>
        <v>38.010636834624727</v>
      </c>
    </row>
    <row r="580" spans="1:6" x14ac:dyDescent="0.3">
      <c r="A580" s="1">
        <v>72.132999999999996</v>
      </c>
      <c r="B580" s="1">
        <v>6.0034000000000001</v>
      </c>
      <c r="C580" s="3">
        <f>Tabela1[[#This Row],[Alongamento(mm)]]/$I$2</f>
        <v>0.12006800000000001</v>
      </c>
      <c r="D580" s="1">
        <v>1671.6</v>
      </c>
      <c r="E580" s="5">
        <f>Tabela1[[#This Row],[Força(N)]]/$I$5</f>
        <v>38320113.704094268</v>
      </c>
      <c r="F580" s="3">
        <f>Tabela1[[#This Row],[Tensão(Pa)]]/1000000</f>
        <v>38.320113704094268</v>
      </c>
    </row>
    <row r="581" spans="1:6" x14ac:dyDescent="0.3">
      <c r="A581" s="1">
        <v>72.417000000000002</v>
      </c>
      <c r="B581" s="1">
        <v>6.0269000000000004</v>
      </c>
      <c r="C581" s="3">
        <f>Tabela1[[#This Row],[Alongamento(mm)]]/$I$2</f>
        <v>0.12053800000000001</v>
      </c>
      <c r="D581" s="1">
        <v>1684.8</v>
      </c>
      <c r="E581" s="5">
        <f>Tabela1[[#This Row],[Força(N)]]/$I$5</f>
        <v>38622713.309797809</v>
      </c>
      <c r="F581" s="3">
        <f>Tabela1[[#This Row],[Tensão(Pa)]]/1000000</f>
        <v>38.62271330979781</v>
      </c>
    </row>
    <row r="582" spans="1:6" x14ac:dyDescent="0.3">
      <c r="A582" s="1">
        <v>72.7</v>
      </c>
      <c r="B582" s="1">
        <v>6.0505000000000004</v>
      </c>
      <c r="C582" s="3">
        <f>Tabela1[[#This Row],[Alongamento(mm)]]/$I$2</f>
        <v>0.12101000000000001</v>
      </c>
      <c r="D582" s="1">
        <v>1698.3</v>
      </c>
      <c r="E582" s="5">
        <f>Tabela1[[#This Row],[Força(N)]]/$I$5</f>
        <v>38932190.179267347</v>
      </c>
      <c r="F582" s="3">
        <f>Tabela1[[#This Row],[Tensão(Pa)]]/1000000</f>
        <v>38.932190179267344</v>
      </c>
    </row>
    <row r="583" spans="1:6" x14ac:dyDescent="0.3">
      <c r="A583" s="1">
        <v>72.983000000000004</v>
      </c>
      <c r="B583" s="1">
        <v>6.0740999999999996</v>
      </c>
      <c r="C583" s="3">
        <f>Tabela1[[#This Row],[Alongamento(mm)]]/$I$2</f>
        <v>0.12148199999999999</v>
      </c>
      <c r="D583" s="1">
        <v>1711.5</v>
      </c>
      <c r="E583" s="5">
        <f>Tabela1[[#This Row],[Força(N)]]/$I$5</f>
        <v>39234789.784970887</v>
      </c>
      <c r="F583" s="3">
        <f>Tabela1[[#This Row],[Tensão(Pa)]]/1000000</f>
        <v>39.234789784970886</v>
      </c>
    </row>
    <row r="584" spans="1:6" x14ac:dyDescent="0.3">
      <c r="A584" s="1">
        <v>73.266999999999996</v>
      </c>
      <c r="B584" s="1">
        <v>6.0976999999999997</v>
      </c>
      <c r="C584" s="3">
        <f>Tabela1[[#This Row],[Alongamento(mm)]]/$I$2</f>
        <v>0.12195399999999999</v>
      </c>
      <c r="D584" s="1">
        <v>1724.8</v>
      </c>
      <c r="E584" s="5">
        <f>Tabela1[[#This Row],[Força(N)]]/$I$5</f>
        <v>39539681.811929762</v>
      </c>
      <c r="F584" s="3">
        <f>Tabela1[[#This Row],[Tensão(Pa)]]/1000000</f>
        <v>39.539681811929761</v>
      </c>
    </row>
    <row r="585" spans="1:6" x14ac:dyDescent="0.3">
      <c r="A585" s="1">
        <v>73.566999999999993</v>
      </c>
      <c r="B585" s="1">
        <v>6.1227999999999998</v>
      </c>
      <c r="C585" s="3">
        <f>Tabela1[[#This Row],[Alongamento(mm)]]/$I$2</f>
        <v>0.122456</v>
      </c>
      <c r="D585" s="1">
        <v>1738.6</v>
      </c>
      <c r="E585" s="5">
        <f>Tabela1[[#This Row],[Força(N)]]/$I$5</f>
        <v>39856035.945165284</v>
      </c>
      <c r="F585" s="3">
        <f>Tabela1[[#This Row],[Tensão(Pa)]]/1000000</f>
        <v>39.856035945165281</v>
      </c>
    </row>
    <row r="586" spans="1:6" x14ac:dyDescent="0.3">
      <c r="A586" s="1">
        <v>73.867000000000004</v>
      </c>
      <c r="B586" s="1">
        <v>6.1478000000000002</v>
      </c>
      <c r="C586" s="3">
        <f>Tabela1[[#This Row],[Alongamento(mm)]]/$I$2</f>
        <v>0.12295600000000001</v>
      </c>
      <c r="D586" s="1">
        <v>1752.5</v>
      </c>
      <c r="E586" s="5">
        <f>Tabela1[[#This Row],[Força(N)]]/$I$5</f>
        <v>40174682.499656141</v>
      </c>
      <c r="F586" s="3">
        <f>Tabela1[[#This Row],[Tensão(Pa)]]/1000000</f>
        <v>40.174682499656143</v>
      </c>
    </row>
    <row r="587" spans="1:6" x14ac:dyDescent="0.3">
      <c r="A587" s="1">
        <v>74.167000000000002</v>
      </c>
      <c r="B587" s="1">
        <v>6.1726999999999999</v>
      </c>
      <c r="C587" s="3">
        <f>Tabela1[[#This Row],[Alongamento(mm)]]/$I$2</f>
        <v>0.12345399999999999</v>
      </c>
      <c r="D587" s="1">
        <v>1766.3</v>
      </c>
      <c r="E587" s="5">
        <f>Tabela1[[#This Row],[Força(N)]]/$I$5</f>
        <v>40491036.632891662</v>
      </c>
      <c r="F587" s="3">
        <f>Tabela1[[#This Row],[Tensão(Pa)]]/1000000</f>
        <v>40.491036632891664</v>
      </c>
    </row>
    <row r="588" spans="1:6" x14ac:dyDescent="0.3">
      <c r="A588" s="1">
        <v>74.466999999999999</v>
      </c>
      <c r="B588" s="1">
        <v>6.1978</v>
      </c>
      <c r="C588" s="3">
        <f>Tabela1[[#This Row],[Alongamento(mm)]]/$I$2</f>
        <v>0.123956</v>
      </c>
      <c r="D588" s="1">
        <v>1779.9</v>
      </c>
      <c r="E588" s="5">
        <f>Tabela1[[#This Row],[Força(N)]]/$I$5</f>
        <v>40802805.923616529</v>
      </c>
      <c r="F588" s="3">
        <f>Tabela1[[#This Row],[Tensão(Pa)]]/1000000</f>
        <v>40.802805923616532</v>
      </c>
    </row>
    <row r="589" spans="1:6" x14ac:dyDescent="0.3">
      <c r="A589" s="1">
        <v>74.783000000000001</v>
      </c>
      <c r="B589" s="1">
        <v>6.2241</v>
      </c>
      <c r="C589" s="3">
        <f>Tabela1[[#This Row],[Alongamento(mm)]]/$I$2</f>
        <v>0.124482</v>
      </c>
      <c r="D589" s="1">
        <v>1794</v>
      </c>
      <c r="E589" s="5">
        <f>Tabela1[[#This Row],[Força(N)]]/$I$5</f>
        <v>41126037.320618041</v>
      </c>
      <c r="F589" s="3">
        <f>Tabela1[[#This Row],[Tensão(Pa)]]/1000000</f>
        <v>41.126037320618039</v>
      </c>
    </row>
    <row r="590" spans="1:6" x14ac:dyDescent="0.3">
      <c r="A590" s="1">
        <v>75.099999999999994</v>
      </c>
      <c r="B590" s="1">
        <v>6.2506000000000004</v>
      </c>
      <c r="C590" s="3">
        <f>Tabela1[[#This Row],[Alongamento(mm)]]/$I$2</f>
        <v>0.12501200000000001</v>
      </c>
      <c r="D590" s="1">
        <v>1808.5</v>
      </c>
      <c r="E590" s="5">
        <f>Tabela1[[#This Row],[Força(N)]]/$I$5</f>
        <v>41458438.402640872</v>
      </c>
      <c r="F590" s="3">
        <f>Tabela1[[#This Row],[Tensão(Pa)]]/1000000</f>
        <v>41.458438402640873</v>
      </c>
    </row>
    <row r="591" spans="1:6" x14ac:dyDescent="0.3">
      <c r="A591" s="1">
        <v>75.417000000000002</v>
      </c>
      <c r="B591" s="1">
        <v>6.2769000000000004</v>
      </c>
      <c r="C591" s="3">
        <f>Tabela1[[#This Row],[Alongamento(mm)]]/$I$2</f>
        <v>0.12553800000000001</v>
      </c>
      <c r="D591" s="1">
        <v>1822.6</v>
      </c>
      <c r="E591" s="5">
        <f>Tabela1[[#This Row],[Força(N)]]/$I$5</f>
        <v>41781669.799642384</v>
      </c>
      <c r="F591" s="3">
        <f>Tabela1[[#This Row],[Tensão(Pa)]]/1000000</f>
        <v>41.781669799642387</v>
      </c>
    </row>
    <row r="592" spans="1:6" x14ac:dyDescent="0.3">
      <c r="A592" s="1">
        <v>75.733000000000004</v>
      </c>
      <c r="B592" s="1">
        <v>6.3033999999999999</v>
      </c>
      <c r="C592" s="3">
        <f>Tabela1[[#This Row],[Alongamento(mm)]]/$I$2</f>
        <v>0.12606799999999999</v>
      </c>
      <c r="D592" s="1">
        <v>1836.7</v>
      </c>
      <c r="E592" s="5">
        <f>Tabela1[[#This Row],[Força(N)]]/$I$5</f>
        <v>42104901.196643896</v>
      </c>
      <c r="F592" s="3">
        <f>Tabela1[[#This Row],[Tensão(Pa)]]/1000000</f>
        <v>42.104901196643894</v>
      </c>
    </row>
    <row r="593" spans="1:6" x14ac:dyDescent="0.3">
      <c r="A593" s="1">
        <v>76.066999999999993</v>
      </c>
      <c r="B593" s="1">
        <v>6.3310000000000004</v>
      </c>
      <c r="C593" s="3">
        <f>Tabela1[[#This Row],[Alongamento(mm)]]/$I$2</f>
        <v>0.12662000000000001</v>
      </c>
      <c r="D593" s="1">
        <v>1851.5</v>
      </c>
      <c r="E593" s="5">
        <f>Tabela1[[#This Row],[Força(N)]]/$I$5</f>
        <v>42444179.542432718</v>
      </c>
      <c r="F593" s="3">
        <f>Tabela1[[#This Row],[Tensão(Pa)]]/1000000</f>
        <v>42.444179542432721</v>
      </c>
    </row>
    <row r="594" spans="1:6" x14ac:dyDescent="0.3">
      <c r="A594" s="1">
        <v>76.400000000000006</v>
      </c>
      <c r="B594" s="1">
        <v>6.3587999999999996</v>
      </c>
      <c r="C594" s="3">
        <f>Tabela1[[#This Row],[Alongamento(mm)]]/$I$2</f>
        <v>0.12717599999999998</v>
      </c>
      <c r="D594" s="1">
        <v>1866.3</v>
      </c>
      <c r="E594" s="5">
        <f>Tabela1[[#This Row],[Força(N)]]/$I$5</f>
        <v>42783457.88822154</v>
      </c>
      <c r="F594" s="3">
        <f>Tabela1[[#This Row],[Tensão(Pa)]]/1000000</f>
        <v>42.783457888221541</v>
      </c>
    </row>
    <row r="595" spans="1:6" x14ac:dyDescent="0.3">
      <c r="A595" s="1">
        <v>76.716999999999999</v>
      </c>
      <c r="B595" s="1">
        <v>6.3853</v>
      </c>
      <c r="C595" s="3">
        <f>Tabela1[[#This Row],[Alongamento(mm)]]/$I$2</f>
        <v>0.12770599999999999</v>
      </c>
      <c r="D595" s="1">
        <v>1880.6</v>
      </c>
      <c r="E595" s="5">
        <f>Tabela1[[#This Row],[Força(N)]]/$I$5</f>
        <v>43111274.127733715</v>
      </c>
      <c r="F595" s="3">
        <f>Tabela1[[#This Row],[Tensão(Pa)]]/1000000</f>
        <v>43.111274127733715</v>
      </c>
    </row>
    <row r="596" spans="1:6" x14ac:dyDescent="0.3">
      <c r="A596" s="1">
        <v>77.05</v>
      </c>
      <c r="B596" s="1">
        <v>6.4131</v>
      </c>
      <c r="C596" s="3">
        <f>Tabela1[[#This Row],[Alongamento(mm)]]/$I$2</f>
        <v>0.12826199999999999</v>
      </c>
      <c r="D596" s="1">
        <v>1895.2</v>
      </c>
      <c r="E596" s="5">
        <f>Tabela1[[#This Row],[Força(N)]]/$I$5</f>
        <v>43445967.631011881</v>
      </c>
      <c r="F596" s="3">
        <f>Tabela1[[#This Row],[Tensão(Pa)]]/1000000</f>
        <v>43.445967631011882</v>
      </c>
    </row>
    <row r="597" spans="1:6" x14ac:dyDescent="0.3">
      <c r="A597" s="1">
        <v>77.382999999999996</v>
      </c>
      <c r="B597" s="1">
        <v>6.4408000000000003</v>
      </c>
      <c r="C597" s="3">
        <f>Tabela1[[#This Row],[Alongamento(mm)]]/$I$2</f>
        <v>0.12881600000000001</v>
      </c>
      <c r="D597" s="1">
        <v>1910</v>
      </c>
      <c r="E597" s="5">
        <f>Tabela1[[#This Row],[Força(N)]]/$I$5</f>
        <v>43785245.976800703</v>
      </c>
      <c r="F597" s="3">
        <f>Tabela1[[#This Row],[Tensão(Pa)]]/1000000</f>
        <v>43.785245976800702</v>
      </c>
    </row>
    <row r="598" spans="1:6" x14ac:dyDescent="0.3">
      <c r="A598" s="1">
        <v>77.716999999999999</v>
      </c>
      <c r="B598" s="1">
        <v>6.4686000000000003</v>
      </c>
      <c r="C598" s="3">
        <f>Tabela1[[#This Row],[Alongamento(mm)]]/$I$2</f>
        <v>0.12937200000000001</v>
      </c>
      <c r="D598" s="1">
        <v>1924.8</v>
      </c>
      <c r="E598" s="5">
        <f>Tabela1[[#This Row],[Força(N)]]/$I$5</f>
        <v>44124524.322589524</v>
      </c>
      <c r="F598" s="3">
        <f>Tabela1[[#This Row],[Tensão(Pa)]]/1000000</f>
        <v>44.124524322589522</v>
      </c>
    </row>
    <row r="599" spans="1:6" x14ac:dyDescent="0.3">
      <c r="A599" s="1">
        <v>78.066999999999993</v>
      </c>
      <c r="B599" s="1">
        <v>6.4977999999999998</v>
      </c>
      <c r="C599" s="3">
        <f>Tabela1[[#This Row],[Alongamento(mm)]]/$I$2</f>
        <v>0.12995599999999999</v>
      </c>
      <c r="D599" s="1">
        <v>1940</v>
      </c>
      <c r="E599" s="5">
        <f>Tabela1[[#This Row],[Força(N)]]/$I$5</f>
        <v>44472972.353399664</v>
      </c>
      <c r="F599" s="3">
        <f>Tabela1[[#This Row],[Tensão(Pa)]]/1000000</f>
        <v>44.472972353399662</v>
      </c>
    </row>
    <row r="600" spans="1:6" x14ac:dyDescent="0.3">
      <c r="A600" s="1">
        <v>78.417000000000002</v>
      </c>
      <c r="B600" s="1">
        <v>6.5269000000000004</v>
      </c>
      <c r="C600" s="3">
        <f>Tabela1[[#This Row],[Alongamento(mm)]]/$I$2</f>
        <v>0.13053800000000002</v>
      </c>
      <c r="D600" s="1">
        <v>1955.1</v>
      </c>
      <c r="E600" s="5">
        <f>Tabela1[[#This Row],[Força(N)]]/$I$5</f>
        <v>44819127.962954476</v>
      </c>
      <c r="F600" s="3">
        <f>Tabela1[[#This Row],[Tensão(Pa)]]/1000000</f>
        <v>44.819127962954475</v>
      </c>
    </row>
    <row r="601" spans="1:6" x14ac:dyDescent="0.3">
      <c r="A601" s="1">
        <v>78.766999999999996</v>
      </c>
      <c r="B601" s="1">
        <v>6.5560999999999998</v>
      </c>
      <c r="C601" s="3">
        <f>Tabela1[[#This Row],[Alongamento(mm)]]/$I$2</f>
        <v>0.13112199999999999</v>
      </c>
      <c r="D601" s="1">
        <v>1970.1</v>
      </c>
      <c r="E601" s="5">
        <f>Tabela1[[#This Row],[Força(N)]]/$I$5</f>
        <v>45162991.151253954</v>
      </c>
      <c r="F601" s="3">
        <f>Tabela1[[#This Row],[Tensão(Pa)]]/1000000</f>
        <v>45.162991151253955</v>
      </c>
    </row>
    <row r="602" spans="1:6" x14ac:dyDescent="0.3">
      <c r="A602" s="1">
        <v>79.150000000000006</v>
      </c>
      <c r="B602" s="1">
        <v>6.5880000000000001</v>
      </c>
      <c r="C602" s="3">
        <f>Tabela1[[#This Row],[Alongamento(mm)]]/$I$2</f>
        <v>0.13175999999999999</v>
      </c>
      <c r="D602" s="1">
        <v>1985.9</v>
      </c>
      <c r="E602" s="5">
        <f>Tabela1[[#This Row],[Força(N)]]/$I$5</f>
        <v>45525193.709596083</v>
      </c>
      <c r="F602" s="3">
        <f>Tabela1[[#This Row],[Tensão(Pa)]]/1000000</f>
        <v>45.525193709596081</v>
      </c>
    </row>
    <row r="603" spans="1:6" x14ac:dyDescent="0.3">
      <c r="A603" s="1">
        <v>79.533000000000001</v>
      </c>
      <c r="B603" s="1">
        <v>6.62</v>
      </c>
      <c r="C603" s="3">
        <f>Tabela1[[#This Row],[Alongamento(mm)]]/$I$2</f>
        <v>0.13239999999999999</v>
      </c>
      <c r="D603" s="1">
        <v>2001.2</v>
      </c>
      <c r="E603" s="5">
        <f>Tabela1[[#This Row],[Força(N)]]/$I$5</f>
        <v>45875934.16166155</v>
      </c>
      <c r="F603" s="3">
        <f>Tabela1[[#This Row],[Tensão(Pa)]]/1000000</f>
        <v>45.875934161661547</v>
      </c>
    </row>
    <row r="604" spans="1:6" x14ac:dyDescent="0.3">
      <c r="A604" s="1">
        <v>79.933000000000007</v>
      </c>
      <c r="B604" s="1">
        <v>6.6534000000000004</v>
      </c>
      <c r="C604" s="3">
        <f>Tabela1[[#This Row],[Alongamento(mm)]]/$I$2</f>
        <v>0.13306800000000002</v>
      </c>
      <c r="D604" s="1">
        <v>2016.7</v>
      </c>
      <c r="E604" s="5">
        <f>Tabela1[[#This Row],[Força(N)]]/$I$5</f>
        <v>46231259.456237681</v>
      </c>
      <c r="F604" s="3">
        <f>Tabela1[[#This Row],[Tensão(Pa)]]/1000000</f>
        <v>46.23125945623768</v>
      </c>
    </row>
    <row r="605" spans="1:6" x14ac:dyDescent="0.3">
      <c r="A605" s="1">
        <v>80.349999999999994</v>
      </c>
      <c r="B605" s="1">
        <v>6.6879999999999997</v>
      </c>
      <c r="C605" s="3">
        <f>Tabela1[[#This Row],[Alongamento(mm)]]/$I$2</f>
        <v>0.13375999999999999</v>
      </c>
      <c r="D605" s="1">
        <v>2032.3</v>
      </c>
      <c r="E605" s="5">
        <f>Tabela1[[#This Row],[Força(N)]]/$I$5</f>
        <v>46588877.17206914</v>
      </c>
      <c r="F605" s="3">
        <f>Tabela1[[#This Row],[Tensão(Pa)]]/1000000</f>
        <v>46.588877172069139</v>
      </c>
    </row>
    <row r="606" spans="1:6" x14ac:dyDescent="0.3">
      <c r="A606" s="1">
        <v>80.8</v>
      </c>
      <c r="B606" s="1">
        <v>6.7255000000000003</v>
      </c>
      <c r="C606" s="3">
        <f>Tabela1[[#This Row],[Alongamento(mm)]]/$I$2</f>
        <v>0.13451000000000002</v>
      </c>
      <c r="D606" s="1">
        <v>2048.3000000000002</v>
      </c>
      <c r="E606" s="5">
        <f>Tabela1[[#This Row],[Força(N)]]/$I$5</f>
        <v>46955664.572921924</v>
      </c>
      <c r="F606" s="3">
        <f>Tabela1[[#This Row],[Tensão(Pa)]]/1000000</f>
        <v>46.955664572921926</v>
      </c>
    </row>
    <row r="607" spans="1:6" x14ac:dyDescent="0.3">
      <c r="A607" s="1">
        <v>81.3</v>
      </c>
      <c r="B607" s="1">
        <v>6.7672999999999996</v>
      </c>
      <c r="C607" s="3">
        <f>Tabela1[[#This Row],[Alongamento(mm)]]/$I$2</f>
        <v>0.13534599999999999</v>
      </c>
      <c r="D607" s="1">
        <v>2063.1</v>
      </c>
      <c r="E607" s="5">
        <f>Tabela1[[#This Row],[Força(N)]]/$I$5</f>
        <v>47294942.918710746</v>
      </c>
      <c r="F607" s="3">
        <f>Tabela1[[#This Row],[Tensão(Pa)]]/1000000</f>
        <v>47.294942918710746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8B3D-D3D7-4DFC-A3A1-B04E134AB972}">
  <dimension ref="A1:K608"/>
  <sheetViews>
    <sheetView workbookViewId="0">
      <selection sqref="A1:K1048576"/>
    </sheetView>
  </sheetViews>
  <sheetFormatPr defaultRowHeight="14.4" x14ac:dyDescent="0.3"/>
  <cols>
    <col min="1" max="1" width="13.6640625" style="4" customWidth="1"/>
    <col min="2" max="2" width="24.109375" style="4" customWidth="1"/>
    <col min="3" max="3" width="24.6640625" style="4" bestFit="1" customWidth="1"/>
    <col min="4" max="4" width="11.33203125" style="4" bestFit="1" customWidth="1"/>
    <col min="5" max="5" width="15.5546875" style="4" bestFit="1" customWidth="1"/>
    <col min="6" max="6" width="15.6640625" style="4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4" t="s">
        <v>0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0.15</v>
      </c>
      <c r="B2" s="1">
        <v>6.2348999999999998E-3</v>
      </c>
      <c r="C2" s="4">
        <f>Tabela8[[#This Row],[Alongamento (mm/mm)]]/$I$2</f>
        <v>1.2469799999999999E-4</v>
      </c>
      <c r="D2" s="1">
        <v>0.1701</v>
      </c>
      <c r="E2" s="4">
        <f>Tabela8[[#This Row],[Forτa(N)]]/$I$5</f>
        <v>3950.9808931400198</v>
      </c>
      <c r="F2" s="4">
        <f>Tabela8[[#This Row],[Tensão (Pa)]]/1000000</f>
        <v>3.95098089314002E-3</v>
      </c>
      <c r="H2" t="s">
        <v>10</v>
      </c>
      <c r="I2">
        <v>50</v>
      </c>
      <c r="J2">
        <v>12.89</v>
      </c>
      <c r="K2">
        <v>3.34</v>
      </c>
    </row>
    <row r="3" spans="1:11" x14ac:dyDescent="0.3">
      <c r="A3" s="1">
        <v>7.9832999999999998</v>
      </c>
      <c r="B3" s="1">
        <v>0.65800999999999998</v>
      </c>
      <c r="C3" s="4">
        <f>Tabela8[[#This Row],[Alongamento (mm/mm)]]/$I$2</f>
        <v>1.31602E-2</v>
      </c>
      <c r="D3" s="1">
        <v>3.0617999999999999</v>
      </c>
      <c r="E3" s="4">
        <f>Tabela8[[#This Row],[Forτa(N)]]/$I$5</f>
        <v>71117.656076520361</v>
      </c>
      <c r="F3" s="4">
        <f>Tabela8[[#This Row],[Tensão (Pa)]]/1000000</f>
        <v>7.1117656076520361E-2</v>
      </c>
      <c r="H3" t="s">
        <v>11</v>
      </c>
      <c r="I3">
        <f>I2/1000</f>
        <v>0.05</v>
      </c>
      <c r="J3">
        <f>J2/1000</f>
        <v>1.289E-2</v>
      </c>
      <c r="K3">
        <f>K2/1000</f>
        <v>3.3399999999999997E-3</v>
      </c>
    </row>
    <row r="4" spans="1:11" x14ac:dyDescent="0.3">
      <c r="A4" s="1">
        <v>8.0500000000000007</v>
      </c>
      <c r="B4" s="1">
        <v>0.66359999999999997</v>
      </c>
      <c r="C4" s="4">
        <f>Tabela8[[#This Row],[Alongamento (mm/mm)]]/$I$2</f>
        <v>1.3271999999999999E-2</v>
      </c>
      <c r="D4" s="1">
        <v>3.5720999999999998</v>
      </c>
      <c r="E4" s="4">
        <f>Tabela8[[#This Row],[Forτa(N)]]/$I$5</f>
        <v>82970.598755940417</v>
      </c>
      <c r="F4" s="4">
        <f>Tabela8[[#This Row],[Tensão (Pa)]]/1000000</f>
        <v>8.2970598755940414E-2</v>
      </c>
    </row>
    <row r="5" spans="1:11" x14ac:dyDescent="0.3">
      <c r="A5" s="1">
        <v>8.1166999999999998</v>
      </c>
      <c r="B5" s="1">
        <v>0.66908999999999996</v>
      </c>
      <c r="C5" s="4">
        <f>Tabela8[[#This Row],[Alongamento (mm/mm)]]/$I$2</f>
        <v>1.3381799999999999E-2</v>
      </c>
      <c r="D5" s="1">
        <v>3.9123000000000001</v>
      </c>
      <c r="E5" s="4">
        <f>Tabela8[[#This Row],[Forτa(N)]]/$I$5</f>
        <v>90872.560542220453</v>
      </c>
      <c r="F5" s="4">
        <f>Tabela8[[#This Row],[Tensão (Pa)]]/1000000</f>
        <v>9.0872560542220454E-2</v>
      </c>
      <c r="H5" t="s">
        <v>12</v>
      </c>
      <c r="I5">
        <f>J3*K3</f>
        <v>4.3052599999999995E-5</v>
      </c>
    </row>
    <row r="6" spans="1:11" x14ac:dyDescent="0.3">
      <c r="A6" s="1">
        <v>8.1832999999999991</v>
      </c>
      <c r="B6" s="1">
        <v>0.67466999999999999</v>
      </c>
      <c r="C6" s="4">
        <f>Tabela8[[#This Row],[Alongamento (mm/mm)]]/$I$2</f>
        <v>1.3493399999999999E-2</v>
      </c>
      <c r="D6" s="1">
        <v>4.4226000000000001</v>
      </c>
      <c r="E6" s="4">
        <f>Tabela8[[#This Row],[Forτa(N)]]/$I$5</f>
        <v>102725.50322164052</v>
      </c>
      <c r="F6" s="4">
        <f>Tabela8[[#This Row],[Tensão (Pa)]]/1000000</f>
        <v>0.10272550322164052</v>
      </c>
    </row>
    <row r="7" spans="1:11" x14ac:dyDescent="0.3">
      <c r="A7" s="1">
        <v>8.25</v>
      </c>
      <c r="B7" s="1">
        <v>0.68025000000000002</v>
      </c>
      <c r="C7" s="4">
        <f>Tabela8[[#This Row],[Alongamento (mm/mm)]]/$I$2</f>
        <v>1.3605000000000001E-2</v>
      </c>
      <c r="D7" s="1">
        <v>4.7628000000000004</v>
      </c>
      <c r="E7" s="4">
        <f>Tabela8[[#This Row],[Forτa(N)]]/$I$5</f>
        <v>110627.46500792056</v>
      </c>
      <c r="F7" s="4">
        <f>Tabela8[[#This Row],[Tensão (Pa)]]/1000000</f>
        <v>0.11062746500792056</v>
      </c>
    </row>
    <row r="8" spans="1:11" x14ac:dyDescent="0.3">
      <c r="A8" s="1">
        <v>8.3167000000000009</v>
      </c>
      <c r="B8" s="1">
        <v>0.68584000000000001</v>
      </c>
      <c r="C8" s="4">
        <f>Tabela8[[#This Row],[Alongamento (mm/mm)]]/$I$2</f>
        <v>1.3716799999999999E-2</v>
      </c>
      <c r="D8" s="1">
        <v>4.9329000000000001</v>
      </c>
      <c r="E8" s="4">
        <f>Tabela8[[#This Row],[Forτa(N)]]/$I$5</f>
        <v>114578.44590106058</v>
      </c>
      <c r="F8" s="4">
        <f>Tabela8[[#This Row],[Tensão (Pa)]]/1000000</f>
        <v>0.11457844590106057</v>
      </c>
    </row>
    <row r="9" spans="1:11" x14ac:dyDescent="0.3">
      <c r="A9" s="1">
        <v>8.3833000000000002</v>
      </c>
      <c r="B9" s="1">
        <v>0.69133</v>
      </c>
      <c r="C9" s="4">
        <f>Tabela8[[#This Row],[Alongamento (mm/mm)]]/$I$2</f>
        <v>1.38266E-2</v>
      </c>
      <c r="D9" s="1">
        <v>5.1029999999999998</v>
      </c>
      <c r="E9" s="4">
        <f>Tabela8[[#This Row],[Forτa(N)]]/$I$5</f>
        <v>118529.4267942006</v>
      </c>
      <c r="F9" s="4">
        <f>Tabela8[[#This Row],[Tensão (Pa)]]/1000000</f>
        <v>0.1185294267942006</v>
      </c>
    </row>
    <row r="10" spans="1:11" x14ac:dyDescent="0.3">
      <c r="A10" s="1">
        <v>8.4499999999999993</v>
      </c>
      <c r="B10" s="1">
        <v>0.69691000000000003</v>
      </c>
      <c r="C10" s="4">
        <f>Tabela8[[#This Row],[Alongamento (mm/mm)]]/$I$2</f>
        <v>1.3938200000000001E-2</v>
      </c>
      <c r="D10" s="1">
        <v>5.1029999999999998</v>
      </c>
      <c r="E10" s="4">
        <f>Tabela8[[#This Row],[Forτa(N)]]/$I$5</f>
        <v>118529.4267942006</v>
      </c>
      <c r="F10" s="4">
        <f>Tabela8[[#This Row],[Tensão (Pa)]]/1000000</f>
        <v>0.1185294267942006</v>
      </c>
    </row>
    <row r="11" spans="1:11" x14ac:dyDescent="0.3">
      <c r="A11" s="1">
        <v>8.5167000000000002</v>
      </c>
      <c r="B11" s="1">
        <v>0.70248999999999995</v>
      </c>
      <c r="C11" s="4">
        <f>Tabela8[[#This Row],[Alongamento (mm/mm)]]/$I$2</f>
        <v>1.4049799999999999E-2</v>
      </c>
      <c r="D11" s="1">
        <v>5.1029999999999998</v>
      </c>
      <c r="E11" s="4">
        <f>Tabela8[[#This Row],[Forτa(N)]]/$I$5</f>
        <v>118529.4267942006</v>
      </c>
      <c r="F11" s="4">
        <f>Tabela8[[#This Row],[Tensão (Pa)]]/1000000</f>
        <v>0.1185294267942006</v>
      </c>
    </row>
    <row r="12" spans="1:11" x14ac:dyDescent="0.3">
      <c r="A12" s="1">
        <v>8.5832999999999995</v>
      </c>
      <c r="B12" s="1">
        <v>0.70799000000000001</v>
      </c>
      <c r="C12" s="4">
        <f>Tabela8[[#This Row],[Alongamento (mm/mm)]]/$I$2</f>
        <v>1.41598E-2</v>
      </c>
      <c r="D12" s="1">
        <v>5.1029999999999998</v>
      </c>
      <c r="E12" s="4">
        <f>Tabela8[[#This Row],[Forτa(N)]]/$I$5</f>
        <v>118529.4267942006</v>
      </c>
      <c r="F12" s="4">
        <f>Tabela8[[#This Row],[Tensão (Pa)]]/1000000</f>
        <v>0.1185294267942006</v>
      </c>
    </row>
    <row r="13" spans="1:11" x14ac:dyDescent="0.3">
      <c r="A13" s="1">
        <v>8.65</v>
      </c>
      <c r="B13" s="1">
        <v>0.71348</v>
      </c>
      <c r="C13" s="4">
        <f>Tabela8[[#This Row],[Alongamento (mm/mm)]]/$I$2</f>
        <v>1.42696E-2</v>
      </c>
      <c r="D13" s="1">
        <v>5.1029999999999998</v>
      </c>
      <c r="E13" s="4">
        <f>Tabela8[[#This Row],[Forτa(N)]]/$I$5</f>
        <v>118529.4267942006</v>
      </c>
      <c r="F13" s="4">
        <f>Tabela8[[#This Row],[Tensão (Pa)]]/1000000</f>
        <v>0.1185294267942006</v>
      </c>
    </row>
    <row r="14" spans="1:11" x14ac:dyDescent="0.3">
      <c r="A14" s="1">
        <v>8.7166999999999994</v>
      </c>
      <c r="B14" s="1">
        <v>0.71906000000000003</v>
      </c>
      <c r="C14" s="4">
        <f>Tabela8[[#This Row],[Alongamento (mm/mm)]]/$I$2</f>
        <v>1.43812E-2</v>
      </c>
      <c r="D14" s="1">
        <v>5.2731000000000003</v>
      </c>
      <c r="E14" s="4">
        <f>Tabela8[[#This Row],[Forτa(N)]]/$I$5</f>
        <v>122480.40768734063</v>
      </c>
      <c r="F14" s="4">
        <f>Tabela8[[#This Row],[Tensão (Pa)]]/1000000</f>
        <v>0.12248040768734063</v>
      </c>
    </row>
    <row r="15" spans="1:11" x14ac:dyDescent="0.3">
      <c r="A15" s="1">
        <v>8.7833000000000006</v>
      </c>
      <c r="B15" s="1">
        <v>0.72463999999999995</v>
      </c>
      <c r="C15" s="4">
        <f>Tabela8[[#This Row],[Alongamento (mm/mm)]]/$I$2</f>
        <v>1.4492799999999998E-2</v>
      </c>
      <c r="D15" s="1">
        <v>5.2731000000000003</v>
      </c>
      <c r="E15" s="4">
        <f>Tabela8[[#This Row],[Forτa(N)]]/$I$5</f>
        <v>122480.40768734063</v>
      </c>
      <c r="F15" s="4">
        <f>Tabela8[[#This Row],[Tensão (Pa)]]/1000000</f>
        <v>0.12248040768734063</v>
      </c>
    </row>
    <row r="16" spans="1:11" x14ac:dyDescent="0.3">
      <c r="A16" s="1">
        <v>8.8666999999999998</v>
      </c>
      <c r="B16" s="1">
        <v>0.73162000000000005</v>
      </c>
      <c r="C16" s="4">
        <f>Tabela8[[#This Row],[Alongamento (mm/mm)]]/$I$2</f>
        <v>1.46324E-2</v>
      </c>
      <c r="D16" s="1">
        <v>5.1029999999999998</v>
      </c>
      <c r="E16" s="4">
        <f>Tabela8[[#This Row],[Forτa(N)]]/$I$5</f>
        <v>118529.4267942006</v>
      </c>
      <c r="F16" s="4">
        <f>Tabela8[[#This Row],[Tensão (Pa)]]/1000000</f>
        <v>0.1185294267942006</v>
      </c>
    </row>
    <row r="17" spans="1:6" x14ac:dyDescent="0.3">
      <c r="A17" s="1">
        <v>8.9499999999999993</v>
      </c>
      <c r="B17" s="1">
        <v>0.73860000000000003</v>
      </c>
      <c r="C17" s="4">
        <f>Tabela8[[#This Row],[Alongamento (mm/mm)]]/$I$2</f>
        <v>1.4772E-2</v>
      </c>
      <c r="D17" s="1">
        <v>5.1029999999999998</v>
      </c>
      <c r="E17" s="4">
        <f>Tabela8[[#This Row],[Forτa(N)]]/$I$5</f>
        <v>118529.4267942006</v>
      </c>
      <c r="F17" s="4">
        <f>Tabela8[[#This Row],[Tensão (Pa)]]/1000000</f>
        <v>0.1185294267942006</v>
      </c>
    </row>
    <row r="18" spans="1:6" x14ac:dyDescent="0.3">
      <c r="A18" s="1">
        <v>9.0333000000000006</v>
      </c>
      <c r="B18" s="1">
        <v>0.74548999999999999</v>
      </c>
      <c r="C18" s="4">
        <f>Tabela8[[#This Row],[Alongamento (mm/mm)]]/$I$2</f>
        <v>1.4909799999999999E-2</v>
      </c>
      <c r="D18" s="1">
        <v>5.1029999999999998</v>
      </c>
      <c r="E18" s="4">
        <f>Tabela8[[#This Row],[Forτa(N)]]/$I$5</f>
        <v>118529.4267942006</v>
      </c>
      <c r="F18" s="4">
        <f>Tabela8[[#This Row],[Tensão (Pa)]]/1000000</f>
        <v>0.1185294267942006</v>
      </c>
    </row>
    <row r="19" spans="1:6" x14ac:dyDescent="0.3">
      <c r="A19" s="1">
        <v>9.1166999999999998</v>
      </c>
      <c r="B19" s="1">
        <v>0.75246999999999997</v>
      </c>
      <c r="C19" s="4">
        <f>Tabela8[[#This Row],[Alongamento (mm/mm)]]/$I$2</f>
        <v>1.5049399999999999E-2</v>
      </c>
      <c r="D19" s="1">
        <v>5.1029999999999998</v>
      </c>
      <c r="E19" s="4">
        <f>Tabela8[[#This Row],[Forτa(N)]]/$I$5</f>
        <v>118529.4267942006</v>
      </c>
      <c r="F19" s="4">
        <f>Tabela8[[#This Row],[Tensão (Pa)]]/1000000</f>
        <v>0.1185294267942006</v>
      </c>
    </row>
    <row r="20" spans="1:6" x14ac:dyDescent="0.3">
      <c r="A20" s="1">
        <v>9.1999999999999993</v>
      </c>
      <c r="B20" s="1">
        <v>0.75944999999999996</v>
      </c>
      <c r="C20" s="4">
        <f>Tabela8[[#This Row],[Alongamento (mm/mm)]]/$I$2</f>
        <v>1.5188999999999999E-2</v>
      </c>
      <c r="D20" s="1">
        <v>5.1029999999999998</v>
      </c>
      <c r="E20" s="4">
        <f>Tabela8[[#This Row],[Forτa(N)]]/$I$5</f>
        <v>118529.4267942006</v>
      </c>
      <c r="F20" s="4">
        <f>Tabela8[[#This Row],[Tensão (Pa)]]/1000000</f>
        <v>0.1185294267942006</v>
      </c>
    </row>
    <row r="21" spans="1:6" x14ac:dyDescent="0.3">
      <c r="A21" s="1">
        <v>9.2833000000000006</v>
      </c>
      <c r="B21" s="1">
        <v>0.76632999999999996</v>
      </c>
      <c r="C21" s="4">
        <f>Tabela8[[#This Row],[Alongamento (mm/mm)]]/$I$2</f>
        <v>1.5326599999999999E-2</v>
      </c>
      <c r="D21" s="1">
        <v>5.1029999999999998</v>
      </c>
      <c r="E21" s="4">
        <f>Tabela8[[#This Row],[Forτa(N)]]/$I$5</f>
        <v>118529.4267942006</v>
      </c>
      <c r="F21" s="4">
        <f>Tabela8[[#This Row],[Tensão (Pa)]]/1000000</f>
        <v>0.1185294267942006</v>
      </c>
    </row>
    <row r="22" spans="1:6" x14ac:dyDescent="0.3">
      <c r="A22" s="1">
        <v>9.3666999999999998</v>
      </c>
      <c r="B22" s="1">
        <v>0.77331000000000005</v>
      </c>
      <c r="C22" s="4">
        <f>Tabela8[[#This Row],[Alongamento (mm/mm)]]/$I$2</f>
        <v>1.5466200000000001E-2</v>
      </c>
      <c r="D22" s="1">
        <v>5.2731000000000003</v>
      </c>
      <c r="E22" s="4">
        <f>Tabela8[[#This Row],[Forτa(N)]]/$I$5</f>
        <v>122480.40768734063</v>
      </c>
      <c r="F22" s="4">
        <f>Tabela8[[#This Row],[Tensão (Pa)]]/1000000</f>
        <v>0.12248040768734063</v>
      </c>
    </row>
    <row r="23" spans="1:6" x14ac:dyDescent="0.3">
      <c r="A23" s="1">
        <v>9.4499999999999993</v>
      </c>
      <c r="B23" s="1">
        <v>0.7802</v>
      </c>
      <c r="C23" s="4">
        <f>Tabela8[[#This Row],[Alongamento (mm/mm)]]/$I$2</f>
        <v>1.5604E-2</v>
      </c>
      <c r="D23" s="1">
        <v>5.2731000000000003</v>
      </c>
      <c r="E23" s="4">
        <f>Tabela8[[#This Row],[Forτa(N)]]/$I$5</f>
        <v>122480.40768734063</v>
      </c>
      <c r="F23" s="4">
        <f>Tabela8[[#This Row],[Tensão (Pa)]]/1000000</f>
        <v>0.12248040768734063</v>
      </c>
    </row>
    <row r="24" spans="1:6" x14ac:dyDescent="0.3">
      <c r="A24" s="1">
        <v>9.5333000000000006</v>
      </c>
      <c r="B24" s="1">
        <v>0.78717999999999999</v>
      </c>
      <c r="C24" s="4">
        <f>Tabela8[[#This Row],[Alongamento (mm/mm)]]/$I$2</f>
        <v>1.57436E-2</v>
      </c>
      <c r="D24" s="1">
        <v>5.2731000000000003</v>
      </c>
      <c r="E24" s="4">
        <f>Tabela8[[#This Row],[Forτa(N)]]/$I$5</f>
        <v>122480.40768734063</v>
      </c>
      <c r="F24" s="4">
        <f>Tabela8[[#This Row],[Tensão (Pa)]]/1000000</f>
        <v>0.12248040768734063</v>
      </c>
    </row>
    <row r="25" spans="1:6" x14ac:dyDescent="0.3">
      <c r="A25" s="1">
        <v>9.6166999999999998</v>
      </c>
      <c r="B25" s="1">
        <v>0.79415999999999998</v>
      </c>
      <c r="C25" s="4">
        <f>Tabela8[[#This Row],[Alongamento (mm/mm)]]/$I$2</f>
        <v>1.58832E-2</v>
      </c>
      <c r="D25" s="1">
        <v>5.2731000000000003</v>
      </c>
      <c r="E25" s="4">
        <f>Tabela8[[#This Row],[Forτa(N)]]/$I$5</f>
        <v>122480.40768734063</v>
      </c>
      <c r="F25" s="4">
        <f>Tabela8[[#This Row],[Tensão (Pa)]]/1000000</f>
        <v>0.12248040768734063</v>
      </c>
    </row>
    <row r="26" spans="1:6" x14ac:dyDescent="0.3">
      <c r="A26" s="1">
        <v>9.6999999999999993</v>
      </c>
      <c r="B26" s="1">
        <v>0.80103999999999997</v>
      </c>
      <c r="C26" s="4">
        <f>Tabela8[[#This Row],[Alongamento (mm/mm)]]/$I$2</f>
        <v>1.6020799999999998E-2</v>
      </c>
      <c r="D26" s="1">
        <v>5.2731000000000003</v>
      </c>
      <c r="E26" s="4">
        <f>Tabela8[[#This Row],[Forτa(N)]]/$I$5</f>
        <v>122480.40768734063</v>
      </c>
      <c r="F26" s="4">
        <f>Tabela8[[#This Row],[Tensão (Pa)]]/1000000</f>
        <v>0.12248040768734063</v>
      </c>
    </row>
    <row r="27" spans="1:6" x14ac:dyDescent="0.3">
      <c r="A27" s="1">
        <v>9.7833000000000006</v>
      </c>
      <c r="B27" s="1">
        <v>0.80793000000000004</v>
      </c>
      <c r="C27" s="4">
        <f>Tabela8[[#This Row],[Alongamento (mm/mm)]]/$I$2</f>
        <v>1.6158600000000002E-2</v>
      </c>
      <c r="D27" s="1">
        <v>5.2731000000000003</v>
      </c>
      <c r="E27" s="4">
        <f>Tabela8[[#This Row],[Forτa(N)]]/$I$5</f>
        <v>122480.40768734063</v>
      </c>
      <c r="F27" s="4">
        <f>Tabela8[[#This Row],[Tensão (Pa)]]/1000000</f>
        <v>0.12248040768734063</v>
      </c>
    </row>
    <row r="28" spans="1:6" x14ac:dyDescent="0.3">
      <c r="A28" s="1">
        <v>9.8666999999999998</v>
      </c>
      <c r="B28" s="1">
        <v>0.81491000000000002</v>
      </c>
      <c r="C28" s="4">
        <f>Tabela8[[#This Row],[Alongamento (mm/mm)]]/$I$2</f>
        <v>1.6298199999999999E-2</v>
      </c>
      <c r="D28" s="1">
        <v>5.2731000000000003</v>
      </c>
      <c r="E28" s="4">
        <f>Tabela8[[#This Row],[Forτa(N)]]/$I$5</f>
        <v>122480.40768734063</v>
      </c>
      <c r="F28" s="4">
        <f>Tabela8[[#This Row],[Tensão (Pa)]]/1000000</f>
        <v>0.12248040768734063</v>
      </c>
    </row>
    <row r="29" spans="1:6" x14ac:dyDescent="0.3">
      <c r="A29" s="1">
        <v>9.9499999999999993</v>
      </c>
      <c r="B29" s="1">
        <v>0.82189000000000001</v>
      </c>
      <c r="C29" s="4">
        <f>Tabela8[[#This Row],[Alongamento (mm/mm)]]/$I$2</f>
        <v>1.6437799999999999E-2</v>
      </c>
      <c r="D29" s="1">
        <v>5.2731000000000003</v>
      </c>
      <c r="E29" s="4">
        <f>Tabela8[[#This Row],[Forτa(N)]]/$I$5</f>
        <v>122480.40768734063</v>
      </c>
      <c r="F29" s="4">
        <f>Tabela8[[#This Row],[Tensão (Pa)]]/1000000</f>
        <v>0.12248040768734063</v>
      </c>
    </row>
    <row r="30" spans="1:6" x14ac:dyDescent="0.3">
      <c r="A30" s="1">
        <v>10.032999999999999</v>
      </c>
      <c r="B30" s="1">
        <v>0.82877000000000001</v>
      </c>
      <c r="C30" s="4">
        <f>Tabela8[[#This Row],[Alongamento (mm/mm)]]/$I$2</f>
        <v>1.6575400000000001E-2</v>
      </c>
      <c r="D30" s="1">
        <v>5.2731000000000003</v>
      </c>
      <c r="E30" s="4">
        <f>Tabela8[[#This Row],[Forτa(N)]]/$I$5</f>
        <v>122480.40768734063</v>
      </c>
      <c r="F30" s="4">
        <f>Tabela8[[#This Row],[Tensão (Pa)]]/1000000</f>
        <v>0.12248040768734063</v>
      </c>
    </row>
    <row r="31" spans="1:6" x14ac:dyDescent="0.3">
      <c r="A31" s="1">
        <v>10.117000000000001</v>
      </c>
      <c r="B31" s="1">
        <v>0.83584999999999998</v>
      </c>
      <c r="C31" s="4">
        <f>Tabela8[[#This Row],[Alongamento (mm/mm)]]/$I$2</f>
        <v>1.6716999999999999E-2</v>
      </c>
      <c r="D31" s="1">
        <v>5.4432</v>
      </c>
      <c r="E31" s="4">
        <f>Tabela8[[#This Row],[Forτa(N)]]/$I$5</f>
        <v>126431.38858048063</v>
      </c>
      <c r="F31" s="4">
        <f>Tabela8[[#This Row],[Tensão (Pa)]]/1000000</f>
        <v>0.12643138858048064</v>
      </c>
    </row>
    <row r="32" spans="1:6" x14ac:dyDescent="0.3">
      <c r="A32" s="1">
        <v>10.199999999999999</v>
      </c>
      <c r="B32" s="1">
        <v>0.84272999999999998</v>
      </c>
      <c r="C32" s="4">
        <f>Tabela8[[#This Row],[Alongamento (mm/mm)]]/$I$2</f>
        <v>1.6854600000000001E-2</v>
      </c>
      <c r="D32" s="1">
        <v>5.4432</v>
      </c>
      <c r="E32" s="4">
        <f>Tabela8[[#This Row],[Forτa(N)]]/$I$5</f>
        <v>126431.38858048063</v>
      </c>
      <c r="F32" s="4">
        <f>Tabela8[[#This Row],[Tensão (Pa)]]/1000000</f>
        <v>0.12643138858048064</v>
      </c>
    </row>
    <row r="33" spans="1:6" x14ac:dyDescent="0.3">
      <c r="A33" s="1">
        <v>10.282999999999999</v>
      </c>
      <c r="B33" s="1">
        <v>0.84970999999999997</v>
      </c>
      <c r="C33" s="4">
        <f>Tabela8[[#This Row],[Alongamento (mm/mm)]]/$I$2</f>
        <v>1.6994200000000001E-2</v>
      </c>
      <c r="D33" s="1">
        <v>5.4432</v>
      </c>
      <c r="E33" s="4">
        <f>Tabela8[[#This Row],[Forτa(N)]]/$I$5</f>
        <v>126431.38858048063</v>
      </c>
      <c r="F33" s="4">
        <f>Tabela8[[#This Row],[Tensão (Pa)]]/1000000</f>
        <v>0.12643138858048064</v>
      </c>
    </row>
    <row r="34" spans="1:6" x14ac:dyDescent="0.3">
      <c r="A34" s="1">
        <v>10.367000000000001</v>
      </c>
      <c r="B34" s="1">
        <v>0.85668999999999995</v>
      </c>
      <c r="C34" s="4">
        <f>Tabela8[[#This Row],[Alongamento (mm/mm)]]/$I$2</f>
        <v>1.7133799999999998E-2</v>
      </c>
      <c r="D34" s="1">
        <v>5.4432</v>
      </c>
      <c r="E34" s="4">
        <f>Tabela8[[#This Row],[Forτa(N)]]/$I$5</f>
        <v>126431.38858048063</v>
      </c>
      <c r="F34" s="4">
        <f>Tabela8[[#This Row],[Tensão (Pa)]]/1000000</f>
        <v>0.12643138858048064</v>
      </c>
    </row>
    <row r="35" spans="1:6" x14ac:dyDescent="0.3">
      <c r="A35" s="1">
        <v>10.45</v>
      </c>
      <c r="B35" s="1">
        <v>0.86358000000000001</v>
      </c>
      <c r="C35" s="4">
        <f>Tabela8[[#This Row],[Alongamento (mm/mm)]]/$I$2</f>
        <v>1.7271600000000002E-2</v>
      </c>
      <c r="D35" s="1">
        <v>5.4432</v>
      </c>
      <c r="E35" s="4">
        <f>Tabela8[[#This Row],[Forτa(N)]]/$I$5</f>
        <v>126431.38858048063</v>
      </c>
      <c r="F35" s="4">
        <f>Tabela8[[#This Row],[Tensão (Pa)]]/1000000</f>
        <v>0.12643138858048064</v>
      </c>
    </row>
    <row r="36" spans="1:6" x14ac:dyDescent="0.3">
      <c r="A36" s="1">
        <v>10.532999999999999</v>
      </c>
      <c r="B36" s="1">
        <v>0.87046000000000001</v>
      </c>
      <c r="C36" s="4">
        <f>Tabela8[[#This Row],[Alongamento (mm/mm)]]/$I$2</f>
        <v>1.74092E-2</v>
      </c>
      <c r="D36" s="1">
        <v>5.6132999999999997</v>
      </c>
      <c r="E36" s="4">
        <f>Tabela8[[#This Row],[Forτa(N)]]/$I$5</f>
        <v>130382.36947362065</v>
      </c>
      <c r="F36" s="4">
        <f>Tabela8[[#This Row],[Tensão (Pa)]]/1000000</f>
        <v>0.13038236947362064</v>
      </c>
    </row>
    <row r="37" spans="1:6" x14ac:dyDescent="0.3">
      <c r="A37" s="1">
        <v>10.617000000000001</v>
      </c>
      <c r="B37" s="1">
        <v>0.87744</v>
      </c>
      <c r="C37" s="4">
        <f>Tabela8[[#This Row],[Alongamento (mm/mm)]]/$I$2</f>
        <v>1.75488E-2</v>
      </c>
      <c r="D37" s="1">
        <v>6.1235999999999997</v>
      </c>
      <c r="E37" s="4">
        <f>Tabela8[[#This Row],[Forτa(N)]]/$I$5</f>
        <v>142235.31215304072</v>
      </c>
      <c r="F37" s="4">
        <f>Tabela8[[#This Row],[Tensão (Pa)]]/1000000</f>
        <v>0.14223531215304072</v>
      </c>
    </row>
    <row r="38" spans="1:6" x14ac:dyDescent="0.3">
      <c r="A38" s="1">
        <v>10.7</v>
      </c>
      <c r="B38" s="1">
        <v>0.88432999999999995</v>
      </c>
      <c r="C38" s="4">
        <f>Tabela8[[#This Row],[Alongamento (mm/mm)]]/$I$2</f>
        <v>1.76866E-2</v>
      </c>
      <c r="D38" s="1">
        <v>6.6338999999999997</v>
      </c>
      <c r="E38" s="4">
        <f>Tabela8[[#This Row],[Forτa(N)]]/$I$5</f>
        <v>154088.25483246078</v>
      </c>
      <c r="F38" s="4">
        <f>Tabela8[[#This Row],[Tensão (Pa)]]/1000000</f>
        <v>0.15408825483246077</v>
      </c>
    </row>
    <row r="39" spans="1:6" x14ac:dyDescent="0.3">
      <c r="A39" s="1">
        <v>10.782999999999999</v>
      </c>
      <c r="B39" s="1">
        <v>0.89131000000000005</v>
      </c>
      <c r="C39" s="4">
        <f>Tabela8[[#This Row],[Alongamento (mm/mm)]]/$I$2</f>
        <v>1.78262E-2</v>
      </c>
      <c r="D39" s="1">
        <v>6.9741</v>
      </c>
      <c r="E39" s="4">
        <f>Tabela8[[#This Row],[Forτa(N)]]/$I$5</f>
        <v>161990.21661874081</v>
      </c>
      <c r="F39" s="4">
        <f>Tabela8[[#This Row],[Tensão (Pa)]]/1000000</f>
        <v>0.1619902166187408</v>
      </c>
    </row>
    <row r="40" spans="1:6" x14ac:dyDescent="0.3">
      <c r="A40" s="1">
        <v>10.867000000000001</v>
      </c>
      <c r="B40" s="1">
        <v>0.89829000000000003</v>
      </c>
      <c r="C40" s="4">
        <f>Tabela8[[#This Row],[Alongamento (mm/mm)]]/$I$2</f>
        <v>1.7965800000000001E-2</v>
      </c>
      <c r="D40" s="1">
        <v>7.1441999999999997</v>
      </c>
      <c r="E40" s="4">
        <f>Tabela8[[#This Row],[Forτa(N)]]/$I$5</f>
        <v>165941.19751188083</v>
      </c>
      <c r="F40" s="4">
        <f>Tabela8[[#This Row],[Tensão (Pa)]]/1000000</f>
        <v>0.16594119751188083</v>
      </c>
    </row>
    <row r="41" spans="1:6" x14ac:dyDescent="0.3">
      <c r="A41" s="1">
        <v>10.967000000000001</v>
      </c>
      <c r="B41" s="1">
        <v>0.90656999999999999</v>
      </c>
      <c r="C41" s="4">
        <f>Tabela8[[#This Row],[Alongamento (mm/mm)]]/$I$2</f>
        <v>1.8131399999999999E-2</v>
      </c>
      <c r="D41" s="1">
        <v>7.1441999999999997</v>
      </c>
      <c r="E41" s="4">
        <f>Tabela8[[#This Row],[Forτa(N)]]/$I$5</f>
        <v>165941.19751188083</v>
      </c>
      <c r="F41" s="4">
        <f>Tabela8[[#This Row],[Tensão (Pa)]]/1000000</f>
        <v>0.16594119751188083</v>
      </c>
    </row>
    <row r="42" spans="1:6" x14ac:dyDescent="0.3">
      <c r="A42" s="1">
        <v>11.067</v>
      </c>
      <c r="B42" s="1">
        <v>0.91495000000000004</v>
      </c>
      <c r="C42" s="4">
        <f>Tabela8[[#This Row],[Alongamento (mm/mm)]]/$I$2</f>
        <v>1.8298999999999999E-2</v>
      </c>
      <c r="D42" s="1">
        <v>7.3141999999999996</v>
      </c>
      <c r="E42" s="4">
        <f>Tabela8[[#This Row],[Forτa(N)]]/$I$5</f>
        <v>169889.85566493083</v>
      </c>
      <c r="F42" s="4">
        <f>Tabela8[[#This Row],[Tensão (Pa)]]/1000000</f>
        <v>0.16988985566493084</v>
      </c>
    </row>
    <row r="43" spans="1:6" x14ac:dyDescent="0.3">
      <c r="A43" s="1">
        <v>11.167</v>
      </c>
      <c r="B43" s="1">
        <v>0.92332000000000003</v>
      </c>
      <c r="C43" s="4">
        <f>Tabela8[[#This Row],[Alongamento (mm/mm)]]/$I$2</f>
        <v>1.8466400000000001E-2</v>
      </c>
      <c r="D43" s="1">
        <v>7.3141999999999996</v>
      </c>
      <c r="E43" s="4">
        <f>Tabela8[[#This Row],[Forτa(N)]]/$I$5</f>
        <v>169889.85566493083</v>
      </c>
      <c r="F43" s="4">
        <f>Tabela8[[#This Row],[Tensão (Pa)]]/1000000</f>
        <v>0.16988985566493084</v>
      </c>
    </row>
    <row r="44" spans="1:6" x14ac:dyDescent="0.3">
      <c r="A44" s="1">
        <v>11.266999999999999</v>
      </c>
      <c r="B44" s="1">
        <v>0.93159999999999998</v>
      </c>
      <c r="C44" s="4">
        <f>Tabela8[[#This Row],[Alongamento (mm/mm)]]/$I$2</f>
        <v>1.8631999999999999E-2</v>
      </c>
      <c r="D44" s="1">
        <v>7.3141999999999996</v>
      </c>
      <c r="E44" s="4">
        <f>Tabela8[[#This Row],[Forτa(N)]]/$I$5</f>
        <v>169889.85566493083</v>
      </c>
      <c r="F44" s="4">
        <f>Tabela8[[#This Row],[Tensão (Pa)]]/1000000</f>
        <v>0.16988985566493084</v>
      </c>
    </row>
    <row r="45" spans="1:6" x14ac:dyDescent="0.3">
      <c r="A45" s="1">
        <v>11.367000000000001</v>
      </c>
      <c r="B45" s="1">
        <v>0.93998000000000004</v>
      </c>
      <c r="C45" s="4">
        <f>Tabela8[[#This Row],[Alongamento (mm/mm)]]/$I$2</f>
        <v>1.87996E-2</v>
      </c>
      <c r="D45" s="1">
        <v>7.3141999999999996</v>
      </c>
      <c r="E45" s="4">
        <f>Tabela8[[#This Row],[Forτa(N)]]/$I$5</f>
        <v>169889.85566493083</v>
      </c>
      <c r="F45" s="4">
        <f>Tabela8[[#This Row],[Tensão (Pa)]]/1000000</f>
        <v>0.16988985566493084</v>
      </c>
    </row>
    <row r="46" spans="1:6" x14ac:dyDescent="0.3">
      <c r="A46" s="1">
        <v>11.467000000000001</v>
      </c>
      <c r="B46" s="1">
        <v>0.94825999999999999</v>
      </c>
      <c r="C46" s="4">
        <f>Tabela8[[#This Row],[Alongamento (mm/mm)]]/$I$2</f>
        <v>1.8965200000000002E-2</v>
      </c>
      <c r="D46" s="1">
        <v>7.3141999999999996</v>
      </c>
      <c r="E46" s="4">
        <f>Tabela8[[#This Row],[Forτa(N)]]/$I$5</f>
        <v>169889.85566493083</v>
      </c>
      <c r="F46" s="4">
        <f>Tabela8[[#This Row],[Tensão (Pa)]]/1000000</f>
        <v>0.16988985566493084</v>
      </c>
    </row>
    <row r="47" spans="1:6" x14ac:dyDescent="0.3">
      <c r="A47" s="1">
        <v>11.567</v>
      </c>
      <c r="B47" s="1">
        <v>0.95664000000000005</v>
      </c>
      <c r="C47" s="4">
        <f>Tabela8[[#This Row],[Alongamento (mm/mm)]]/$I$2</f>
        <v>1.9132800000000002E-2</v>
      </c>
      <c r="D47" s="1">
        <v>7.3141999999999996</v>
      </c>
      <c r="E47" s="4">
        <f>Tabela8[[#This Row],[Forτa(N)]]/$I$5</f>
        <v>169889.85566493083</v>
      </c>
      <c r="F47" s="4">
        <f>Tabela8[[#This Row],[Tensão (Pa)]]/1000000</f>
        <v>0.16988985566493084</v>
      </c>
    </row>
    <row r="48" spans="1:6" x14ac:dyDescent="0.3">
      <c r="A48" s="1">
        <v>11.667</v>
      </c>
      <c r="B48" s="1">
        <v>0.96501000000000003</v>
      </c>
      <c r="C48" s="4">
        <f>Tabela8[[#This Row],[Alongamento (mm/mm)]]/$I$2</f>
        <v>1.93002E-2</v>
      </c>
      <c r="D48" s="1">
        <v>7.3141999999999996</v>
      </c>
      <c r="E48" s="4">
        <f>Tabela8[[#This Row],[Forτa(N)]]/$I$5</f>
        <v>169889.85566493083</v>
      </c>
      <c r="F48" s="4">
        <f>Tabela8[[#This Row],[Tensão (Pa)]]/1000000</f>
        <v>0.16988985566493084</v>
      </c>
    </row>
    <row r="49" spans="1:6" x14ac:dyDescent="0.3">
      <c r="A49" s="1">
        <v>11.766999999999999</v>
      </c>
      <c r="B49" s="1">
        <v>0.97328999999999999</v>
      </c>
      <c r="C49" s="4">
        <f>Tabela8[[#This Row],[Alongamento (mm/mm)]]/$I$2</f>
        <v>1.9465799999999998E-2</v>
      </c>
      <c r="D49" s="1">
        <v>7.3141999999999996</v>
      </c>
      <c r="E49" s="4">
        <f>Tabela8[[#This Row],[Forτa(N)]]/$I$5</f>
        <v>169889.85566493083</v>
      </c>
      <c r="F49" s="4">
        <f>Tabela8[[#This Row],[Tensão (Pa)]]/1000000</f>
        <v>0.16988985566493084</v>
      </c>
    </row>
    <row r="50" spans="1:6" x14ac:dyDescent="0.3">
      <c r="A50" s="1">
        <v>11.867000000000001</v>
      </c>
      <c r="B50" s="1">
        <v>0.98167000000000004</v>
      </c>
      <c r="C50" s="4">
        <f>Tabela8[[#This Row],[Alongamento (mm/mm)]]/$I$2</f>
        <v>1.9633400000000002E-2</v>
      </c>
      <c r="D50" s="1">
        <v>7.3141999999999996</v>
      </c>
      <c r="E50" s="4">
        <f>Tabela8[[#This Row],[Forτa(N)]]/$I$5</f>
        <v>169889.85566493083</v>
      </c>
      <c r="F50" s="4">
        <f>Tabela8[[#This Row],[Tensão (Pa)]]/1000000</f>
        <v>0.16988985566493084</v>
      </c>
    </row>
    <row r="51" spans="1:6" x14ac:dyDescent="0.3">
      <c r="A51" s="1">
        <v>11.967000000000001</v>
      </c>
      <c r="B51" s="1">
        <v>0.98995</v>
      </c>
      <c r="C51" s="4">
        <f>Tabela8[[#This Row],[Alongamento (mm/mm)]]/$I$2</f>
        <v>1.9799000000000001E-2</v>
      </c>
      <c r="D51" s="1">
        <v>7.3141999999999996</v>
      </c>
      <c r="E51" s="4">
        <f>Tabela8[[#This Row],[Forτa(N)]]/$I$5</f>
        <v>169889.85566493083</v>
      </c>
      <c r="F51" s="4">
        <f>Tabela8[[#This Row],[Tensão (Pa)]]/1000000</f>
        <v>0.16988985566493084</v>
      </c>
    </row>
    <row r="52" spans="1:6" x14ac:dyDescent="0.3">
      <c r="A52" s="1">
        <v>12.067</v>
      </c>
      <c r="B52" s="1">
        <v>0.99822999999999995</v>
      </c>
      <c r="C52" s="4">
        <f>Tabela8[[#This Row],[Alongamento (mm/mm)]]/$I$2</f>
        <v>1.9964599999999999E-2</v>
      </c>
      <c r="D52" s="1">
        <v>7.3141999999999996</v>
      </c>
      <c r="E52" s="4">
        <f>Tabela8[[#This Row],[Forτa(N)]]/$I$5</f>
        <v>169889.85566493083</v>
      </c>
      <c r="F52" s="4">
        <f>Tabela8[[#This Row],[Tensão (Pa)]]/1000000</f>
        <v>0.16988985566493084</v>
      </c>
    </row>
    <row r="53" spans="1:6" x14ac:dyDescent="0.3">
      <c r="A53" s="1">
        <v>12.167</v>
      </c>
      <c r="B53" s="1">
        <v>1.0065999999999999</v>
      </c>
      <c r="C53" s="4">
        <f>Tabela8[[#This Row],[Alongamento (mm/mm)]]/$I$2</f>
        <v>2.0131999999999997E-2</v>
      </c>
      <c r="D53" s="1">
        <v>7.3141999999999996</v>
      </c>
      <c r="E53" s="4">
        <f>Tabela8[[#This Row],[Forτa(N)]]/$I$5</f>
        <v>169889.85566493083</v>
      </c>
      <c r="F53" s="4">
        <f>Tabela8[[#This Row],[Tensão (Pa)]]/1000000</f>
        <v>0.16988985566493084</v>
      </c>
    </row>
    <row r="54" spans="1:6" x14ac:dyDescent="0.3">
      <c r="A54" s="1">
        <v>12.266999999999999</v>
      </c>
      <c r="B54" s="1">
        <v>1.0148999999999999</v>
      </c>
      <c r="C54" s="4">
        <f>Tabela8[[#This Row],[Alongamento (mm/mm)]]/$I$2</f>
        <v>2.0297999999999997E-2</v>
      </c>
      <c r="D54" s="1">
        <v>7.3141999999999996</v>
      </c>
      <c r="E54" s="4">
        <f>Tabela8[[#This Row],[Forτa(N)]]/$I$5</f>
        <v>169889.85566493083</v>
      </c>
      <c r="F54" s="4">
        <f>Tabela8[[#This Row],[Tensão (Pa)]]/1000000</f>
        <v>0.16988985566493084</v>
      </c>
    </row>
    <row r="55" spans="1:6" x14ac:dyDescent="0.3">
      <c r="A55" s="1">
        <v>12.367000000000001</v>
      </c>
      <c r="B55" s="1">
        <v>1.0233000000000001</v>
      </c>
      <c r="C55" s="4">
        <f>Tabela8[[#This Row],[Alongamento (mm/mm)]]/$I$2</f>
        <v>2.0466000000000002E-2</v>
      </c>
      <c r="D55" s="1">
        <v>7.3141999999999996</v>
      </c>
      <c r="E55" s="4">
        <f>Tabela8[[#This Row],[Forτa(N)]]/$I$5</f>
        <v>169889.85566493083</v>
      </c>
      <c r="F55" s="4">
        <f>Tabela8[[#This Row],[Tensão (Pa)]]/1000000</f>
        <v>0.16988985566493084</v>
      </c>
    </row>
    <row r="56" spans="1:6" x14ac:dyDescent="0.3">
      <c r="A56" s="1">
        <v>12.467000000000001</v>
      </c>
      <c r="B56" s="1">
        <v>1.0316000000000001</v>
      </c>
      <c r="C56" s="4">
        <f>Tabela8[[#This Row],[Alongamento (mm/mm)]]/$I$2</f>
        <v>2.0632000000000001E-2</v>
      </c>
      <c r="D56" s="1">
        <v>7.3141999999999996</v>
      </c>
      <c r="E56" s="4">
        <f>Tabela8[[#This Row],[Forτa(N)]]/$I$5</f>
        <v>169889.85566493083</v>
      </c>
      <c r="F56" s="4">
        <f>Tabela8[[#This Row],[Tensão (Pa)]]/1000000</f>
        <v>0.16988985566493084</v>
      </c>
    </row>
    <row r="57" spans="1:6" x14ac:dyDescent="0.3">
      <c r="A57" s="1">
        <v>12.567</v>
      </c>
      <c r="B57" s="1">
        <v>1.0398000000000001</v>
      </c>
      <c r="C57" s="4">
        <f>Tabela8[[#This Row],[Alongamento (mm/mm)]]/$I$2</f>
        <v>2.0796000000000002E-2</v>
      </c>
      <c r="D57" s="1">
        <v>7.4843000000000002</v>
      </c>
      <c r="E57" s="4">
        <f>Tabela8[[#This Row],[Forτa(N)]]/$I$5</f>
        <v>173840.83655807085</v>
      </c>
      <c r="F57" s="4">
        <f>Tabela8[[#This Row],[Tensão (Pa)]]/1000000</f>
        <v>0.17384083655807084</v>
      </c>
    </row>
    <row r="58" spans="1:6" x14ac:dyDescent="0.3">
      <c r="A58" s="1">
        <v>12.667</v>
      </c>
      <c r="B58" s="1">
        <v>1.0483</v>
      </c>
      <c r="C58" s="4">
        <f>Tabela8[[#This Row],[Alongamento (mm/mm)]]/$I$2</f>
        <v>2.0965999999999999E-2</v>
      </c>
      <c r="D58" s="1">
        <v>7.3141999999999996</v>
      </c>
      <c r="E58" s="4">
        <f>Tabela8[[#This Row],[Forτa(N)]]/$I$5</f>
        <v>169889.85566493083</v>
      </c>
      <c r="F58" s="4">
        <f>Tabela8[[#This Row],[Tensão (Pa)]]/1000000</f>
        <v>0.16988985566493084</v>
      </c>
    </row>
    <row r="59" spans="1:6" x14ac:dyDescent="0.3">
      <c r="A59" s="1">
        <v>12.766999999999999</v>
      </c>
      <c r="B59" s="1">
        <v>1.0566</v>
      </c>
      <c r="C59" s="4">
        <f>Tabela8[[#This Row],[Alongamento (mm/mm)]]/$I$2</f>
        <v>2.1131999999999998E-2</v>
      </c>
      <c r="D59" s="1">
        <v>7.4843000000000002</v>
      </c>
      <c r="E59" s="4">
        <f>Tabela8[[#This Row],[Forτa(N)]]/$I$5</f>
        <v>173840.83655807085</v>
      </c>
      <c r="F59" s="4">
        <f>Tabela8[[#This Row],[Tensão (Pa)]]/1000000</f>
        <v>0.17384083655807084</v>
      </c>
    </row>
    <row r="60" spans="1:6" x14ac:dyDescent="0.3">
      <c r="A60" s="1">
        <v>12.867000000000001</v>
      </c>
      <c r="B60" s="1">
        <v>1.0649999999999999</v>
      </c>
      <c r="C60" s="4">
        <f>Tabela8[[#This Row],[Alongamento (mm/mm)]]/$I$2</f>
        <v>2.1299999999999999E-2</v>
      </c>
      <c r="D60" s="1">
        <v>7.4843000000000002</v>
      </c>
      <c r="E60" s="4">
        <f>Tabela8[[#This Row],[Forτa(N)]]/$I$5</f>
        <v>173840.83655807085</v>
      </c>
      <c r="F60" s="4">
        <f>Tabela8[[#This Row],[Tensão (Pa)]]/1000000</f>
        <v>0.17384083655807084</v>
      </c>
    </row>
    <row r="61" spans="1:6" x14ac:dyDescent="0.3">
      <c r="A61" s="1">
        <v>12.967000000000001</v>
      </c>
      <c r="B61" s="1">
        <v>1.0732999999999999</v>
      </c>
      <c r="C61" s="4">
        <f>Tabela8[[#This Row],[Alongamento (mm/mm)]]/$I$2</f>
        <v>2.1465999999999999E-2</v>
      </c>
      <c r="D61" s="1">
        <v>7.4843000000000002</v>
      </c>
      <c r="E61" s="4">
        <f>Tabela8[[#This Row],[Forτa(N)]]/$I$5</f>
        <v>173840.83655807085</v>
      </c>
      <c r="F61" s="4">
        <f>Tabela8[[#This Row],[Tensão (Pa)]]/1000000</f>
        <v>0.17384083655807084</v>
      </c>
    </row>
    <row r="62" spans="1:6" x14ac:dyDescent="0.3">
      <c r="A62" s="1">
        <v>13.083</v>
      </c>
      <c r="B62" s="1">
        <v>1.083</v>
      </c>
      <c r="C62" s="4">
        <f>Tabela8[[#This Row],[Alongamento (mm/mm)]]/$I$2</f>
        <v>2.1659999999999999E-2</v>
      </c>
      <c r="D62" s="1">
        <v>7.4843000000000002</v>
      </c>
      <c r="E62" s="4">
        <f>Tabela8[[#This Row],[Forτa(N)]]/$I$5</f>
        <v>173840.83655807085</v>
      </c>
      <c r="F62" s="4">
        <f>Tabela8[[#This Row],[Tensão (Pa)]]/1000000</f>
        <v>0.17384083655807084</v>
      </c>
    </row>
    <row r="63" spans="1:6" x14ac:dyDescent="0.3">
      <c r="A63" s="1">
        <v>13.2</v>
      </c>
      <c r="B63" s="1">
        <v>1.0927</v>
      </c>
      <c r="C63" s="4">
        <f>Tabela8[[#This Row],[Alongamento (mm/mm)]]/$I$2</f>
        <v>2.1853999999999998E-2</v>
      </c>
      <c r="D63" s="1">
        <v>7.4843000000000002</v>
      </c>
      <c r="E63" s="4">
        <f>Tabela8[[#This Row],[Forτa(N)]]/$I$5</f>
        <v>173840.83655807085</v>
      </c>
      <c r="F63" s="4">
        <f>Tabela8[[#This Row],[Tensão (Pa)]]/1000000</f>
        <v>0.17384083655807084</v>
      </c>
    </row>
    <row r="64" spans="1:6" x14ac:dyDescent="0.3">
      <c r="A64" s="1">
        <v>13.317</v>
      </c>
      <c r="B64" s="1">
        <v>1.1024</v>
      </c>
      <c r="C64" s="4">
        <f>Tabela8[[#This Row],[Alongamento (mm/mm)]]/$I$2</f>
        <v>2.2048000000000002E-2</v>
      </c>
      <c r="D64" s="1">
        <v>7.4843000000000002</v>
      </c>
      <c r="E64" s="4">
        <f>Tabela8[[#This Row],[Forτa(N)]]/$I$5</f>
        <v>173840.83655807085</v>
      </c>
      <c r="F64" s="4">
        <f>Tabela8[[#This Row],[Tensão (Pa)]]/1000000</f>
        <v>0.17384083655807084</v>
      </c>
    </row>
    <row r="65" spans="1:6" x14ac:dyDescent="0.3">
      <c r="A65" s="1">
        <v>13.433</v>
      </c>
      <c r="B65" s="1">
        <v>1.1122000000000001</v>
      </c>
      <c r="C65" s="4">
        <f>Tabela8[[#This Row],[Alongamento (mm/mm)]]/$I$2</f>
        <v>2.2244E-2</v>
      </c>
      <c r="D65" s="1">
        <v>7.4843000000000002</v>
      </c>
      <c r="E65" s="4">
        <f>Tabela8[[#This Row],[Forτa(N)]]/$I$5</f>
        <v>173840.83655807085</v>
      </c>
      <c r="F65" s="4">
        <f>Tabela8[[#This Row],[Tensão (Pa)]]/1000000</f>
        <v>0.17384083655807084</v>
      </c>
    </row>
    <row r="66" spans="1:6" x14ac:dyDescent="0.3">
      <c r="A66" s="1">
        <v>13.55</v>
      </c>
      <c r="B66" s="1">
        <v>1.1218999999999999</v>
      </c>
      <c r="C66" s="4">
        <f>Tabela8[[#This Row],[Alongamento (mm/mm)]]/$I$2</f>
        <v>2.2438E-2</v>
      </c>
      <c r="D66" s="1">
        <v>7.4843000000000002</v>
      </c>
      <c r="E66" s="4">
        <f>Tabela8[[#This Row],[Forτa(N)]]/$I$5</f>
        <v>173840.83655807085</v>
      </c>
      <c r="F66" s="4">
        <f>Tabela8[[#This Row],[Tensão (Pa)]]/1000000</f>
        <v>0.17384083655807084</v>
      </c>
    </row>
    <row r="67" spans="1:6" x14ac:dyDescent="0.3">
      <c r="A67" s="1">
        <v>13.667</v>
      </c>
      <c r="B67" s="1">
        <v>1.1315999999999999</v>
      </c>
      <c r="C67" s="4">
        <f>Tabela8[[#This Row],[Alongamento (mm/mm)]]/$I$2</f>
        <v>2.2631999999999999E-2</v>
      </c>
      <c r="D67" s="1">
        <v>7.4843000000000002</v>
      </c>
      <c r="E67" s="4">
        <f>Tabela8[[#This Row],[Forτa(N)]]/$I$5</f>
        <v>173840.83655807085</v>
      </c>
      <c r="F67" s="4">
        <f>Tabela8[[#This Row],[Tensão (Pa)]]/1000000</f>
        <v>0.17384083655807084</v>
      </c>
    </row>
    <row r="68" spans="1:6" x14ac:dyDescent="0.3">
      <c r="A68" s="1">
        <v>13.782999999999999</v>
      </c>
      <c r="B68" s="1">
        <v>1.1414</v>
      </c>
      <c r="C68" s="4">
        <f>Tabela8[[#This Row],[Alongamento (mm/mm)]]/$I$2</f>
        <v>2.2828000000000001E-2</v>
      </c>
      <c r="D68" s="1">
        <v>7.4843000000000002</v>
      </c>
      <c r="E68" s="4">
        <f>Tabela8[[#This Row],[Forτa(N)]]/$I$5</f>
        <v>173840.83655807085</v>
      </c>
      <c r="F68" s="4">
        <f>Tabela8[[#This Row],[Tensão (Pa)]]/1000000</f>
        <v>0.17384083655807084</v>
      </c>
    </row>
    <row r="69" spans="1:6" x14ac:dyDescent="0.3">
      <c r="A69" s="1">
        <v>13.9</v>
      </c>
      <c r="B69" s="1">
        <v>1.151</v>
      </c>
      <c r="C69" s="4">
        <f>Tabela8[[#This Row],[Alongamento (mm/mm)]]/$I$2</f>
        <v>2.3019999999999999E-2</v>
      </c>
      <c r="D69" s="1">
        <v>7.4843000000000002</v>
      </c>
      <c r="E69" s="4">
        <f>Tabela8[[#This Row],[Forτa(N)]]/$I$5</f>
        <v>173840.83655807085</v>
      </c>
      <c r="F69" s="4">
        <f>Tabela8[[#This Row],[Tensão (Pa)]]/1000000</f>
        <v>0.17384083655807084</v>
      </c>
    </row>
    <row r="70" spans="1:6" x14ac:dyDescent="0.3">
      <c r="A70" s="1">
        <v>14.016999999999999</v>
      </c>
      <c r="B70" s="1">
        <v>1.1608000000000001</v>
      </c>
      <c r="C70" s="4">
        <f>Tabela8[[#This Row],[Alongamento (mm/mm)]]/$I$2</f>
        <v>2.3216000000000001E-2</v>
      </c>
      <c r="D70" s="1">
        <v>7.4843000000000002</v>
      </c>
      <c r="E70" s="4">
        <f>Tabela8[[#This Row],[Forτa(N)]]/$I$5</f>
        <v>173840.83655807085</v>
      </c>
      <c r="F70" s="4">
        <f>Tabela8[[#This Row],[Tensão (Pa)]]/1000000</f>
        <v>0.17384083655807084</v>
      </c>
    </row>
    <row r="71" spans="1:6" x14ac:dyDescent="0.3">
      <c r="A71" s="1">
        <v>14.132999999999999</v>
      </c>
      <c r="B71" s="1">
        <v>1.1705000000000001</v>
      </c>
      <c r="C71" s="4">
        <f>Tabela8[[#This Row],[Alongamento (mm/mm)]]/$I$2</f>
        <v>2.341E-2</v>
      </c>
      <c r="D71" s="1">
        <v>7.6543999999999999</v>
      </c>
      <c r="E71" s="4">
        <f>Tabela8[[#This Row],[Forτa(N)]]/$I$5</f>
        <v>177791.81745121087</v>
      </c>
      <c r="F71" s="4">
        <f>Tabela8[[#This Row],[Tensão (Pa)]]/1000000</f>
        <v>0.17779181745121087</v>
      </c>
    </row>
    <row r="72" spans="1:6" x14ac:dyDescent="0.3">
      <c r="A72" s="1">
        <v>14.25</v>
      </c>
      <c r="B72" s="1">
        <v>1.1801999999999999</v>
      </c>
      <c r="C72" s="4">
        <f>Tabela8[[#This Row],[Alongamento (mm/mm)]]/$I$2</f>
        <v>2.3604E-2</v>
      </c>
      <c r="D72" s="1">
        <v>7.6543999999999999</v>
      </c>
      <c r="E72" s="4">
        <f>Tabela8[[#This Row],[Forτa(N)]]/$I$5</f>
        <v>177791.81745121087</v>
      </c>
      <c r="F72" s="4">
        <f>Tabela8[[#This Row],[Tensão (Pa)]]/1000000</f>
        <v>0.17779181745121087</v>
      </c>
    </row>
    <row r="73" spans="1:6" x14ac:dyDescent="0.3">
      <c r="A73" s="1">
        <v>14.367000000000001</v>
      </c>
      <c r="B73" s="1">
        <v>1.1899</v>
      </c>
      <c r="C73" s="4">
        <f>Tabela8[[#This Row],[Alongamento (mm/mm)]]/$I$2</f>
        <v>2.3798E-2</v>
      </c>
      <c r="D73" s="1">
        <v>7.6543999999999999</v>
      </c>
      <c r="E73" s="4">
        <f>Tabela8[[#This Row],[Forτa(N)]]/$I$5</f>
        <v>177791.81745121087</v>
      </c>
      <c r="F73" s="4">
        <f>Tabela8[[#This Row],[Tensão (Pa)]]/1000000</f>
        <v>0.17779181745121087</v>
      </c>
    </row>
    <row r="74" spans="1:6" x14ac:dyDescent="0.3">
      <c r="A74" s="1">
        <v>14.483000000000001</v>
      </c>
      <c r="B74" s="1">
        <v>1.1996</v>
      </c>
      <c r="C74" s="4">
        <f>Tabela8[[#This Row],[Alongamento (mm/mm)]]/$I$2</f>
        <v>2.3991999999999999E-2</v>
      </c>
      <c r="D74" s="1">
        <v>7.6543999999999999</v>
      </c>
      <c r="E74" s="4">
        <f>Tabela8[[#This Row],[Forτa(N)]]/$I$5</f>
        <v>177791.81745121087</v>
      </c>
      <c r="F74" s="4">
        <f>Tabela8[[#This Row],[Tensão (Pa)]]/1000000</f>
        <v>0.17779181745121087</v>
      </c>
    </row>
    <row r="75" spans="1:6" x14ac:dyDescent="0.3">
      <c r="A75" s="1">
        <v>14.6</v>
      </c>
      <c r="B75" s="1">
        <v>1.2094</v>
      </c>
      <c r="C75" s="4">
        <f>Tabela8[[#This Row],[Alongamento (mm/mm)]]/$I$2</f>
        <v>2.4188000000000001E-2</v>
      </c>
      <c r="D75" s="1">
        <v>7.6543999999999999</v>
      </c>
      <c r="E75" s="4">
        <f>Tabela8[[#This Row],[Forτa(N)]]/$I$5</f>
        <v>177791.81745121087</v>
      </c>
      <c r="F75" s="4">
        <f>Tabela8[[#This Row],[Tensão (Pa)]]/1000000</f>
        <v>0.17779181745121087</v>
      </c>
    </row>
    <row r="76" spans="1:6" x14ac:dyDescent="0.3">
      <c r="A76" s="1">
        <v>14.717000000000001</v>
      </c>
      <c r="B76" s="1">
        <v>1.2192000000000001</v>
      </c>
      <c r="C76" s="4">
        <f>Tabela8[[#This Row],[Alongamento (mm/mm)]]/$I$2</f>
        <v>2.4384000000000003E-2</v>
      </c>
      <c r="D76" s="1">
        <v>7.6543999999999999</v>
      </c>
      <c r="E76" s="4">
        <f>Tabela8[[#This Row],[Forτa(N)]]/$I$5</f>
        <v>177791.81745121087</v>
      </c>
      <c r="F76" s="4">
        <f>Tabela8[[#This Row],[Tensão (Pa)]]/1000000</f>
        <v>0.17779181745121087</v>
      </c>
    </row>
    <row r="77" spans="1:6" x14ac:dyDescent="0.3">
      <c r="A77" s="1">
        <v>14.833</v>
      </c>
      <c r="B77" s="1">
        <v>1.2287999999999999</v>
      </c>
      <c r="C77" s="4">
        <f>Tabela8[[#This Row],[Alongamento (mm/mm)]]/$I$2</f>
        <v>2.4575999999999997E-2</v>
      </c>
      <c r="D77" s="1">
        <v>7.8244999999999996</v>
      </c>
      <c r="E77" s="4">
        <f>Tabela8[[#This Row],[Forτa(N)]]/$I$5</f>
        <v>181742.79834435089</v>
      </c>
      <c r="F77" s="4">
        <f>Tabela8[[#This Row],[Tensão (Pa)]]/1000000</f>
        <v>0.18174279834435089</v>
      </c>
    </row>
    <row r="78" spans="1:6" x14ac:dyDescent="0.3">
      <c r="A78" s="1">
        <v>14.95</v>
      </c>
      <c r="B78" s="1">
        <v>1.2385999999999999</v>
      </c>
      <c r="C78" s="4">
        <f>Tabela8[[#This Row],[Alongamento (mm/mm)]]/$I$2</f>
        <v>2.4771999999999999E-2</v>
      </c>
      <c r="D78" s="1">
        <v>7.8244999999999996</v>
      </c>
      <c r="E78" s="4">
        <f>Tabela8[[#This Row],[Forτa(N)]]/$I$5</f>
        <v>181742.79834435089</v>
      </c>
      <c r="F78" s="4">
        <f>Tabela8[[#This Row],[Tensão (Pa)]]/1000000</f>
        <v>0.18174279834435089</v>
      </c>
    </row>
    <row r="79" spans="1:6" x14ac:dyDescent="0.3">
      <c r="A79" s="1">
        <v>15.067</v>
      </c>
      <c r="B79" s="1">
        <v>1.2483</v>
      </c>
      <c r="C79" s="4">
        <f>Tabela8[[#This Row],[Alongamento (mm/mm)]]/$I$2</f>
        <v>2.4965999999999999E-2</v>
      </c>
      <c r="D79" s="1">
        <v>7.8244999999999996</v>
      </c>
      <c r="E79" s="4">
        <f>Tabela8[[#This Row],[Forτa(N)]]/$I$5</f>
        <v>181742.79834435089</v>
      </c>
      <c r="F79" s="4">
        <f>Tabela8[[#This Row],[Tensão (Pa)]]/1000000</f>
        <v>0.18174279834435089</v>
      </c>
    </row>
    <row r="80" spans="1:6" x14ac:dyDescent="0.3">
      <c r="A80" s="1">
        <v>15.183</v>
      </c>
      <c r="B80" s="1">
        <v>1.2581</v>
      </c>
      <c r="C80" s="4">
        <f>Tabela8[[#This Row],[Alongamento (mm/mm)]]/$I$2</f>
        <v>2.5162E-2</v>
      </c>
      <c r="D80" s="1">
        <v>7.9946000000000002</v>
      </c>
      <c r="E80" s="4">
        <f>Tabela8[[#This Row],[Forτa(N)]]/$I$5</f>
        <v>185693.7792374909</v>
      </c>
      <c r="F80" s="4">
        <f>Tabela8[[#This Row],[Tensão (Pa)]]/1000000</f>
        <v>0.18569377923749089</v>
      </c>
    </row>
    <row r="81" spans="1:6" x14ac:dyDescent="0.3">
      <c r="A81" s="1">
        <v>15.317</v>
      </c>
      <c r="B81" s="1">
        <v>1.2690999999999999</v>
      </c>
      <c r="C81" s="4">
        <f>Tabela8[[#This Row],[Alongamento (mm/mm)]]/$I$2</f>
        <v>2.5381999999999998E-2</v>
      </c>
      <c r="D81" s="1">
        <v>7.9946000000000002</v>
      </c>
      <c r="E81" s="4">
        <f>Tabela8[[#This Row],[Forτa(N)]]/$I$5</f>
        <v>185693.7792374909</v>
      </c>
      <c r="F81" s="4">
        <f>Tabela8[[#This Row],[Tensão (Pa)]]/1000000</f>
        <v>0.18569377923749089</v>
      </c>
    </row>
    <row r="82" spans="1:6" x14ac:dyDescent="0.3">
      <c r="A82" s="1">
        <v>15.45</v>
      </c>
      <c r="B82" s="1">
        <v>1.2802</v>
      </c>
      <c r="C82" s="4">
        <f>Tabela8[[#This Row],[Alongamento (mm/mm)]]/$I$2</f>
        <v>2.5604000000000002E-2</v>
      </c>
      <c r="D82" s="1">
        <v>8.1646999999999998</v>
      </c>
      <c r="E82" s="4">
        <f>Tabela8[[#This Row],[Forτa(N)]]/$I$5</f>
        <v>189644.76013063092</v>
      </c>
      <c r="F82" s="4">
        <f>Tabela8[[#This Row],[Tensão (Pa)]]/1000000</f>
        <v>0.18964476013063092</v>
      </c>
    </row>
    <row r="83" spans="1:6" x14ac:dyDescent="0.3">
      <c r="A83" s="1">
        <v>15.583</v>
      </c>
      <c r="B83" s="1">
        <v>1.2914000000000001</v>
      </c>
      <c r="C83" s="4">
        <f>Tabela8[[#This Row],[Alongamento (mm/mm)]]/$I$2</f>
        <v>2.5828000000000004E-2</v>
      </c>
      <c r="D83" s="1">
        <v>8.3347999999999995</v>
      </c>
      <c r="E83" s="4">
        <f>Tabela8[[#This Row],[Forτa(N)]]/$I$5</f>
        <v>193595.74102377094</v>
      </c>
      <c r="F83" s="4">
        <f>Tabela8[[#This Row],[Tensão (Pa)]]/1000000</f>
        <v>0.19359574102377095</v>
      </c>
    </row>
    <row r="84" spans="1:6" x14ac:dyDescent="0.3">
      <c r="A84" s="1">
        <v>15.717000000000001</v>
      </c>
      <c r="B84" s="1">
        <v>1.3024</v>
      </c>
      <c r="C84" s="4">
        <f>Tabela8[[#This Row],[Alongamento (mm/mm)]]/$I$2</f>
        <v>2.6048000000000002E-2</v>
      </c>
      <c r="D84" s="1">
        <v>8.5048999999999992</v>
      </c>
      <c r="E84" s="4">
        <f>Tabela8[[#This Row],[Forτa(N)]]/$I$5</f>
        <v>197546.72191691096</v>
      </c>
      <c r="F84" s="4">
        <f>Tabela8[[#This Row],[Tensão (Pa)]]/1000000</f>
        <v>0.19754672191691097</v>
      </c>
    </row>
    <row r="85" spans="1:6" x14ac:dyDescent="0.3">
      <c r="A85" s="1">
        <v>15.85</v>
      </c>
      <c r="B85" s="1">
        <v>1.3134999999999999</v>
      </c>
      <c r="C85" s="4">
        <f>Tabela8[[#This Row],[Alongamento (mm/mm)]]/$I$2</f>
        <v>2.6269999999999998E-2</v>
      </c>
      <c r="D85" s="1">
        <v>8.8451000000000004</v>
      </c>
      <c r="E85" s="4">
        <f>Tabela8[[#This Row],[Forτa(N)]]/$I$5</f>
        <v>205448.68370319103</v>
      </c>
      <c r="F85" s="4">
        <f>Tabela8[[#This Row],[Tensão (Pa)]]/1000000</f>
        <v>0.20544868370319103</v>
      </c>
    </row>
    <row r="86" spans="1:6" x14ac:dyDescent="0.3">
      <c r="A86" s="1">
        <v>15.983000000000001</v>
      </c>
      <c r="B86" s="1">
        <v>1.3247</v>
      </c>
      <c r="C86" s="4">
        <f>Tabela8[[#This Row],[Alongamento (mm/mm)]]/$I$2</f>
        <v>2.6494E-2</v>
      </c>
      <c r="D86" s="1">
        <v>9.3553999999999995</v>
      </c>
      <c r="E86" s="4">
        <f>Tabela8[[#This Row],[Forτa(N)]]/$I$5</f>
        <v>217301.62638261105</v>
      </c>
      <c r="F86" s="4">
        <f>Tabela8[[#This Row],[Tensão (Pa)]]/1000000</f>
        <v>0.21730162638261105</v>
      </c>
    </row>
    <row r="87" spans="1:6" x14ac:dyDescent="0.3">
      <c r="A87" s="1">
        <v>16.082999999999998</v>
      </c>
      <c r="B87" s="1">
        <v>1.3331</v>
      </c>
      <c r="C87" s="4">
        <f>Tabela8[[#This Row],[Alongamento (mm/mm)]]/$I$2</f>
        <v>2.6661999999999998E-2</v>
      </c>
      <c r="D87" s="1">
        <v>10.036</v>
      </c>
      <c r="E87" s="4">
        <f>Tabela8[[#This Row],[Forτa(N)]]/$I$5</f>
        <v>233110.1954353512</v>
      </c>
      <c r="F87" s="4">
        <f>Tabela8[[#This Row],[Tensão (Pa)]]/1000000</f>
        <v>0.23311019543535119</v>
      </c>
    </row>
    <row r="88" spans="1:6" x14ac:dyDescent="0.3">
      <c r="A88" s="1">
        <v>16.183</v>
      </c>
      <c r="B88" s="1">
        <v>1.3412999999999999</v>
      </c>
      <c r="C88" s="4">
        <f>Tabela8[[#This Row],[Alongamento (mm/mm)]]/$I$2</f>
        <v>2.6825999999999999E-2</v>
      </c>
      <c r="D88" s="1">
        <v>10.715999999999999</v>
      </c>
      <c r="E88" s="4">
        <f>Tabela8[[#This Row],[Forτa(N)]]/$I$5</f>
        <v>248904.82804755116</v>
      </c>
      <c r="F88" s="4">
        <f>Tabela8[[#This Row],[Tensão (Pa)]]/1000000</f>
        <v>0.24890482804755115</v>
      </c>
    </row>
    <row r="89" spans="1:6" x14ac:dyDescent="0.3">
      <c r="A89" s="1">
        <v>16.3</v>
      </c>
      <c r="B89" s="1">
        <v>1.351</v>
      </c>
      <c r="C89" s="4">
        <f>Tabela8[[#This Row],[Alongamento (mm/mm)]]/$I$2</f>
        <v>2.7019999999999999E-2</v>
      </c>
      <c r="D89" s="1">
        <v>11.397</v>
      </c>
      <c r="E89" s="4">
        <f>Tabela8[[#This Row],[Forτa(N)]]/$I$5</f>
        <v>264722.68806065142</v>
      </c>
      <c r="F89" s="4">
        <f>Tabela8[[#This Row],[Tensão (Pa)]]/1000000</f>
        <v>0.26472268806065141</v>
      </c>
    </row>
    <row r="90" spans="1:6" x14ac:dyDescent="0.3">
      <c r="A90" s="1">
        <v>16.382999999999999</v>
      </c>
      <c r="B90" s="1">
        <v>1.3580000000000001</v>
      </c>
      <c r="C90" s="4">
        <f>Tabela8[[#This Row],[Alongamento (mm/mm)]]/$I$2</f>
        <v>2.7160000000000004E-2</v>
      </c>
      <c r="D90" s="1">
        <v>12.077</v>
      </c>
      <c r="E90" s="4">
        <f>Tabela8[[#This Row],[Forτa(N)]]/$I$5</f>
        <v>280517.32067285141</v>
      </c>
      <c r="F90" s="4">
        <f>Tabela8[[#This Row],[Tensão (Pa)]]/1000000</f>
        <v>0.2805173206728514</v>
      </c>
    </row>
    <row r="91" spans="1:6" x14ac:dyDescent="0.3">
      <c r="A91" s="1">
        <v>16.466999999999999</v>
      </c>
      <c r="B91" s="1">
        <v>1.3649</v>
      </c>
      <c r="C91" s="4">
        <f>Tabela8[[#This Row],[Alongamento (mm/mm)]]/$I$2</f>
        <v>2.7297999999999999E-2</v>
      </c>
      <c r="D91" s="1">
        <v>12.757</v>
      </c>
      <c r="E91" s="4">
        <f>Tabela8[[#This Row],[Forτa(N)]]/$I$5</f>
        <v>296311.95328505134</v>
      </c>
      <c r="F91" s="4">
        <f>Tabela8[[#This Row],[Tensão (Pa)]]/1000000</f>
        <v>0.29631195328505133</v>
      </c>
    </row>
    <row r="92" spans="1:6" x14ac:dyDescent="0.3">
      <c r="A92" s="1">
        <v>16.567</v>
      </c>
      <c r="B92" s="1">
        <v>1.3733</v>
      </c>
      <c r="C92" s="4">
        <f>Tabela8[[#This Row],[Alongamento (mm/mm)]]/$I$2</f>
        <v>2.7466000000000001E-2</v>
      </c>
      <c r="D92" s="1">
        <v>13.438000000000001</v>
      </c>
      <c r="E92" s="4">
        <f>Tabela8[[#This Row],[Forτa(N)]]/$I$5</f>
        <v>312129.8132981516</v>
      </c>
      <c r="F92" s="4">
        <f>Tabela8[[#This Row],[Tensão (Pa)]]/1000000</f>
        <v>0.31212981329815159</v>
      </c>
    </row>
    <row r="93" spans="1:6" x14ac:dyDescent="0.3">
      <c r="A93" s="1">
        <v>16.7</v>
      </c>
      <c r="B93" s="1">
        <v>1.3844000000000001</v>
      </c>
      <c r="C93" s="4">
        <f>Tabela8[[#This Row],[Alongamento (mm/mm)]]/$I$2</f>
        <v>2.7688000000000001E-2</v>
      </c>
      <c r="D93" s="1">
        <v>14.118</v>
      </c>
      <c r="E93" s="4">
        <f>Tabela8[[#This Row],[Forτa(N)]]/$I$5</f>
        <v>327924.44591035158</v>
      </c>
      <c r="F93" s="4">
        <f>Tabela8[[#This Row],[Tensão (Pa)]]/1000000</f>
        <v>0.32792444591035158</v>
      </c>
    </row>
    <row r="94" spans="1:6" x14ac:dyDescent="0.3">
      <c r="A94" s="1">
        <v>16.832999999999998</v>
      </c>
      <c r="B94" s="1">
        <v>1.3955</v>
      </c>
      <c r="C94" s="4">
        <f>Tabela8[[#This Row],[Alongamento (mm/mm)]]/$I$2</f>
        <v>2.7910000000000001E-2</v>
      </c>
      <c r="D94" s="1">
        <v>14.458</v>
      </c>
      <c r="E94" s="4">
        <f>Tabela8[[#This Row],[Forτa(N)]]/$I$5</f>
        <v>335821.76221645152</v>
      </c>
      <c r="F94" s="4">
        <f>Tabela8[[#This Row],[Tensão (Pa)]]/1000000</f>
        <v>0.33582176221645155</v>
      </c>
    </row>
    <row r="95" spans="1:6" x14ac:dyDescent="0.3">
      <c r="A95" s="1">
        <v>16.95</v>
      </c>
      <c r="B95" s="1">
        <v>1.4053</v>
      </c>
      <c r="C95" s="4">
        <f>Tabela8[[#This Row],[Alongamento (mm/mm)]]/$I$2</f>
        <v>2.8105999999999999E-2</v>
      </c>
      <c r="D95" s="1">
        <v>15.138999999999999</v>
      </c>
      <c r="E95" s="4">
        <f>Tabela8[[#This Row],[Forτa(N)]]/$I$5</f>
        <v>351639.62222955178</v>
      </c>
      <c r="F95" s="4">
        <f>Tabela8[[#This Row],[Tensão (Pa)]]/1000000</f>
        <v>0.35163962222955181</v>
      </c>
    </row>
    <row r="96" spans="1:6" x14ac:dyDescent="0.3">
      <c r="A96" s="1">
        <v>17.082999999999998</v>
      </c>
      <c r="B96" s="1">
        <v>1.4162999999999999</v>
      </c>
      <c r="C96" s="4">
        <f>Tabela8[[#This Row],[Alongamento (mm/mm)]]/$I$2</f>
        <v>2.8325999999999997E-2</v>
      </c>
      <c r="D96" s="1">
        <v>15.648999999999999</v>
      </c>
      <c r="E96" s="4">
        <f>Tabela8[[#This Row],[Forτa(N)]]/$I$5</f>
        <v>363485.59668870177</v>
      </c>
      <c r="F96" s="4">
        <f>Tabela8[[#This Row],[Tensão (Pa)]]/1000000</f>
        <v>0.36348559668870178</v>
      </c>
    </row>
    <row r="97" spans="1:6" x14ac:dyDescent="0.3">
      <c r="A97" s="1">
        <v>17.149999999999999</v>
      </c>
      <c r="B97" s="1">
        <v>1.4218</v>
      </c>
      <c r="C97" s="4">
        <f>Tabela8[[#This Row],[Alongamento (mm/mm)]]/$I$2</f>
        <v>2.8435999999999999E-2</v>
      </c>
      <c r="D97" s="1">
        <v>16.329000000000001</v>
      </c>
      <c r="E97" s="4">
        <f>Tabela8[[#This Row],[Forτa(N)]]/$I$5</f>
        <v>379280.22930090176</v>
      </c>
      <c r="F97" s="4">
        <f>Tabela8[[#This Row],[Tensão (Pa)]]/1000000</f>
        <v>0.37928022930090177</v>
      </c>
    </row>
    <row r="98" spans="1:6" x14ac:dyDescent="0.3">
      <c r="A98" s="1">
        <v>17.233000000000001</v>
      </c>
      <c r="B98" s="1">
        <v>1.4288000000000001</v>
      </c>
      <c r="C98" s="4">
        <f>Tabela8[[#This Row],[Alongamento (mm/mm)]]/$I$2</f>
        <v>2.8576000000000001E-2</v>
      </c>
      <c r="D98" s="1">
        <v>17.010000000000002</v>
      </c>
      <c r="E98" s="4">
        <f>Tabela8[[#This Row],[Forτa(N)]]/$I$5</f>
        <v>395098.08931400202</v>
      </c>
      <c r="F98" s="4">
        <f>Tabela8[[#This Row],[Tensão (Pa)]]/1000000</f>
        <v>0.39509808931400203</v>
      </c>
    </row>
    <row r="99" spans="1:6" x14ac:dyDescent="0.3">
      <c r="A99" s="1">
        <v>17.317</v>
      </c>
      <c r="B99" s="1">
        <v>1.4358</v>
      </c>
      <c r="C99" s="4">
        <f>Tabela8[[#This Row],[Alongamento (mm/mm)]]/$I$2</f>
        <v>2.8715999999999998E-2</v>
      </c>
      <c r="D99" s="1">
        <v>17.86</v>
      </c>
      <c r="E99" s="4">
        <f>Tabela8[[#This Row],[Forτa(N)]]/$I$5</f>
        <v>414841.38007925195</v>
      </c>
      <c r="F99" s="4">
        <f>Tabela8[[#This Row],[Tensão (Pa)]]/1000000</f>
        <v>0.41484138007925192</v>
      </c>
    </row>
    <row r="100" spans="1:6" x14ac:dyDescent="0.3">
      <c r="A100" s="1">
        <v>17.399999999999999</v>
      </c>
      <c r="B100" s="1">
        <v>1.4427000000000001</v>
      </c>
      <c r="C100" s="4">
        <f>Tabela8[[#This Row],[Alongamento (mm/mm)]]/$I$2</f>
        <v>2.8854000000000001E-2</v>
      </c>
      <c r="D100" s="1">
        <v>18.541</v>
      </c>
      <c r="E100" s="4">
        <f>Tabela8[[#This Row],[Forτa(N)]]/$I$5</f>
        <v>430659.24009235221</v>
      </c>
      <c r="F100" s="4">
        <f>Tabela8[[#This Row],[Tensão (Pa)]]/1000000</f>
        <v>0.43065924009235218</v>
      </c>
    </row>
    <row r="101" spans="1:6" x14ac:dyDescent="0.3">
      <c r="A101" s="1">
        <v>17.5</v>
      </c>
      <c r="B101" s="1">
        <v>1.4511000000000001</v>
      </c>
      <c r="C101" s="4">
        <f>Tabela8[[#This Row],[Alongamento (mm/mm)]]/$I$2</f>
        <v>2.9022000000000003E-2</v>
      </c>
      <c r="D101" s="1">
        <v>19.390999999999998</v>
      </c>
      <c r="E101" s="4">
        <f>Tabela8[[#This Row],[Forτa(N)]]/$I$5</f>
        <v>450402.53085760213</v>
      </c>
      <c r="F101" s="4">
        <f>Tabela8[[#This Row],[Tensão (Pa)]]/1000000</f>
        <v>0.45040253085760212</v>
      </c>
    </row>
    <row r="102" spans="1:6" x14ac:dyDescent="0.3">
      <c r="A102" s="1">
        <v>17.582999999999998</v>
      </c>
      <c r="B102" s="1">
        <v>1.4579</v>
      </c>
      <c r="C102" s="4">
        <f>Tabela8[[#This Row],[Alongamento (mm/mm)]]/$I$2</f>
        <v>2.9158E-2</v>
      </c>
      <c r="D102" s="1">
        <v>20.071999999999999</v>
      </c>
      <c r="E102" s="4">
        <f>Tabela8[[#This Row],[Forτa(N)]]/$I$5</f>
        <v>466220.39087070239</v>
      </c>
      <c r="F102" s="4">
        <f>Tabela8[[#This Row],[Tensão (Pa)]]/1000000</f>
        <v>0.46622039087070238</v>
      </c>
    </row>
    <row r="103" spans="1:6" x14ac:dyDescent="0.3">
      <c r="A103" s="1">
        <v>17.667000000000002</v>
      </c>
      <c r="B103" s="1">
        <v>1.4649000000000001</v>
      </c>
      <c r="C103" s="4">
        <f>Tabela8[[#This Row],[Alongamento (mm/mm)]]/$I$2</f>
        <v>2.9298000000000001E-2</v>
      </c>
      <c r="D103" s="1">
        <v>20.751999999999999</v>
      </c>
      <c r="E103" s="4">
        <f>Tabela8[[#This Row],[Forτa(N)]]/$I$5</f>
        <v>482015.02348290232</v>
      </c>
      <c r="F103" s="4">
        <f>Tabela8[[#This Row],[Tensão (Pa)]]/1000000</f>
        <v>0.48201502348290232</v>
      </c>
    </row>
    <row r="104" spans="1:6" x14ac:dyDescent="0.3">
      <c r="A104" s="1">
        <v>17.75</v>
      </c>
      <c r="B104" s="1">
        <v>1.4719</v>
      </c>
      <c r="C104" s="4">
        <f>Tabela8[[#This Row],[Alongamento (mm/mm)]]/$I$2</f>
        <v>2.9437999999999999E-2</v>
      </c>
      <c r="D104" s="1">
        <v>21.431999999999999</v>
      </c>
      <c r="E104" s="4">
        <f>Tabela8[[#This Row],[Forτa(N)]]/$I$5</f>
        <v>497809.65609510231</v>
      </c>
      <c r="F104" s="4">
        <f>Tabela8[[#This Row],[Tensão (Pa)]]/1000000</f>
        <v>0.4978096560951023</v>
      </c>
    </row>
    <row r="105" spans="1:6" x14ac:dyDescent="0.3">
      <c r="A105" s="1">
        <v>17.832999999999998</v>
      </c>
      <c r="B105" s="1">
        <v>1.4789000000000001</v>
      </c>
      <c r="C105" s="4">
        <f>Tabela8[[#This Row],[Alongamento (mm/mm)]]/$I$2</f>
        <v>2.9578000000000004E-2</v>
      </c>
      <c r="D105" s="1">
        <v>22.113</v>
      </c>
      <c r="E105" s="4">
        <f>Tabela8[[#This Row],[Forτa(N)]]/$I$5</f>
        <v>513627.51610820257</v>
      </c>
      <c r="F105" s="4">
        <f>Tabela8[[#This Row],[Tensão (Pa)]]/1000000</f>
        <v>0.51362751610820256</v>
      </c>
    </row>
    <row r="106" spans="1:6" x14ac:dyDescent="0.3">
      <c r="A106" s="1">
        <v>17.917000000000002</v>
      </c>
      <c r="B106" s="1">
        <v>1.4859</v>
      </c>
      <c r="C106" s="4">
        <f>Tabela8[[#This Row],[Alongamento (mm/mm)]]/$I$2</f>
        <v>2.9718000000000001E-2</v>
      </c>
      <c r="D106" s="1">
        <v>22.792999999999999</v>
      </c>
      <c r="E106" s="4">
        <f>Tabela8[[#This Row],[Forτa(N)]]/$I$5</f>
        <v>529422.1487204025</v>
      </c>
      <c r="F106" s="4">
        <f>Tabela8[[#This Row],[Tensão (Pa)]]/1000000</f>
        <v>0.5294221487204025</v>
      </c>
    </row>
    <row r="107" spans="1:6" x14ac:dyDescent="0.3">
      <c r="A107" s="1">
        <v>18</v>
      </c>
      <c r="B107" s="1">
        <v>1.4926999999999999</v>
      </c>
      <c r="C107" s="4">
        <f>Tabela8[[#This Row],[Alongamento (mm/mm)]]/$I$2</f>
        <v>2.9853999999999999E-2</v>
      </c>
      <c r="D107" s="1">
        <v>23.474</v>
      </c>
      <c r="E107" s="4">
        <f>Tabela8[[#This Row],[Forτa(N)]]/$I$5</f>
        <v>545240.00873350282</v>
      </c>
      <c r="F107" s="4">
        <f>Tabela8[[#This Row],[Tensão (Pa)]]/1000000</f>
        <v>0.54524000873350287</v>
      </c>
    </row>
    <row r="108" spans="1:6" x14ac:dyDescent="0.3">
      <c r="A108" s="1">
        <v>18.067</v>
      </c>
      <c r="B108" s="1">
        <v>1.4982</v>
      </c>
      <c r="C108" s="4">
        <f>Tabela8[[#This Row],[Alongamento (mm/mm)]]/$I$2</f>
        <v>2.9964000000000001E-2</v>
      </c>
      <c r="D108" s="1">
        <v>24.154</v>
      </c>
      <c r="E108" s="4">
        <f>Tabela8[[#This Row],[Forτa(N)]]/$I$5</f>
        <v>561034.64134570281</v>
      </c>
      <c r="F108" s="4">
        <f>Tabela8[[#This Row],[Tensão (Pa)]]/1000000</f>
        <v>0.5610346413457028</v>
      </c>
    </row>
    <row r="109" spans="1:6" x14ac:dyDescent="0.3">
      <c r="A109" s="1">
        <v>18.149999999999999</v>
      </c>
      <c r="B109" s="1">
        <v>1.5051000000000001</v>
      </c>
      <c r="C109" s="4">
        <f>Tabela8[[#This Row],[Alongamento (mm/mm)]]/$I$2</f>
        <v>3.0102000000000004E-2</v>
      </c>
      <c r="D109" s="1">
        <v>24.834</v>
      </c>
      <c r="E109" s="4">
        <f>Tabela8[[#This Row],[Forτa(N)]]/$I$5</f>
        <v>576829.27395790268</v>
      </c>
      <c r="F109" s="4">
        <f>Tabela8[[#This Row],[Tensão (Pa)]]/1000000</f>
        <v>0.57682927395790273</v>
      </c>
    </row>
    <row r="110" spans="1:6" x14ac:dyDescent="0.3">
      <c r="A110" s="1">
        <v>18.216999999999999</v>
      </c>
      <c r="B110" s="1">
        <v>1.5107999999999999</v>
      </c>
      <c r="C110" s="4">
        <f>Tabela8[[#This Row],[Alongamento (mm/mm)]]/$I$2</f>
        <v>3.0216E-2</v>
      </c>
      <c r="D110" s="1">
        <v>25.515000000000001</v>
      </c>
      <c r="E110" s="4">
        <f>Tabela8[[#This Row],[Forτa(N)]]/$I$5</f>
        <v>592647.133971003</v>
      </c>
      <c r="F110" s="4">
        <f>Tabela8[[#This Row],[Tensão (Pa)]]/1000000</f>
        <v>0.59264713397100299</v>
      </c>
    </row>
    <row r="111" spans="1:6" x14ac:dyDescent="0.3">
      <c r="A111" s="1">
        <v>18.3</v>
      </c>
      <c r="B111" s="1">
        <v>1.5178</v>
      </c>
      <c r="C111" s="4">
        <f>Tabela8[[#This Row],[Alongamento (mm/mm)]]/$I$2</f>
        <v>3.0356000000000001E-2</v>
      </c>
      <c r="D111" s="1">
        <v>26.195</v>
      </c>
      <c r="E111" s="4">
        <f>Tabela8[[#This Row],[Forτa(N)]]/$I$5</f>
        <v>608441.76658320299</v>
      </c>
      <c r="F111" s="4">
        <f>Tabela8[[#This Row],[Tensão (Pa)]]/1000000</f>
        <v>0.60844176658320304</v>
      </c>
    </row>
    <row r="112" spans="1:6" x14ac:dyDescent="0.3">
      <c r="A112" s="1">
        <v>18.367000000000001</v>
      </c>
      <c r="B112" s="1">
        <v>1.5233000000000001</v>
      </c>
      <c r="C112" s="4">
        <f>Tabela8[[#This Row],[Alongamento (mm/mm)]]/$I$2</f>
        <v>3.0466000000000003E-2</v>
      </c>
      <c r="D112" s="1">
        <v>26.876000000000001</v>
      </c>
      <c r="E112" s="4">
        <f>Tabela8[[#This Row],[Forτa(N)]]/$I$5</f>
        <v>624259.62659630319</v>
      </c>
      <c r="F112" s="4">
        <f>Tabela8[[#This Row],[Tensão (Pa)]]/1000000</f>
        <v>0.62425962659630319</v>
      </c>
    </row>
    <row r="113" spans="1:6" x14ac:dyDescent="0.3">
      <c r="A113" s="1">
        <v>18.45</v>
      </c>
      <c r="B113" s="1">
        <v>1.5302</v>
      </c>
      <c r="C113" s="4">
        <f>Tabela8[[#This Row],[Alongamento (mm/mm)]]/$I$2</f>
        <v>3.0603999999999999E-2</v>
      </c>
      <c r="D113" s="1">
        <v>27.556000000000001</v>
      </c>
      <c r="E113" s="4">
        <f>Tabela8[[#This Row],[Forτa(N)]]/$I$5</f>
        <v>640054.25920850318</v>
      </c>
      <c r="F113" s="4">
        <f>Tabela8[[#This Row],[Tensão (Pa)]]/1000000</f>
        <v>0.64005425920850323</v>
      </c>
    </row>
    <row r="114" spans="1:6" x14ac:dyDescent="0.3">
      <c r="A114" s="1">
        <v>18.516999999999999</v>
      </c>
      <c r="B114" s="1">
        <v>1.5357000000000001</v>
      </c>
      <c r="C114" s="4">
        <f>Tabela8[[#This Row],[Alongamento (mm/mm)]]/$I$2</f>
        <v>3.0714000000000002E-2</v>
      </c>
      <c r="D114" s="1">
        <v>28.236000000000001</v>
      </c>
      <c r="E114" s="4">
        <f>Tabela8[[#This Row],[Forτa(N)]]/$I$5</f>
        <v>655848.89182070317</v>
      </c>
      <c r="F114" s="4">
        <f>Tabela8[[#This Row],[Tensão (Pa)]]/1000000</f>
        <v>0.65584889182070316</v>
      </c>
    </row>
    <row r="115" spans="1:6" x14ac:dyDescent="0.3">
      <c r="A115" s="1">
        <v>18.600000000000001</v>
      </c>
      <c r="B115" s="1">
        <v>1.5427</v>
      </c>
      <c r="C115" s="4">
        <f>Tabela8[[#This Row],[Alongamento (mm/mm)]]/$I$2</f>
        <v>3.0853999999999999E-2</v>
      </c>
      <c r="D115" s="1">
        <v>28.917000000000002</v>
      </c>
      <c r="E115" s="4">
        <f>Tabela8[[#This Row],[Forτa(N)]]/$I$5</f>
        <v>671666.75183380337</v>
      </c>
      <c r="F115" s="4">
        <f>Tabela8[[#This Row],[Tensão (Pa)]]/1000000</f>
        <v>0.67166675183380342</v>
      </c>
    </row>
    <row r="116" spans="1:6" x14ac:dyDescent="0.3">
      <c r="A116" s="1">
        <v>18.683</v>
      </c>
      <c r="B116" s="1">
        <v>1.5497000000000001</v>
      </c>
      <c r="C116" s="4">
        <f>Tabela8[[#This Row],[Alongamento (mm/mm)]]/$I$2</f>
        <v>3.0994000000000001E-2</v>
      </c>
      <c r="D116" s="1">
        <v>29.597000000000001</v>
      </c>
      <c r="E116" s="4">
        <f>Tabela8[[#This Row],[Forτa(N)]]/$I$5</f>
        <v>687461.38444600336</v>
      </c>
      <c r="F116" s="4">
        <f>Tabela8[[#This Row],[Tensão (Pa)]]/1000000</f>
        <v>0.68746138444600335</v>
      </c>
    </row>
    <row r="117" spans="1:6" x14ac:dyDescent="0.3">
      <c r="A117" s="1">
        <v>18.766999999999999</v>
      </c>
      <c r="B117" s="1">
        <v>1.5566</v>
      </c>
      <c r="C117" s="4">
        <f>Tabela8[[#This Row],[Alongamento (mm/mm)]]/$I$2</f>
        <v>3.1132E-2</v>
      </c>
      <c r="D117" s="1">
        <v>30.277999999999999</v>
      </c>
      <c r="E117" s="4">
        <f>Tabela8[[#This Row],[Forτa(N)]]/$I$5</f>
        <v>703279.24445910356</v>
      </c>
      <c r="F117" s="4">
        <f>Tabela8[[#This Row],[Tensão (Pa)]]/1000000</f>
        <v>0.70327924445910361</v>
      </c>
    </row>
    <row r="118" spans="1:6" x14ac:dyDescent="0.3">
      <c r="A118" s="1">
        <v>18.850000000000001</v>
      </c>
      <c r="B118" s="1">
        <v>1.5636000000000001</v>
      </c>
      <c r="C118" s="4">
        <f>Tabela8[[#This Row],[Alongamento (mm/mm)]]/$I$2</f>
        <v>3.1272000000000001E-2</v>
      </c>
      <c r="D118" s="1">
        <v>30.957999999999998</v>
      </c>
      <c r="E118" s="4">
        <f>Tabela8[[#This Row],[Forτa(N)]]/$I$5</f>
        <v>719073.87707130355</v>
      </c>
      <c r="F118" s="4">
        <f>Tabela8[[#This Row],[Tensão (Pa)]]/1000000</f>
        <v>0.71907387707130355</v>
      </c>
    </row>
    <row r="119" spans="1:6" x14ac:dyDescent="0.3">
      <c r="A119" s="1">
        <v>18.917000000000002</v>
      </c>
      <c r="B119" s="1">
        <v>1.5690999999999999</v>
      </c>
      <c r="C119" s="4">
        <f>Tabela8[[#This Row],[Alongamento (mm/mm)]]/$I$2</f>
        <v>3.1382E-2</v>
      </c>
      <c r="D119" s="1">
        <v>31.638000000000002</v>
      </c>
      <c r="E119" s="4">
        <f>Tabela8[[#This Row],[Forτa(N)]]/$I$5</f>
        <v>734868.50968350354</v>
      </c>
      <c r="F119" s="4">
        <f>Tabela8[[#This Row],[Tensão (Pa)]]/1000000</f>
        <v>0.73486850968350359</v>
      </c>
    </row>
    <row r="120" spans="1:6" x14ac:dyDescent="0.3">
      <c r="A120" s="1">
        <v>19</v>
      </c>
      <c r="B120" s="1">
        <v>1.5761000000000001</v>
      </c>
      <c r="C120" s="4">
        <f>Tabela8[[#This Row],[Alongamento (mm/mm)]]/$I$2</f>
        <v>3.1522000000000001E-2</v>
      </c>
      <c r="D120" s="1">
        <v>32.319000000000003</v>
      </c>
      <c r="E120" s="4">
        <f>Tabela8[[#This Row],[Forτa(N)]]/$I$5</f>
        <v>750686.36969660386</v>
      </c>
      <c r="F120" s="4">
        <f>Tabela8[[#This Row],[Tensão (Pa)]]/1000000</f>
        <v>0.75068636969660385</v>
      </c>
    </row>
    <row r="121" spans="1:6" x14ac:dyDescent="0.3">
      <c r="A121" s="1">
        <v>19.082999999999998</v>
      </c>
      <c r="B121" s="1">
        <v>1.583</v>
      </c>
      <c r="C121" s="4">
        <f>Tabela8[[#This Row],[Alongamento (mm/mm)]]/$I$2</f>
        <v>3.1660000000000001E-2</v>
      </c>
      <c r="D121" s="1">
        <v>32.999000000000002</v>
      </c>
      <c r="E121" s="4">
        <f>Tabela8[[#This Row],[Forτa(N)]]/$I$5</f>
        <v>766481.00230880384</v>
      </c>
      <c r="F121" s="4">
        <f>Tabela8[[#This Row],[Tensão (Pa)]]/1000000</f>
        <v>0.76648100230880389</v>
      </c>
    </row>
    <row r="122" spans="1:6" x14ac:dyDescent="0.3">
      <c r="A122" s="1">
        <v>19.167000000000002</v>
      </c>
      <c r="B122" s="1">
        <v>1.59</v>
      </c>
      <c r="C122" s="4">
        <f>Tabela8[[#This Row],[Alongamento (mm/mm)]]/$I$2</f>
        <v>3.1800000000000002E-2</v>
      </c>
      <c r="D122" s="1">
        <v>33.68</v>
      </c>
      <c r="E122" s="4">
        <f>Tabela8[[#This Row],[Forτa(N)]]/$I$5</f>
        <v>782298.86232190405</v>
      </c>
      <c r="F122" s="4">
        <f>Tabela8[[#This Row],[Tensão (Pa)]]/1000000</f>
        <v>0.78229886232190404</v>
      </c>
    </row>
    <row r="123" spans="1:6" x14ac:dyDescent="0.3">
      <c r="A123" s="1">
        <v>19.25</v>
      </c>
      <c r="B123" s="1">
        <v>1.5969</v>
      </c>
      <c r="C123" s="4">
        <f>Tabela8[[#This Row],[Alongamento (mm/mm)]]/$I$2</f>
        <v>3.1938000000000001E-2</v>
      </c>
      <c r="D123" s="1">
        <v>34.36</v>
      </c>
      <c r="E123" s="4">
        <f>Tabela8[[#This Row],[Forτa(N)]]/$I$5</f>
        <v>798093.49493410392</v>
      </c>
      <c r="F123" s="4">
        <f>Tabela8[[#This Row],[Tensão (Pa)]]/1000000</f>
        <v>0.79809349493410386</v>
      </c>
    </row>
    <row r="124" spans="1:6" x14ac:dyDescent="0.3">
      <c r="A124" s="1">
        <v>19.332999999999998</v>
      </c>
      <c r="B124" s="1">
        <v>1.6037999999999999</v>
      </c>
      <c r="C124" s="4">
        <f>Tabela8[[#This Row],[Alongamento (mm/mm)]]/$I$2</f>
        <v>3.2076E-2</v>
      </c>
      <c r="D124" s="1">
        <v>35.04</v>
      </c>
      <c r="E124" s="4">
        <f>Tabela8[[#This Row],[Forτa(N)]]/$I$5</f>
        <v>813888.12754630391</v>
      </c>
      <c r="F124" s="4">
        <f>Tabela8[[#This Row],[Tensão (Pa)]]/1000000</f>
        <v>0.81388812754630391</v>
      </c>
    </row>
    <row r="125" spans="1:6" x14ac:dyDescent="0.3">
      <c r="A125" s="1">
        <v>19.417000000000002</v>
      </c>
      <c r="B125" s="1">
        <v>1.6108</v>
      </c>
      <c r="C125" s="4">
        <f>Tabela8[[#This Row],[Alongamento (mm/mm)]]/$I$2</f>
        <v>3.2216000000000002E-2</v>
      </c>
      <c r="D125" s="1">
        <v>35.720999999999997</v>
      </c>
      <c r="E125" s="4">
        <f>Tabela8[[#This Row],[Forτa(N)]]/$I$5</f>
        <v>829705.98755940411</v>
      </c>
      <c r="F125" s="4">
        <f>Tabela8[[#This Row],[Tensão (Pa)]]/1000000</f>
        <v>0.82970598755940406</v>
      </c>
    </row>
    <row r="126" spans="1:6" x14ac:dyDescent="0.3">
      <c r="A126" s="1">
        <v>19.483000000000001</v>
      </c>
      <c r="B126" s="1">
        <v>1.6163000000000001</v>
      </c>
      <c r="C126" s="4">
        <f>Tabela8[[#This Row],[Alongamento (mm/mm)]]/$I$2</f>
        <v>3.2326000000000001E-2</v>
      </c>
      <c r="D126" s="1">
        <v>36.401000000000003</v>
      </c>
      <c r="E126" s="4">
        <f>Tabela8[[#This Row],[Forτa(N)]]/$I$5</f>
        <v>845500.62017160421</v>
      </c>
      <c r="F126" s="4">
        <f>Tabela8[[#This Row],[Tensão (Pa)]]/1000000</f>
        <v>0.84550062017160421</v>
      </c>
    </row>
    <row r="127" spans="1:6" x14ac:dyDescent="0.3">
      <c r="A127" s="1">
        <v>19.567</v>
      </c>
      <c r="B127" s="1">
        <v>1.6233</v>
      </c>
      <c r="C127" s="4">
        <f>Tabela8[[#This Row],[Alongamento (mm/mm)]]/$I$2</f>
        <v>3.2466000000000002E-2</v>
      </c>
      <c r="D127" s="1">
        <v>37.082000000000001</v>
      </c>
      <c r="E127" s="4">
        <f>Tabela8[[#This Row],[Forτa(N)]]/$I$5</f>
        <v>861318.48018470441</v>
      </c>
      <c r="F127" s="4">
        <f>Tabela8[[#This Row],[Tensão (Pa)]]/1000000</f>
        <v>0.86131848018470436</v>
      </c>
    </row>
    <row r="128" spans="1:6" x14ac:dyDescent="0.3">
      <c r="A128" s="1">
        <v>19.632999999999999</v>
      </c>
      <c r="B128" s="1">
        <v>1.6288</v>
      </c>
      <c r="C128" s="4">
        <f>Tabela8[[#This Row],[Alongamento (mm/mm)]]/$I$2</f>
        <v>3.2576000000000001E-2</v>
      </c>
      <c r="D128" s="1">
        <v>37.762</v>
      </c>
      <c r="E128" s="4">
        <f>Tabela8[[#This Row],[Forτa(N)]]/$I$5</f>
        <v>877113.1127969044</v>
      </c>
      <c r="F128" s="4">
        <f>Tabela8[[#This Row],[Tensão (Pa)]]/1000000</f>
        <v>0.8771131127969044</v>
      </c>
    </row>
    <row r="129" spans="1:6" x14ac:dyDescent="0.3">
      <c r="A129" s="1">
        <v>19.716999999999999</v>
      </c>
      <c r="B129" s="1">
        <v>1.6357999999999999</v>
      </c>
      <c r="C129" s="4">
        <f>Tabela8[[#This Row],[Alongamento (mm/mm)]]/$I$2</f>
        <v>3.2715999999999995E-2</v>
      </c>
      <c r="D129" s="1">
        <v>38.442</v>
      </c>
      <c r="E129" s="4">
        <f>Tabela8[[#This Row],[Forτa(N)]]/$I$5</f>
        <v>892907.74540910427</v>
      </c>
      <c r="F129" s="4">
        <f>Tabela8[[#This Row],[Tensão (Pa)]]/1000000</f>
        <v>0.89290774540910423</v>
      </c>
    </row>
    <row r="130" spans="1:6" x14ac:dyDescent="0.3">
      <c r="A130" s="1">
        <v>19.8</v>
      </c>
      <c r="B130" s="1">
        <v>1.6428</v>
      </c>
      <c r="C130" s="4">
        <f>Tabela8[[#This Row],[Alongamento (mm/mm)]]/$I$2</f>
        <v>3.2856000000000003E-2</v>
      </c>
      <c r="D130" s="1">
        <v>39.122999999999998</v>
      </c>
      <c r="E130" s="4">
        <f>Tabela8[[#This Row],[Forτa(N)]]/$I$5</f>
        <v>908725.60542220448</v>
      </c>
      <c r="F130" s="4">
        <f>Tabela8[[#This Row],[Tensão (Pa)]]/1000000</f>
        <v>0.90872560542220449</v>
      </c>
    </row>
    <row r="131" spans="1:6" x14ac:dyDescent="0.3">
      <c r="A131" s="1">
        <v>19.867000000000001</v>
      </c>
      <c r="B131" s="1">
        <v>1.6483000000000001</v>
      </c>
      <c r="C131" s="4">
        <f>Tabela8[[#This Row],[Alongamento (mm/mm)]]/$I$2</f>
        <v>3.2966000000000002E-2</v>
      </c>
      <c r="D131" s="1">
        <v>39.802999999999997</v>
      </c>
      <c r="E131" s="4">
        <f>Tabela8[[#This Row],[Forτa(N)]]/$I$5</f>
        <v>924520.23803440446</v>
      </c>
      <c r="F131" s="4">
        <f>Tabela8[[#This Row],[Tensão (Pa)]]/1000000</f>
        <v>0.92452023803440442</v>
      </c>
    </row>
    <row r="132" spans="1:6" x14ac:dyDescent="0.3">
      <c r="A132" s="1">
        <v>19.95</v>
      </c>
      <c r="B132" s="1">
        <v>1.6552</v>
      </c>
      <c r="C132" s="4">
        <f>Tabela8[[#This Row],[Alongamento (mm/mm)]]/$I$2</f>
        <v>3.3104000000000001E-2</v>
      </c>
      <c r="D132" s="1">
        <v>40.484000000000002</v>
      </c>
      <c r="E132" s="4">
        <f>Tabela8[[#This Row],[Forτa(N)]]/$I$5</f>
        <v>940338.09804750478</v>
      </c>
      <c r="F132" s="4">
        <f>Tabela8[[#This Row],[Tensão (Pa)]]/1000000</f>
        <v>0.94033809804750479</v>
      </c>
    </row>
    <row r="133" spans="1:6" x14ac:dyDescent="0.3">
      <c r="A133" s="1">
        <v>20.016999999999999</v>
      </c>
      <c r="B133" s="1">
        <v>1.6607000000000001</v>
      </c>
      <c r="C133" s="4">
        <f>Tabela8[[#This Row],[Alongamento (mm/mm)]]/$I$2</f>
        <v>3.3214E-2</v>
      </c>
      <c r="D133" s="1">
        <v>41.164000000000001</v>
      </c>
      <c r="E133" s="4">
        <f>Tabela8[[#This Row],[Forτa(N)]]/$I$5</f>
        <v>956132.73065970477</v>
      </c>
      <c r="F133" s="4">
        <f>Tabela8[[#This Row],[Tensão (Pa)]]/1000000</f>
        <v>0.95613273065970472</v>
      </c>
    </row>
    <row r="134" spans="1:6" x14ac:dyDescent="0.3">
      <c r="A134" s="1">
        <v>20.082999999999998</v>
      </c>
      <c r="B134" s="1">
        <v>1.6664000000000001</v>
      </c>
      <c r="C134" s="4">
        <f>Tabela8[[#This Row],[Alongamento (mm/mm)]]/$I$2</f>
        <v>3.3328000000000003E-2</v>
      </c>
      <c r="D134" s="1">
        <v>41.844000000000001</v>
      </c>
      <c r="E134" s="4">
        <f>Tabela8[[#This Row],[Forτa(N)]]/$I$5</f>
        <v>971927.36327190476</v>
      </c>
      <c r="F134" s="4">
        <f>Tabela8[[#This Row],[Tensão (Pa)]]/1000000</f>
        <v>0.97192736327190477</v>
      </c>
    </row>
    <row r="135" spans="1:6" x14ac:dyDescent="0.3">
      <c r="A135" s="1">
        <v>20.149999999999999</v>
      </c>
      <c r="B135" s="1">
        <v>1.6719999999999999</v>
      </c>
      <c r="C135" s="4">
        <f>Tabela8[[#This Row],[Alongamento (mm/mm)]]/$I$2</f>
        <v>3.3439999999999998E-2</v>
      </c>
      <c r="D135" s="1">
        <v>42.524999999999999</v>
      </c>
      <c r="E135" s="4">
        <f>Tabela8[[#This Row],[Forτa(N)]]/$I$5</f>
        <v>987745.22328500496</v>
      </c>
      <c r="F135" s="4">
        <f>Tabela8[[#This Row],[Tensão (Pa)]]/1000000</f>
        <v>0.98774522328500491</v>
      </c>
    </row>
    <row r="136" spans="1:6" x14ac:dyDescent="0.3">
      <c r="A136" s="1">
        <v>20.233000000000001</v>
      </c>
      <c r="B136" s="1">
        <v>1.6789000000000001</v>
      </c>
      <c r="C136" s="4">
        <f>Tabela8[[#This Row],[Alongamento (mm/mm)]]/$I$2</f>
        <v>3.3578000000000004E-2</v>
      </c>
      <c r="D136" s="1">
        <v>43.204999999999998</v>
      </c>
      <c r="E136" s="4">
        <f>Tabela8[[#This Row],[Forτa(N)]]/$I$5</f>
        <v>1003539.8558972048</v>
      </c>
      <c r="F136" s="4">
        <f>Tabela8[[#This Row],[Tensão (Pa)]]/1000000</f>
        <v>1.0035398558972048</v>
      </c>
    </row>
    <row r="137" spans="1:6" x14ac:dyDescent="0.3">
      <c r="A137" s="1">
        <v>20.3</v>
      </c>
      <c r="B137" s="1">
        <v>1.6843999999999999</v>
      </c>
      <c r="C137" s="4">
        <f>Tabela8[[#This Row],[Alongamento (mm/mm)]]/$I$2</f>
        <v>3.3687999999999996E-2</v>
      </c>
      <c r="D137" s="1">
        <v>43.884999999999998</v>
      </c>
      <c r="E137" s="4">
        <f>Tabela8[[#This Row],[Forτa(N)]]/$I$5</f>
        <v>1019334.4885094048</v>
      </c>
      <c r="F137" s="4">
        <f>Tabela8[[#This Row],[Tensão (Pa)]]/1000000</f>
        <v>1.0193344885094049</v>
      </c>
    </row>
    <row r="138" spans="1:6" x14ac:dyDescent="0.3">
      <c r="A138" s="1">
        <v>20.367000000000001</v>
      </c>
      <c r="B138" s="1">
        <v>1.6899</v>
      </c>
      <c r="C138" s="4">
        <f>Tabela8[[#This Row],[Alongamento (mm/mm)]]/$I$2</f>
        <v>3.3798000000000002E-2</v>
      </c>
      <c r="D138" s="1">
        <v>44.566000000000003</v>
      </c>
      <c r="E138" s="4">
        <f>Tabela8[[#This Row],[Forτa(N)]]/$I$5</f>
        <v>1035152.3485225053</v>
      </c>
      <c r="F138" s="4">
        <f>Tabela8[[#This Row],[Tensão (Pa)]]/1000000</f>
        <v>1.0351523485225052</v>
      </c>
    </row>
    <row r="139" spans="1:6" x14ac:dyDescent="0.3">
      <c r="A139" s="1">
        <v>20.433</v>
      </c>
      <c r="B139" s="1">
        <v>1.6955</v>
      </c>
      <c r="C139" s="4">
        <f>Tabela8[[#This Row],[Alongamento (mm/mm)]]/$I$2</f>
        <v>3.3910000000000003E-2</v>
      </c>
      <c r="D139" s="1">
        <v>45.246000000000002</v>
      </c>
      <c r="E139" s="4">
        <f>Tabela8[[#This Row],[Forτa(N)]]/$I$5</f>
        <v>1050946.9811347052</v>
      </c>
      <c r="F139" s="4">
        <f>Tabela8[[#This Row],[Tensão (Pa)]]/1000000</f>
        <v>1.0509469811347052</v>
      </c>
    </row>
    <row r="140" spans="1:6" x14ac:dyDescent="0.3">
      <c r="A140" s="1">
        <v>20.5</v>
      </c>
      <c r="B140" s="1">
        <v>1.7010000000000001</v>
      </c>
      <c r="C140" s="4">
        <f>Tabela8[[#This Row],[Alongamento (mm/mm)]]/$I$2</f>
        <v>3.4020000000000002E-2</v>
      </c>
      <c r="D140" s="1">
        <v>45.927</v>
      </c>
      <c r="E140" s="4">
        <f>Tabela8[[#This Row],[Forτa(N)]]/$I$5</f>
        <v>1066764.8411478053</v>
      </c>
      <c r="F140" s="4">
        <f>Tabela8[[#This Row],[Tensão (Pa)]]/1000000</f>
        <v>1.0667648411478052</v>
      </c>
    </row>
    <row r="141" spans="1:6" x14ac:dyDescent="0.3">
      <c r="A141" s="1">
        <v>20.567</v>
      </c>
      <c r="B141" s="1">
        <v>1.7065999999999999</v>
      </c>
      <c r="C141" s="4">
        <f>Tabela8[[#This Row],[Alongamento (mm/mm)]]/$I$2</f>
        <v>3.4131999999999996E-2</v>
      </c>
      <c r="D141" s="1">
        <v>46.606999999999999</v>
      </c>
      <c r="E141" s="4">
        <f>Tabela8[[#This Row],[Forτa(N)]]/$I$5</f>
        <v>1082559.4737600053</v>
      </c>
      <c r="F141" s="4">
        <f>Tabela8[[#This Row],[Tensão (Pa)]]/1000000</f>
        <v>1.0825594737600053</v>
      </c>
    </row>
    <row r="142" spans="1:6" x14ac:dyDescent="0.3">
      <c r="A142" s="1">
        <v>20.632999999999999</v>
      </c>
      <c r="B142" s="1">
        <v>1.7121999999999999</v>
      </c>
      <c r="C142" s="4">
        <f>Tabela8[[#This Row],[Alongamento (mm/mm)]]/$I$2</f>
        <v>3.4243999999999997E-2</v>
      </c>
      <c r="D142" s="1">
        <v>47.286999999999999</v>
      </c>
      <c r="E142" s="4">
        <f>Tabela8[[#This Row],[Forτa(N)]]/$I$5</f>
        <v>1098354.1063722053</v>
      </c>
      <c r="F142" s="4">
        <f>Tabela8[[#This Row],[Tensão (Pa)]]/1000000</f>
        <v>1.0983541063722053</v>
      </c>
    </row>
    <row r="143" spans="1:6" x14ac:dyDescent="0.3">
      <c r="A143" s="1">
        <v>20.7</v>
      </c>
      <c r="B143" s="1">
        <v>1.7178</v>
      </c>
      <c r="C143" s="4">
        <f>Tabela8[[#This Row],[Alongamento (mm/mm)]]/$I$2</f>
        <v>3.4355999999999998E-2</v>
      </c>
      <c r="D143" s="1">
        <v>47.968000000000004</v>
      </c>
      <c r="E143" s="4">
        <f>Tabela8[[#This Row],[Forτa(N)]]/$I$5</f>
        <v>1114171.9663853056</v>
      </c>
      <c r="F143" s="4">
        <f>Tabela8[[#This Row],[Tensão (Pa)]]/1000000</f>
        <v>1.1141719663853056</v>
      </c>
    </row>
    <row r="144" spans="1:6" x14ac:dyDescent="0.3">
      <c r="A144" s="1">
        <v>20.766999999999999</v>
      </c>
      <c r="B144" s="1">
        <v>1.7232000000000001</v>
      </c>
      <c r="C144" s="4">
        <f>Tabela8[[#This Row],[Alongamento (mm/mm)]]/$I$2</f>
        <v>3.4464000000000002E-2</v>
      </c>
      <c r="D144" s="1">
        <v>48.648000000000003</v>
      </c>
      <c r="E144" s="4">
        <f>Tabela8[[#This Row],[Forτa(N)]]/$I$5</f>
        <v>1129966.5989975056</v>
      </c>
      <c r="F144" s="4">
        <f>Tabela8[[#This Row],[Tensão (Pa)]]/1000000</f>
        <v>1.1299665989975056</v>
      </c>
    </row>
    <row r="145" spans="1:6" x14ac:dyDescent="0.3">
      <c r="A145" s="1">
        <v>20.832999999999998</v>
      </c>
      <c r="B145" s="1">
        <v>1.7287999999999999</v>
      </c>
      <c r="C145" s="4">
        <f>Tabela8[[#This Row],[Alongamento (mm/mm)]]/$I$2</f>
        <v>3.4575999999999996E-2</v>
      </c>
      <c r="D145" s="1">
        <v>49.329000000000001</v>
      </c>
      <c r="E145" s="4">
        <f>Tabela8[[#This Row],[Forτa(N)]]/$I$5</f>
        <v>1145784.4590106057</v>
      </c>
      <c r="F145" s="4">
        <f>Tabela8[[#This Row],[Tensão (Pa)]]/1000000</f>
        <v>1.1457844590106057</v>
      </c>
    </row>
    <row r="146" spans="1:6" x14ac:dyDescent="0.3">
      <c r="A146" s="1">
        <v>20.9</v>
      </c>
      <c r="B146" s="1">
        <v>1.7343999999999999</v>
      </c>
      <c r="C146" s="4">
        <f>Tabela8[[#This Row],[Alongamento (mm/mm)]]/$I$2</f>
        <v>3.4687999999999997E-2</v>
      </c>
      <c r="D146" s="1">
        <v>50.009</v>
      </c>
      <c r="E146" s="4">
        <f>Tabela8[[#This Row],[Forτa(N)]]/$I$5</f>
        <v>1161579.0916228057</v>
      </c>
      <c r="F146" s="4">
        <f>Tabela8[[#This Row],[Tensão (Pa)]]/1000000</f>
        <v>1.1615790916228057</v>
      </c>
    </row>
    <row r="147" spans="1:6" x14ac:dyDescent="0.3">
      <c r="A147" s="1">
        <v>20.966999999999999</v>
      </c>
      <c r="B147" s="1">
        <v>1.74</v>
      </c>
      <c r="C147" s="4">
        <f>Tabela8[[#This Row],[Alongamento (mm/mm)]]/$I$2</f>
        <v>3.4799999999999998E-2</v>
      </c>
      <c r="D147" s="1">
        <v>50.689</v>
      </c>
      <c r="E147" s="4">
        <f>Tabela8[[#This Row],[Forτa(N)]]/$I$5</f>
        <v>1177373.7242350057</v>
      </c>
      <c r="F147" s="4">
        <f>Tabela8[[#This Row],[Tensão (Pa)]]/1000000</f>
        <v>1.1773737242350057</v>
      </c>
    </row>
    <row r="148" spans="1:6" x14ac:dyDescent="0.3">
      <c r="A148" s="1">
        <v>21.033000000000001</v>
      </c>
      <c r="B148" s="1">
        <v>1.7455000000000001</v>
      </c>
      <c r="C148" s="4">
        <f>Tabela8[[#This Row],[Alongamento (mm/mm)]]/$I$2</f>
        <v>3.4910000000000004E-2</v>
      </c>
      <c r="D148" s="1">
        <v>51.37</v>
      </c>
      <c r="E148" s="4">
        <f>Tabela8[[#This Row],[Forτa(N)]]/$I$5</f>
        <v>1193191.584248106</v>
      </c>
      <c r="F148" s="4">
        <f>Tabela8[[#This Row],[Tensão (Pa)]]/1000000</f>
        <v>1.193191584248106</v>
      </c>
    </row>
    <row r="149" spans="1:6" x14ac:dyDescent="0.3">
      <c r="A149" s="1">
        <v>21.1</v>
      </c>
      <c r="B149" s="1">
        <v>1.7511000000000001</v>
      </c>
      <c r="C149" s="4">
        <f>Tabela8[[#This Row],[Alongamento (mm/mm)]]/$I$2</f>
        <v>3.5022000000000005E-2</v>
      </c>
      <c r="D149" s="1">
        <v>52.05</v>
      </c>
      <c r="E149" s="4">
        <f>Tabela8[[#This Row],[Forτa(N)]]/$I$5</f>
        <v>1208986.2168603058</v>
      </c>
      <c r="F149" s="4">
        <f>Tabela8[[#This Row],[Tensão (Pa)]]/1000000</f>
        <v>1.2089862168603058</v>
      </c>
    </row>
    <row r="150" spans="1:6" x14ac:dyDescent="0.3">
      <c r="A150" s="1">
        <v>21.167000000000002</v>
      </c>
      <c r="B150" s="1">
        <v>1.7566999999999999</v>
      </c>
      <c r="C150" s="4">
        <f>Tabela8[[#This Row],[Alongamento (mm/mm)]]/$I$2</f>
        <v>3.5133999999999999E-2</v>
      </c>
      <c r="D150" s="1">
        <v>52.731000000000002</v>
      </c>
      <c r="E150" s="4">
        <f>Tabela8[[#This Row],[Forτa(N)]]/$I$5</f>
        <v>1224804.0768734063</v>
      </c>
      <c r="F150" s="4">
        <f>Tabela8[[#This Row],[Tensão (Pa)]]/1000000</f>
        <v>1.2248040768734063</v>
      </c>
    </row>
    <row r="151" spans="1:6" x14ac:dyDescent="0.3">
      <c r="A151" s="1">
        <v>21.233000000000001</v>
      </c>
      <c r="B151" s="1">
        <v>1.7622</v>
      </c>
      <c r="C151" s="4">
        <f>Tabela8[[#This Row],[Alongamento (mm/mm)]]/$I$2</f>
        <v>3.5243999999999998E-2</v>
      </c>
      <c r="D151" s="1">
        <v>53.411000000000001</v>
      </c>
      <c r="E151" s="4">
        <f>Tabela8[[#This Row],[Forτa(N)]]/$I$5</f>
        <v>1240598.7094856061</v>
      </c>
      <c r="F151" s="4">
        <f>Tabela8[[#This Row],[Tensão (Pa)]]/1000000</f>
        <v>1.2405987094856061</v>
      </c>
    </row>
    <row r="152" spans="1:6" x14ac:dyDescent="0.3">
      <c r="A152" s="1">
        <v>21.3</v>
      </c>
      <c r="B152" s="1">
        <v>1.7677</v>
      </c>
      <c r="C152" s="4">
        <f>Tabela8[[#This Row],[Alongamento (mm/mm)]]/$I$2</f>
        <v>3.5354000000000003E-2</v>
      </c>
      <c r="D152" s="1">
        <v>54.091000000000001</v>
      </c>
      <c r="E152" s="4">
        <f>Tabela8[[#This Row],[Forτa(N)]]/$I$5</f>
        <v>1256393.342097806</v>
      </c>
      <c r="F152" s="4">
        <f>Tabela8[[#This Row],[Tensão (Pa)]]/1000000</f>
        <v>1.256393342097806</v>
      </c>
    </row>
    <row r="153" spans="1:6" x14ac:dyDescent="0.3">
      <c r="A153" s="1">
        <v>21.367000000000001</v>
      </c>
      <c r="B153" s="1">
        <v>1.7733000000000001</v>
      </c>
      <c r="C153" s="4">
        <f>Tabela8[[#This Row],[Alongamento (mm/mm)]]/$I$2</f>
        <v>3.5466000000000004E-2</v>
      </c>
      <c r="D153" s="1">
        <v>54.771999999999998</v>
      </c>
      <c r="E153" s="4">
        <f>Tabela8[[#This Row],[Forτa(N)]]/$I$5</f>
        <v>1272211.2021109064</v>
      </c>
      <c r="F153" s="4">
        <f>Tabela8[[#This Row],[Tensão (Pa)]]/1000000</f>
        <v>1.2722112021109064</v>
      </c>
    </row>
    <row r="154" spans="1:6" x14ac:dyDescent="0.3">
      <c r="A154" s="1">
        <v>21.417000000000002</v>
      </c>
      <c r="B154" s="1">
        <v>1.7775000000000001</v>
      </c>
      <c r="C154" s="4">
        <f>Tabela8[[#This Row],[Alongamento (mm/mm)]]/$I$2</f>
        <v>3.5549999999999998E-2</v>
      </c>
      <c r="D154" s="1">
        <v>55.451999999999998</v>
      </c>
      <c r="E154" s="4">
        <f>Tabela8[[#This Row],[Forτa(N)]]/$I$5</f>
        <v>1288005.8347231064</v>
      </c>
      <c r="F154" s="4">
        <f>Tabela8[[#This Row],[Tensão (Pa)]]/1000000</f>
        <v>1.2880058347231063</v>
      </c>
    </row>
    <row r="155" spans="1:6" x14ac:dyDescent="0.3">
      <c r="A155" s="1">
        <v>21.483000000000001</v>
      </c>
      <c r="B155" s="1">
        <v>1.7829999999999999</v>
      </c>
      <c r="C155" s="4">
        <f>Tabela8[[#This Row],[Alongamento (mm/mm)]]/$I$2</f>
        <v>3.5659999999999997E-2</v>
      </c>
      <c r="D155" s="1">
        <v>56.133000000000003</v>
      </c>
      <c r="E155" s="4">
        <f>Tabela8[[#This Row],[Forτa(N)]]/$I$5</f>
        <v>1303823.6947362067</v>
      </c>
      <c r="F155" s="4">
        <f>Tabela8[[#This Row],[Tensão (Pa)]]/1000000</f>
        <v>1.3038236947362067</v>
      </c>
    </row>
    <row r="156" spans="1:6" x14ac:dyDescent="0.3">
      <c r="A156" s="1">
        <v>21.55</v>
      </c>
      <c r="B156" s="1">
        <v>1.7886</v>
      </c>
      <c r="C156" s="4">
        <f>Tabela8[[#This Row],[Alongamento (mm/mm)]]/$I$2</f>
        <v>3.5771999999999998E-2</v>
      </c>
      <c r="D156" s="1">
        <v>56.813000000000002</v>
      </c>
      <c r="E156" s="4">
        <f>Tabela8[[#This Row],[Forτa(N)]]/$I$5</f>
        <v>1319618.3273484067</v>
      </c>
      <c r="F156" s="4">
        <f>Tabela8[[#This Row],[Tensão (Pa)]]/1000000</f>
        <v>1.3196183273484066</v>
      </c>
    </row>
    <row r="157" spans="1:6" x14ac:dyDescent="0.3">
      <c r="A157" s="1">
        <v>21.617000000000001</v>
      </c>
      <c r="B157" s="1">
        <v>1.7941</v>
      </c>
      <c r="C157" s="4">
        <f>Tabela8[[#This Row],[Alongamento (mm/mm)]]/$I$2</f>
        <v>3.5881999999999997E-2</v>
      </c>
      <c r="D157" s="1">
        <v>57.493000000000002</v>
      </c>
      <c r="E157" s="4">
        <f>Tabela8[[#This Row],[Forτa(N)]]/$I$5</f>
        <v>1335412.9599606066</v>
      </c>
      <c r="F157" s="4">
        <f>Tabela8[[#This Row],[Tensão (Pa)]]/1000000</f>
        <v>1.3354129599606066</v>
      </c>
    </row>
    <row r="158" spans="1:6" x14ac:dyDescent="0.3">
      <c r="A158" s="1">
        <v>21.683</v>
      </c>
      <c r="B158" s="1">
        <v>1.7996000000000001</v>
      </c>
      <c r="C158" s="4">
        <f>Tabela8[[#This Row],[Alongamento (mm/mm)]]/$I$2</f>
        <v>3.5992000000000003E-2</v>
      </c>
      <c r="D158" s="1">
        <v>58.173999999999999</v>
      </c>
      <c r="E158" s="4">
        <f>Tabela8[[#This Row],[Forτa(N)]]/$I$5</f>
        <v>1351230.8199737067</v>
      </c>
      <c r="F158" s="4">
        <f>Tabela8[[#This Row],[Tensão (Pa)]]/1000000</f>
        <v>1.3512308199737066</v>
      </c>
    </row>
    <row r="159" spans="1:6" x14ac:dyDescent="0.3">
      <c r="A159" s="1">
        <v>21.733000000000001</v>
      </c>
      <c r="B159" s="1">
        <v>1.8038000000000001</v>
      </c>
      <c r="C159" s="4">
        <f>Tabela8[[#This Row],[Alongamento (mm/mm)]]/$I$2</f>
        <v>3.6076000000000004E-2</v>
      </c>
      <c r="D159" s="1">
        <v>58.853999999999999</v>
      </c>
      <c r="E159" s="4">
        <f>Tabela8[[#This Row],[Forτa(N)]]/$I$5</f>
        <v>1367025.4525859067</v>
      </c>
      <c r="F159" s="4">
        <f>Tabela8[[#This Row],[Tensão (Pa)]]/1000000</f>
        <v>1.3670254525859067</v>
      </c>
    </row>
    <row r="160" spans="1:6" x14ac:dyDescent="0.3">
      <c r="A160" s="1">
        <v>21.8</v>
      </c>
      <c r="B160" s="1">
        <v>1.8093999999999999</v>
      </c>
      <c r="C160" s="4">
        <f>Tabela8[[#This Row],[Alongamento (mm/mm)]]/$I$2</f>
        <v>3.6187999999999998E-2</v>
      </c>
      <c r="D160" s="1">
        <v>59.534999999999997</v>
      </c>
      <c r="E160" s="4">
        <f>Tabela8[[#This Row],[Forτa(N)]]/$I$5</f>
        <v>1382843.3125990068</v>
      </c>
      <c r="F160" s="4">
        <f>Tabela8[[#This Row],[Tensão (Pa)]]/1000000</f>
        <v>1.3828433125990067</v>
      </c>
    </row>
    <row r="161" spans="1:6" x14ac:dyDescent="0.3">
      <c r="A161" s="1">
        <v>21.867000000000001</v>
      </c>
      <c r="B161" s="1">
        <v>1.8149</v>
      </c>
      <c r="C161" s="4">
        <f>Tabela8[[#This Row],[Alongamento (mm/mm)]]/$I$2</f>
        <v>3.6297999999999997E-2</v>
      </c>
      <c r="D161" s="1">
        <v>60.215000000000003</v>
      </c>
      <c r="E161" s="4">
        <f>Tabela8[[#This Row],[Forτa(N)]]/$I$5</f>
        <v>1398637.945211207</v>
      </c>
      <c r="F161" s="4">
        <f>Tabela8[[#This Row],[Tensão (Pa)]]/1000000</f>
        <v>1.398637945211207</v>
      </c>
    </row>
    <row r="162" spans="1:6" x14ac:dyDescent="0.3">
      <c r="A162" s="1">
        <v>21.933</v>
      </c>
      <c r="B162" s="1">
        <v>1.8205</v>
      </c>
      <c r="C162" s="4">
        <f>Tabela8[[#This Row],[Alongamento (mm/mm)]]/$I$2</f>
        <v>3.6409999999999998E-2</v>
      </c>
      <c r="D162" s="1">
        <v>60.895000000000003</v>
      </c>
      <c r="E162" s="4">
        <f>Tabela8[[#This Row],[Forτa(N)]]/$I$5</f>
        <v>1414432.577823407</v>
      </c>
      <c r="F162" s="4">
        <f>Tabela8[[#This Row],[Tensão (Pa)]]/1000000</f>
        <v>1.414432577823407</v>
      </c>
    </row>
    <row r="163" spans="1:6" x14ac:dyDescent="0.3">
      <c r="A163" s="1">
        <v>21.983000000000001</v>
      </c>
      <c r="B163" s="1">
        <v>1.8247</v>
      </c>
      <c r="C163" s="4">
        <f>Tabela8[[#This Row],[Alongamento (mm/mm)]]/$I$2</f>
        <v>3.6493999999999999E-2</v>
      </c>
      <c r="D163" s="1">
        <v>61.576000000000001</v>
      </c>
      <c r="E163" s="4">
        <f>Tabela8[[#This Row],[Forτa(N)]]/$I$5</f>
        <v>1430250.4378365071</v>
      </c>
      <c r="F163" s="4">
        <f>Tabela8[[#This Row],[Tensão (Pa)]]/1000000</f>
        <v>1.4302504378365071</v>
      </c>
    </row>
    <row r="164" spans="1:6" x14ac:dyDescent="0.3">
      <c r="A164" s="1">
        <v>22.05</v>
      </c>
      <c r="B164" s="1">
        <v>1.8302</v>
      </c>
      <c r="C164" s="4">
        <f>Tabela8[[#This Row],[Alongamento (mm/mm)]]/$I$2</f>
        <v>3.6603999999999998E-2</v>
      </c>
      <c r="D164" s="1">
        <v>62.256</v>
      </c>
      <c r="E164" s="4">
        <f>Tabela8[[#This Row],[Forτa(N)]]/$I$5</f>
        <v>1446045.0704487071</v>
      </c>
      <c r="F164" s="4">
        <f>Tabela8[[#This Row],[Tensão (Pa)]]/1000000</f>
        <v>1.4460450704487071</v>
      </c>
    </row>
    <row r="165" spans="1:6" x14ac:dyDescent="0.3">
      <c r="A165" s="1">
        <v>22.1</v>
      </c>
      <c r="B165" s="1">
        <v>1.8345</v>
      </c>
      <c r="C165" s="4">
        <f>Tabela8[[#This Row],[Alongamento (mm/mm)]]/$I$2</f>
        <v>3.669E-2</v>
      </c>
      <c r="D165" s="1">
        <v>62.936999999999998</v>
      </c>
      <c r="E165" s="4">
        <f>Tabela8[[#This Row],[Forτa(N)]]/$I$5</f>
        <v>1461862.9304618074</v>
      </c>
      <c r="F165" s="4">
        <f>Tabela8[[#This Row],[Tensão (Pa)]]/1000000</f>
        <v>1.4618629304618074</v>
      </c>
    </row>
    <row r="166" spans="1:6" x14ac:dyDescent="0.3">
      <c r="A166" s="1">
        <v>22.167000000000002</v>
      </c>
      <c r="B166" s="1">
        <v>1.8399000000000001</v>
      </c>
      <c r="C166" s="4">
        <f>Tabela8[[#This Row],[Alongamento (mm/mm)]]/$I$2</f>
        <v>3.6798000000000004E-2</v>
      </c>
      <c r="D166" s="1">
        <v>63.616999999999997</v>
      </c>
      <c r="E166" s="4">
        <f>Tabela8[[#This Row],[Forτa(N)]]/$I$5</f>
        <v>1477657.5630740072</v>
      </c>
      <c r="F166" s="4">
        <f>Tabela8[[#This Row],[Tensão (Pa)]]/1000000</f>
        <v>1.4776575630740072</v>
      </c>
    </row>
    <row r="167" spans="1:6" x14ac:dyDescent="0.3">
      <c r="A167" s="1">
        <v>22.233000000000001</v>
      </c>
      <c r="B167" s="1">
        <v>1.8453999999999999</v>
      </c>
      <c r="C167" s="4">
        <f>Tabela8[[#This Row],[Alongamento (mm/mm)]]/$I$2</f>
        <v>3.6907999999999996E-2</v>
      </c>
      <c r="D167" s="1">
        <v>64.466999999999999</v>
      </c>
      <c r="E167" s="4">
        <f>Tabela8[[#This Row],[Forτa(N)]]/$I$5</f>
        <v>1497400.8538392573</v>
      </c>
      <c r="F167" s="4">
        <f>Tabela8[[#This Row],[Tensão (Pa)]]/1000000</f>
        <v>1.4974008538392574</v>
      </c>
    </row>
    <row r="168" spans="1:6" x14ac:dyDescent="0.3">
      <c r="A168" s="1">
        <v>22.3</v>
      </c>
      <c r="B168" s="1">
        <v>1.8511</v>
      </c>
      <c r="C168" s="4">
        <f>Tabela8[[#This Row],[Alongamento (mm/mm)]]/$I$2</f>
        <v>3.7021999999999999E-2</v>
      </c>
      <c r="D168" s="1">
        <v>65.147999999999996</v>
      </c>
      <c r="E168" s="4">
        <f>Tabela8[[#This Row],[Forτa(N)]]/$I$5</f>
        <v>1513218.7138523574</v>
      </c>
      <c r="F168" s="4">
        <f>Tabela8[[#This Row],[Tensão (Pa)]]/1000000</f>
        <v>1.5132187138523574</v>
      </c>
    </row>
    <row r="169" spans="1:6" x14ac:dyDescent="0.3">
      <c r="A169" s="1">
        <v>22.367000000000001</v>
      </c>
      <c r="B169" s="1">
        <v>1.8566</v>
      </c>
      <c r="C169" s="4">
        <f>Tabela8[[#This Row],[Alongamento (mm/mm)]]/$I$2</f>
        <v>3.7131999999999998E-2</v>
      </c>
      <c r="D169" s="1">
        <v>65.828000000000003</v>
      </c>
      <c r="E169" s="4">
        <f>Tabela8[[#This Row],[Forτa(N)]]/$I$5</f>
        <v>1529013.3464645576</v>
      </c>
      <c r="F169" s="4">
        <f>Tabela8[[#This Row],[Tensão (Pa)]]/1000000</f>
        <v>1.5290133464645577</v>
      </c>
    </row>
    <row r="170" spans="1:6" x14ac:dyDescent="0.3">
      <c r="A170" s="1">
        <v>22.417000000000002</v>
      </c>
      <c r="B170" s="1">
        <v>1.8608</v>
      </c>
      <c r="C170" s="4">
        <f>Tabela8[[#This Row],[Alongamento (mm/mm)]]/$I$2</f>
        <v>3.7215999999999999E-2</v>
      </c>
      <c r="D170" s="1">
        <v>66.509</v>
      </c>
      <c r="E170" s="4">
        <f>Tabela8[[#This Row],[Forτa(N)]]/$I$5</f>
        <v>1544831.2064776577</v>
      </c>
      <c r="F170" s="4">
        <f>Tabela8[[#This Row],[Tensão (Pa)]]/1000000</f>
        <v>1.5448312064776577</v>
      </c>
    </row>
    <row r="171" spans="1:6" x14ac:dyDescent="0.3">
      <c r="A171" s="1">
        <v>22.483000000000001</v>
      </c>
      <c r="B171" s="1">
        <v>1.8664000000000001</v>
      </c>
      <c r="C171" s="4">
        <f>Tabela8[[#This Row],[Alongamento (mm/mm)]]/$I$2</f>
        <v>3.7328E-2</v>
      </c>
      <c r="D171" s="1">
        <v>67.188999999999993</v>
      </c>
      <c r="E171" s="4">
        <f>Tabela8[[#This Row],[Forτa(N)]]/$I$5</f>
        <v>1560625.8390898576</v>
      </c>
      <c r="F171" s="4">
        <f>Tabela8[[#This Row],[Tensão (Pa)]]/1000000</f>
        <v>1.5606258390898577</v>
      </c>
    </row>
    <row r="172" spans="1:6" x14ac:dyDescent="0.3">
      <c r="A172" s="1">
        <v>22.55</v>
      </c>
      <c r="B172" s="1">
        <v>1.8718999999999999</v>
      </c>
      <c r="C172" s="4">
        <f>Tabela8[[#This Row],[Alongamento (mm/mm)]]/$I$2</f>
        <v>3.7437999999999999E-2</v>
      </c>
      <c r="D172" s="1">
        <v>67.869</v>
      </c>
      <c r="E172" s="4">
        <f>Tabela8[[#This Row],[Forτa(N)]]/$I$5</f>
        <v>1576420.4717020576</v>
      </c>
      <c r="F172" s="4">
        <f>Tabela8[[#This Row],[Tensão (Pa)]]/1000000</f>
        <v>1.5764204717020576</v>
      </c>
    </row>
    <row r="173" spans="1:6" x14ac:dyDescent="0.3">
      <c r="A173" s="1">
        <v>22.6</v>
      </c>
      <c r="B173" s="1">
        <v>1.8759999999999999</v>
      </c>
      <c r="C173" s="4">
        <f>Tabela8[[#This Row],[Alongamento (mm/mm)]]/$I$2</f>
        <v>3.7519999999999998E-2</v>
      </c>
      <c r="D173" s="1">
        <v>68.55</v>
      </c>
      <c r="E173" s="4">
        <f>Tabela8[[#This Row],[Forτa(N)]]/$I$5</f>
        <v>1592238.331715158</v>
      </c>
      <c r="F173" s="4">
        <f>Tabela8[[#This Row],[Tensão (Pa)]]/1000000</f>
        <v>1.5922383317151581</v>
      </c>
    </row>
    <row r="174" spans="1:6" x14ac:dyDescent="0.3">
      <c r="A174" s="1">
        <v>22.667000000000002</v>
      </c>
      <c r="B174" s="1">
        <v>1.8815999999999999</v>
      </c>
      <c r="C174" s="4">
        <f>Tabela8[[#This Row],[Alongamento (mm/mm)]]/$I$2</f>
        <v>3.7631999999999999E-2</v>
      </c>
      <c r="D174" s="1">
        <v>69.23</v>
      </c>
      <c r="E174" s="4">
        <f>Tabela8[[#This Row],[Forτa(N)]]/$I$5</f>
        <v>1608032.9643273579</v>
      </c>
      <c r="F174" s="4">
        <f>Tabela8[[#This Row],[Tensão (Pa)]]/1000000</f>
        <v>1.6080329643273579</v>
      </c>
    </row>
    <row r="175" spans="1:6" x14ac:dyDescent="0.3">
      <c r="A175" s="1">
        <v>22.716999999999999</v>
      </c>
      <c r="B175" s="1">
        <v>1.8857999999999999</v>
      </c>
      <c r="C175" s="4">
        <f>Tabela8[[#This Row],[Alongamento (mm/mm)]]/$I$2</f>
        <v>3.7716E-2</v>
      </c>
      <c r="D175" s="1">
        <v>69.911000000000001</v>
      </c>
      <c r="E175" s="4">
        <f>Tabela8[[#This Row],[Forτa(N)]]/$I$5</f>
        <v>1623850.8243404583</v>
      </c>
      <c r="F175" s="4">
        <f>Tabela8[[#This Row],[Tensão (Pa)]]/1000000</f>
        <v>1.6238508243404584</v>
      </c>
    </row>
    <row r="176" spans="1:6" x14ac:dyDescent="0.3">
      <c r="A176" s="1">
        <v>22.783000000000001</v>
      </c>
      <c r="B176" s="1">
        <v>1.8914</v>
      </c>
      <c r="C176" s="4">
        <f>Tabela8[[#This Row],[Alongamento (mm/mm)]]/$I$2</f>
        <v>3.7828000000000001E-2</v>
      </c>
      <c r="D176" s="1">
        <v>70.590999999999994</v>
      </c>
      <c r="E176" s="4">
        <f>Tabela8[[#This Row],[Forτa(N)]]/$I$5</f>
        <v>1639645.456952658</v>
      </c>
      <c r="F176" s="4">
        <f>Tabela8[[#This Row],[Tensão (Pa)]]/1000000</f>
        <v>1.639645456952658</v>
      </c>
    </row>
    <row r="177" spans="1:6" x14ac:dyDescent="0.3">
      <c r="A177" s="1">
        <v>22.85</v>
      </c>
      <c r="B177" s="1">
        <v>1.8969</v>
      </c>
      <c r="C177" s="4">
        <f>Tabela8[[#This Row],[Alongamento (mm/mm)]]/$I$2</f>
        <v>3.7938E-2</v>
      </c>
      <c r="D177" s="1">
        <v>71.441000000000003</v>
      </c>
      <c r="E177" s="4">
        <f>Tabela8[[#This Row],[Forτa(N)]]/$I$5</f>
        <v>1659388.7477179081</v>
      </c>
      <c r="F177" s="4">
        <f>Tabela8[[#This Row],[Tensão (Pa)]]/1000000</f>
        <v>1.6593887477179081</v>
      </c>
    </row>
    <row r="178" spans="1:6" x14ac:dyDescent="0.3">
      <c r="A178" s="1">
        <v>22.917000000000002</v>
      </c>
      <c r="B178" s="1">
        <v>1.9025000000000001</v>
      </c>
      <c r="C178" s="4">
        <f>Tabela8[[#This Row],[Alongamento (mm/mm)]]/$I$2</f>
        <v>3.805E-2</v>
      </c>
      <c r="D178" s="1">
        <v>72.122</v>
      </c>
      <c r="E178" s="4">
        <f>Tabela8[[#This Row],[Forτa(N)]]/$I$5</f>
        <v>1675206.6077310082</v>
      </c>
      <c r="F178" s="4">
        <f>Tabela8[[#This Row],[Tensão (Pa)]]/1000000</f>
        <v>1.6752066077310082</v>
      </c>
    </row>
    <row r="179" spans="1:6" x14ac:dyDescent="0.3">
      <c r="A179" s="1">
        <v>22.966999999999999</v>
      </c>
      <c r="B179" s="1">
        <v>1.9067000000000001</v>
      </c>
      <c r="C179" s="4">
        <f>Tabela8[[#This Row],[Alongamento (mm/mm)]]/$I$2</f>
        <v>3.8134000000000001E-2</v>
      </c>
      <c r="D179" s="1">
        <v>72.802000000000007</v>
      </c>
      <c r="E179" s="4">
        <f>Tabela8[[#This Row],[Forτa(N)]]/$I$5</f>
        <v>1691001.2403432084</v>
      </c>
      <c r="F179" s="4">
        <f>Tabela8[[#This Row],[Tensão (Pa)]]/1000000</f>
        <v>1.6910012403432084</v>
      </c>
    </row>
    <row r="180" spans="1:6" x14ac:dyDescent="0.3">
      <c r="A180" s="1">
        <v>23.033000000000001</v>
      </c>
      <c r="B180" s="1">
        <v>1.9121999999999999</v>
      </c>
      <c r="C180" s="4">
        <f>Tabela8[[#This Row],[Alongamento (mm/mm)]]/$I$2</f>
        <v>3.8244E-2</v>
      </c>
      <c r="D180" s="1">
        <v>73.653000000000006</v>
      </c>
      <c r="E180" s="4">
        <f>Tabela8[[#This Row],[Forτa(N)]]/$I$5</f>
        <v>1710767.7585093586</v>
      </c>
      <c r="F180" s="4">
        <f>Tabela8[[#This Row],[Tensão (Pa)]]/1000000</f>
        <v>1.7107677585093586</v>
      </c>
    </row>
    <row r="181" spans="1:6" x14ac:dyDescent="0.3">
      <c r="A181" s="1">
        <v>23.1</v>
      </c>
      <c r="B181" s="1">
        <v>1.9177</v>
      </c>
      <c r="C181" s="4">
        <f>Tabela8[[#This Row],[Alongamento (mm/mm)]]/$I$2</f>
        <v>3.8353999999999999E-2</v>
      </c>
      <c r="D181" s="1">
        <v>74.332999999999998</v>
      </c>
      <c r="E181" s="4">
        <f>Tabela8[[#This Row],[Forτa(N)]]/$I$5</f>
        <v>1726562.3911215584</v>
      </c>
      <c r="F181" s="4">
        <f>Tabela8[[#This Row],[Tensão (Pa)]]/1000000</f>
        <v>1.7265623911215584</v>
      </c>
    </row>
    <row r="182" spans="1:6" x14ac:dyDescent="0.3">
      <c r="A182" s="1">
        <v>23.15</v>
      </c>
      <c r="B182" s="1">
        <v>1.9218999999999999</v>
      </c>
      <c r="C182" s="4">
        <f>Tabela8[[#This Row],[Alongamento (mm/mm)]]/$I$2</f>
        <v>3.8438E-2</v>
      </c>
      <c r="D182" s="1">
        <v>75.013999999999996</v>
      </c>
      <c r="E182" s="4">
        <f>Tabela8[[#This Row],[Forτa(N)]]/$I$5</f>
        <v>1742380.2511346587</v>
      </c>
      <c r="F182" s="4">
        <f>Tabela8[[#This Row],[Tensão (Pa)]]/1000000</f>
        <v>1.7423802511346587</v>
      </c>
    </row>
    <row r="183" spans="1:6" x14ac:dyDescent="0.3">
      <c r="A183" s="1">
        <v>23.216999999999999</v>
      </c>
      <c r="B183" s="1">
        <v>1.9275</v>
      </c>
      <c r="C183" s="4">
        <f>Tabela8[[#This Row],[Alongamento (mm/mm)]]/$I$2</f>
        <v>3.8550000000000001E-2</v>
      </c>
      <c r="D183" s="1">
        <v>75.864000000000004</v>
      </c>
      <c r="E183" s="4">
        <f>Tabela8[[#This Row],[Forτa(N)]]/$I$5</f>
        <v>1762123.5418999088</v>
      </c>
      <c r="F183" s="4">
        <f>Tabela8[[#This Row],[Tensão (Pa)]]/1000000</f>
        <v>1.7621235418999088</v>
      </c>
    </row>
    <row r="184" spans="1:6" x14ac:dyDescent="0.3">
      <c r="A184" s="1">
        <v>23.283000000000001</v>
      </c>
      <c r="B184" s="1">
        <v>1.9330000000000001</v>
      </c>
      <c r="C184" s="4">
        <f>Tabela8[[#This Row],[Alongamento (mm/mm)]]/$I$2</f>
        <v>3.866E-2</v>
      </c>
      <c r="D184" s="1">
        <v>76.715000000000003</v>
      </c>
      <c r="E184" s="4">
        <f>Tabela8[[#This Row],[Forτa(N)]]/$I$5</f>
        <v>1781890.060066059</v>
      </c>
      <c r="F184" s="4">
        <f>Tabela8[[#This Row],[Tensão (Pa)]]/1000000</f>
        <v>1.781890060066059</v>
      </c>
    </row>
    <row r="185" spans="1:6" x14ac:dyDescent="0.3">
      <c r="A185" s="1">
        <v>23.35</v>
      </c>
      <c r="B185" s="1">
        <v>1.9384999999999999</v>
      </c>
      <c r="C185" s="4">
        <f>Tabela8[[#This Row],[Alongamento (mm/mm)]]/$I$2</f>
        <v>3.8769999999999999E-2</v>
      </c>
      <c r="D185" s="1">
        <v>77.394999999999996</v>
      </c>
      <c r="E185" s="4">
        <f>Tabela8[[#This Row],[Forτa(N)]]/$I$5</f>
        <v>1797684.6926782588</v>
      </c>
      <c r="F185" s="4">
        <f>Tabela8[[#This Row],[Tensão (Pa)]]/1000000</f>
        <v>1.7976846926782588</v>
      </c>
    </row>
    <row r="186" spans="1:6" x14ac:dyDescent="0.3">
      <c r="A186" s="1">
        <v>23.4</v>
      </c>
      <c r="B186" s="1">
        <v>1.9428000000000001</v>
      </c>
      <c r="C186" s="4">
        <f>Tabela8[[#This Row],[Alongamento (mm/mm)]]/$I$2</f>
        <v>3.8856000000000002E-2</v>
      </c>
      <c r="D186" s="1">
        <v>78.075000000000003</v>
      </c>
      <c r="E186" s="4">
        <f>Tabela8[[#This Row],[Forτa(N)]]/$I$5</f>
        <v>1813479.325290459</v>
      </c>
      <c r="F186" s="4">
        <f>Tabela8[[#This Row],[Tensão (Pa)]]/1000000</f>
        <v>1.8134793252904591</v>
      </c>
    </row>
    <row r="187" spans="1:6" x14ac:dyDescent="0.3">
      <c r="A187" s="1">
        <v>23.45</v>
      </c>
      <c r="B187" s="1">
        <v>1.9470000000000001</v>
      </c>
      <c r="C187" s="4">
        <f>Tabela8[[#This Row],[Alongamento (mm/mm)]]/$I$2</f>
        <v>3.8940000000000002E-2</v>
      </c>
      <c r="D187" s="1">
        <v>78.756</v>
      </c>
      <c r="E187" s="4">
        <f>Tabela8[[#This Row],[Forτa(N)]]/$I$5</f>
        <v>1829297.1853035591</v>
      </c>
      <c r="F187" s="4">
        <f>Tabela8[[#This Row],[Tensão (Pa)]]/1000000</f>
        <v>1.8292971853035591</v>
      </c>
    </row>
    <row r="188" spans="1:6" x14ac:dyDescent="0.3">
      <c r="A188" s="1">
        <v>23.5</v>
      </c>
      <c r="B188" s="1">
        <v>1.9511000000000001</v>
      </c>
      <c r="C188" s="4">
        <f>Tabela8[[#This Row],[Alongamento (mm/mm)]]/$I$2</f>
        <v>3.9022000000000001E-2</v>
      </c>
      <c r="D188" s="1">
        <v>79.436000000000007</v>
      </c>
      <c r="E188" s="4">
        <f>Tabela8[[#This Row],[Forτa(N)]]/$I$5</f>
        <v>1845091.8179157593</v>
      </c>
      <c r="F188" s="4">
        <f>Tabela8[[#This Row],[Tensão (Pa)]]/1000000</f>
        <v>1.8450918179157594</v>
      </c>
    </row>
    <row r="189" spans="1:6" x14ac:dyDescent="0.3">
      <c r="A189" s="1">
        <v>23.55</v>
      </c>
      <c r="B189" s="1">
        <v>1.9551000000000001</v>
      </c>
      <c r="C189" s="4">
        <f>Tabela8[[#This Row],[Alongamento (mm/mm)]]/$I$2</f>
        <v>3.9101999999999998E-2</v>
      </c>
      <c r="D189" s="1">
        <v>80.117000000000004</v>
      </c>
      <c r="E189" s="4">
        <f>Tabela8[[#This Row],[Forτa(N)]]/$I$5</f>
        <v>1860909.6779288594</v>
      </c>
      <c r="F189" s="4">
        <f>Tabela8[[#This Row],[Tensão (Pa)]]/1000000</f>
        <v>1.8609096779288594</v>
      </c>
    </row>
    <row r="190" spans="1:6" x14ac:dyDescent="0.3">
      <c r="A190" s="1">
        <v>23.6</v>
      </c>
      <c r="B190" s="1">
        <v>1.9594</v>
      </c>
      <c r="C190" s="4">
        <f>Tabela8[[#This Row],[Alongamento (mm/mm)]]/$I$2</f>
        <v>3.9188000000000001E-2</v>
      </c>
      <c r="D190" s="1">
        <v>80.796999999999997</v>
      </c>
      <c r="E190" s="4">
        <f>Tabela8[[#This Row],[Forτa(N)]]/$I$5</f>
        <v>1876704.3105410591</v>
      </c>
      <c r="F190" s="4">
        <f>Tabela8[[#This Row],[Tensão (Pa)]]/1000000</f>
        <v>1.876704310541059</v>
      </c>
    </row>
    <row r="191" spans="1:6" x14ac:dyDescent="0.3">
      <c r="A191" s="1">
        <v>23.667000000000002</v>
      </c>
      <c r="B191" s="1">
        <v>1.9649000000000001</v>
      </c>
      <c r="C191" s="4">
        <f>Tabela8[[#This Row],[Alongamento (mm/mm)]]/$I$2</f>
        <v>3.9298E-2</v>
      </c>
      <c r="D191" s="1">
        <v>81.647000000000006</v>
      </c>
      <c r="E191" s="4">
        <f>Tabela8[[#This Row],[Forτa(N)]]/$I$5</f>
        <v>1896447.6013063095</v>
      </c>
      <c r="F191" s="4">
        <f>Tabela8[[#This Row],[Tensão (Pa)]]/1000000</f>
        <v>1.8964476013063094</v>
      </c>
    </row>
    <row r="192" spans="1:6" x14ac:dyDescent="0.3">
      <c r="A192" s="1">
        <v>23.716999999999999</v>
      </c>
      <c r="B192" s="1">
        <v>1.9691000000000001</v>
      </c>
      <c r="C192" s="4">
        <f>Tabela8[[#This Row],[Alongamento (mm/mm)]]/$I$2</f>
        <v>3.9382E-2</v>
      </c>
      <c r="D192" s="1">
        <v>82.328000000000003</v>
      </c>
      <c r="E192" s="4">
        <f>Tabela8[[#This Row],[Forτa(N)]]/$I$5</f>
        <v>1912265.4613194095</v>
      </c>
      <c r="F192" s="4">
        <f>Tabela8[[#This Row],[Tensão (Pa)]]/1000000</f>
        <v>1.9122654613194094</v>
      </c>
    </row>
    <row r="193" spans="1:6" x14ac:dyDescent="0.3">
      <c r="A193" s="1">
        <v>23.766999999999999</v>
      </c>
      <c r="B193" s="1">
        <v>1.9733000000000001</v>
      </c>
      <c r="C193" s="4">
        <f>Tabela8[[#This Row],[Alongamento (mm/mm)]]/$I$2</f>
        <v>3.9466000000000001E-2</v>
      </c>
      <c r="D193" s="1">
        <v>83.007999999999996</v>
      </c>
      <c r="E193" s="4">
        <f>Tabela8[[#This Row],[Forτa(N)]]/$I$5</f>
        <v>1928060.0939316093</v>
      </c>
      <c r="F193" s="4">
        <f>Tabela8[[#This Row],[Tensão (Pa)]]/1000000</f>
        <v>1.9280600939316093</v>
      </c>
    </row>
    <row r="194" spans="1:6" x14ac:dyDescent="0.3">
      <c r="A194" s="1">
        <v>23.817</v>
      </c>
      <c r="B194" s="1">
        <v>1.9775</v>
      </c>
      <c r="C194" s="4">
        <f>Tabela8[[#This Row],[Alongamento (mm/mm)]]/$I$2</f>
        <v>3.9550000000000002E-2</v>
      </c>
      <c r="D194" s="1">
        <v>83.688999999999993</v>
      </c>
      <c r="E194" s="4">
        <f>Tabela8[[#This Row],[Forτa(N)]]/$I$5</f>
        <v>1943877.9539447096</v>
      </c>
      <c r="F194" s="4">
        <f>Tabela8[[#This Row],[Tensão (Pa)]]/1000000</f>
        <v>1.9438779539447095</v>
      </c>
    </row>
    <row r="195" spans="1:6" x14ac:dyDescent="0.3">
      <c r="A195" s="1">
        <v>23.867000000000001</v>
      </c>
      <c r="B195" s="1">
        <v>1.9816</v>
      </c>
      <c r="C195" s="4">
        <f>Tabela8[[#This Row],[Alongamento (mm/mm)]]/$I$2</f>
        <v>3.9632000000000001E-2</v>
      </c>
      <c r="D195" s="1">
        <v>84.369</v>
      </c>
      <c r="E195" s="4">
        <f>Tabela8[[#This Row],[Forτa(N)]]/$I$5</f>
        <v>1959672.5865569096</v>
      </c>
      <c r="F195" s="4">
        <f>Tabela8[[#This Row],[Tensão (Pa)]]/1000000</f>
        <v>1.9596725865569096</v>
      </c>
    </row>
    <row r="196" spans="1:6" x14ac:dyDescent="0.3">
      <c r="A196" s="1">
        <v>23.917000000000002</v>
      </c>
      <c r="B196" s="1">
        <v>1.9857</v>
      </c>
      <c r="C196" s="4">
        <f>Tabela8[[#This Row],[Alongamento (mm/mm)]]/$I$2</f>
        <v>3.9713999999999999E-2</v>
      </c>
      <c r="D196" s="1">
        <v>85.049000000000007</v>
      </c>
      <c r="E196" s="4">
        <f>Tabela8[[#This Row],[Forτa(N)]]/$I$5</f>
        <v>1975467.2191691098</v>
      </c>
      <c r="F196" s="4">
        <f>Tabela8[[#This Row],[Tensão (Pa)]]/1000000</f>
        <v>1.9754672191691098</v>
      </c>
    </row>
    <row r="197" spans="1:6" x14ac:dyDescent="0.3">
      <c r="A197" s="1">
        <v>23.966999999999999</v>
      </c>
      <c r="B197" s="1">
        <v>1.99</v>
      </c>
      <c r="C197" s="4">
        <f>Tabela8[[#This Row],[Alongamento (mm/mm)]]/$I$2</f>
        <v>3.9800000000000002E-2</v>
      </c>
      <c r="D197" s="1">
        <v>85.73</v>
      </c>
      <c r="E197" s="4">
        <f>Tabela8[[#This Row],[Forτa(N)]]/$I$5</f>
        <v>1991285.0791822099</v>
      </c>
      <c r="F197" s="4">
        <f>Tabela8[[#This Row],[Tensão (Pa)]]/1000000</f>
        <v>1.9912850791822099</v>
      </c>
    </row>
    <row r="198" spans="1:6" x14ac:dyDescent="0.3">
      <c r="A198" s="1">
        <v>24.016999999999999</v>
      </c>
      <c r="B198" s="1">
        <v>1.9941</v>
      </c>
      <c r="C198" s="4">
        <f>Tabela8[[#This Row],[Alongamento (mm/mm)]]/$I$2</f>
        <v>3.9882000000000001E-2</v>
      </c>
      <c r="D198" s="1">
        <v>86.41</v>
      </c>
      <c r="E198" s="4">
        <f>Tabela8[[#This Row],[Forτa(N)]]/$I$5</f>
        <v>2007079.7117944097</v>
      </c>
      <c r="F198" s="4">
        <f>Tabela8[[#This Row],[Tensão (Pa)]]/1000000</f>
        <v>2.0070797117944097</v>
      </c>
    </row>
    <row r="199" spans="1:6" x14ac:dyDescent="0.3">
      <c r="A199" s="1">
        <v>24.067</v>
      </c>
      <c r="B199" s="1">
        <v>1.9983</v>
      </c>
      <c r="C199" s="4">
        <f>Tabela8[[#This Row],[Alongamento (mm/mm)]]/$I$2</f>
        <v>3.9966000000000002E-2</v>
      </c>
      <c r="D199" s="1">
        <v>87.090999999999994</v>
      </c>
      <c r="E199" s="4">
        <f>Tabela8[[#This Row],[Forτa(N)]]/$I$5</f>
        <v>2022897.57180751</v>
      </c>
      <c r="F199" s="4">
        <f>Tabela8[[#This Row],[Tensão (Pa)]]/1000000</f>
        <v>2.0228975718075102</v>
      </c>
    </row>
    <row r="200" spans="1:6" x14ac:dyDescent="0.3">
      <c r="A200" s="1">
        <v>24.117000000000001</v>
      </c>
      <c r="B200" s="1">
        <v>2.0024000000000002</v>
      </c>
      <c r="C200" s="4">
        <f>Tabela8[[#This Row],[Alongamento (mm/mm)]]/$I$2</f>
        <v>4.0048E-2</v>
      </c>
      <c r="D200" s="1">
        <v>87.771000000000001</v>
      </c>
      <c r="E200" s="4">
        <f>Tabela8[[#This Row],[Forτa(N)]]/$I$5</f>
        <v>2038692.2044197102</v>
      </c>
      <c r="F200" s="4">
        <f>Tabela8[[#This Row],[Tensão (Pa)]]/1000000</f>
        <v>2.0386922044197102</v>
      </c>
    </row>
    <row r="201" spans="1:6" x14ac:dyDescent="0.3">
      <c r="A201" s="1">
        <v>24.167000000000002</v>
      </c>
      <c r="B201" s="1">
        <v>2.0066000000000002</v>
      </c>
      <c r="C201" s="4">
        <f>Tabela8[[#This Row],[Alongamento (mm/mm)]]/$I$2</f>
        <v>4.0132000000000001E-2</v>
      </c>
      <c r="D201" s="1">
        <v>88.450999999999993</v>
      </c>
      <c r="E201" s="4">
        <f>Tabela8[[#This Row],[Forτa(N)]]/$I$5</f>
        <v>2054486.83703191</v>
      </c>
      <c r="F201" s="4">
        <f>Tabela8[[#This Row],[Tensão (Pa)]]/1000000</f>
        <v>2.0544868370319098</v>
      </c>
    </row>
    <row r="202" spans="1:6" x14ac:dyDescent="0.3">
      <c r="A202" s="1">
        <v>24.216999999999999</v>
      </c>
      <c r="B202" s="1">
        <v>2.0108000000000001</v>
      </c>
      <c r="C202" s="4">
        <f>Tabela8[[#This Row],[Alongamento (mm/mm)]]/$I$2</f>
        <v>4.0216000000000002E-2</v>
      </c>
      <c r="D202" s="1">
        <v>89.132000000000005</v>
      </c>
      <c r="E202" s="4">
        <f>Tabela8[[#This Row],[Forτa(N)]]/$I$5</f>
        <v>2070304.6970450105</v>
      </c>
      <c r="F202" s="4">
        <f>Tabela8[[#This Row],[Tensão (Pa)]]/1000000</f>
        <v>2.0703046970450103</v>
      </c>
    </row>
    <row r="203" spans="1:6" x14ac:dyDescent="0.3">
      <c r="A203" s="1">
        <v>24.266999999999999</v>
      </c>
      <c r="B203" s="1">
        <v>2.0150000000000001</v>
      </c>
      <c r="C203" s="4">
        <f>Tabela8[[#This Row],[Alongamento (mm/mm)]]/$I$2</f>
        <v>4.0300000000000002E-2</v>
      </c>
      <c r="D203" s="1">
        <v>89.811999999999998</v>
      </c>
      <c r="E203" s="4">
        <f>Tabela8[[#This Row],[Forτa(N)]]/$I$5</f>
        <v>2086099.3296572103</v>
      </c>
      <c r="F203" s="4">
        <f>Tabela8[[#This Row],[Tensão (Pa)]]/1000000</f>
        <v>2.0860993296572103</v>
      </c>
    </row>
    <row r="204" spans="1:6" x14ac:dyDescent="0.3">
      <c r="A204" s="1">
        <v>24.317</v>
      </c>
      <c r="B204" s="1">
        <v>2.0192000000000001</v>
      </c>
      <c r="C204" s="4">
        <f>Tabela8[[#This Row],[Alongamento (mm/mm)]]/$I$2</f>
        <v>4.0384000000000003E-2</v>
      </c>
      <c r="D204" s="1">
        <v>90.492999999999995</v>
      </c>
      <c r="E204" s="4">
        <f>Tabela8[[#This Row],[Forτa(N)]]/$I$5</f>
        <v>2101917.1896703104</v>
      </c>
      <c r="F204" s="4">
        <f>Tabela8[[#This Row],[Tensão (Pa)]]/1000000</f>
        <v>2.1019171896703104</v>
      </c>
    </row>
    <row r="205" spans="1:6" x14ac:dyDescent="0.3">
      <c r="A205" s="1">
        <v>24.367000000000001</v>
      </c>
      <c r="B205" s="1">
        <v>2.0232999999999999</v>
      </c>
      <c r="C205" s="4">
        <f>Tabela8[[#This Row],[Alongamento (mm/mm)]]/$I$2</f>
        <v>4.0465999999999995E-2</v>
      </c>
      <c r="D205" s="1">
        <v>91.173000000000002</v>
      </c>
      <c r="E205" s="4">
        <f>Tabela8[[#This Row],[Forτa(N)]]/$I$5</f>
        <v>2117711.8222825103</v>
      </c>
      <c r="F205" s="4">
        <f>Tabela8[[#This Row],[Tensão (Pa)]]/1000000</f>
        <v>2.1177118222825104</v>
      </c>
    </row>
    <row r="206" spans="1:6" x14ac:dyDescent="0.3">
      <c r="A206" s="1">
        <v>24.417000000000002</v>
      </c>
      <c r="B206" s="1">
        <v>2.0274999999999999</v>
      </c>
      <c r="C206" s="4">
        <f>Tabela8[[#This Row],[Alongamento (mm/mm)]]/$I$2</f>
        <v>4.0549999999999996E-2</v>
      </c>
      <c r="D206" s="1">
        <v>92.022999999999996</v>
      </c>
      <c r="E206" s="4">
        <f>Tabela8[[#This Row],[Forτa(N)]]/$I$5</f>
        <v>2137455.1130477604</v>
      </c>
      <c r="F206" s="4">
        <f>Tabela8[[#This Row],[Tensão (Pa)]]/1000000</f>
        <v>2.1374551130477606</v>
      </c>
    </row>
    <row r="207" spans="1:6" x14ac:dyDescent="0.3">
      <c r="A207" s="1">
        <v>24.466999999999999</v>
      </c>
      <c r="B207" s="1">
        <v>2.0314999999999999</v>
      </c>
      <c r="C207" s="4">
        <f>Tabela8[[#This Row],[Alongamento (mm/mm)]]/$I$2</f>
        <v>4.0629999999999999E-2</v>
      </c>
      <c r="D207" s="1">
        <v>92.703999999999994</v>
      </c>
      <c r="E207" s="4">
        <f>Tabela8[[#This Row],[Forτa(N)]]/$I$5</f>
        <v>2153272.9730608608</v>
      </c>
      <c r="F207" s="4">
        <f>Tabela8[[#This Row],[Tensão (Pa)]]/1000000</f>
        <v>2.1532729730608606</v>
      </c>
    </row>
    <row r="208" spans="1:6" x14ac:dyDescent="0.3">
      <c r="A208" s="1">
        <v>24.516999999999999</v>
      </c>
      <c r="B208" s="1">
        <v>2.0358000000000001</v>
      </c>
      <c r="C208" s="4">
        <f>Tabela8[[#This Row],[Alongamento (mm/mm)]]/$I$2</f>
        <v>4.0716000000000002E-2</v>
      </c>
      <c r="D208" s="1">
        <v>93.384</v>
      </c>
      <c r="E208" s="4">
        <f>Tabela8[[#This Row],[Forτa(N)]]/$I$5</f>
        <v>2169067.6056730608</v>
      </c>
      <c r="F208" s="4">
        <f>Tabela8[[#This Row],[Tensão (Pa)]]/1000000</f>
        <v>2.1690676056730607</v>
      </c>
    </row>
    <row r="209" spans="1:6" x14ac:dyDescent="0.3">
      <c r="A209" s="1">
        <v>24.567</v>
      </c>
      <c r="B209" s="1">
        <v>2.04</v>
      </c>
      <c r="C209" s="4">
        <f>Tabela8[[#This Row],[Alongamento (mm/mm)]]/$I$2</f>
        <v>4.0800000000000003E-2</v>
      </c>
      <c r="D209" s="1">
        <v>94.064999999999998</v>
      </c>
      <c r="E209" s="4">
        <f>Tabela8[[#This Row],[Forτa(N)]]/$I$5</f>
        <v>2184885.4656861611</v>
      </c>
      <c r="F209" s="4">
        <f>Tabela8[[#This Row],[Tensão (Pa)]]/1000000</f>
        <v>2.1848854656861612</v>
      </c>
    </row>
    <row r="210" spans="1:6" x14ac:dyDescent="0.3">
      <c r="A210" s="1">
        <v>24.617000000000001</v>
      </c>
      <c r="B210" s="1">
        <v>2.0442</v>
      </c>
      <c r="C210" s="4">
        <f>Tabela8[[#This Row],[Alongamento (mm/mm)]]/$I$2</f>
        <v>4.0884000000000004E-2</v>
      </c>
      <c r="D210" s="1">
        <v>94.915000000000006</v>
      </c>
      <c r="E210" s="4">
        <f>Tabela8[[#This Row],[Forτa(N)]]/$I$5</f>
        <v>2204628.7564514112</v>
      </c>
      <c r="F210" s="4">
        <f>Tabela8[[#This Row],[Tensão (Pa)]]/1000000</f>
        <v>2.2046287564514113</v>
      </c>
    </row>
    <row r="211" spans="1:6" x14ac:dyDescent="0.3">
      <c r="A211" s="1">
        <v>24.667000000000002</v>
      </c>
      <c r="B211" s="1">
        <v>2.0482</v>
      </c>
      <c r="C211" s="4">
        <f>Tabela8[[#This Row],[Alongamento (mm/mm)]]/$I$2</f>
        <v>4.0964E-2</v>
      </c>
      <c r="D211" s="1">
        <v>95.596000000000004</v>
      </c>
      <c r="E211" s="4">
        <f>Tabela8[[#This Row],[Forτa(N)]]/$I$5</f>
        <v>2220446.616464511</v>
      </c>
      <c r="F211" s="4">
        <f>Tabela8[[#This Row],[Tensão (Pa)]]/1000000</f>
        <v>2.2204466164645109</v>
      </c>
    </row>
    <row r="212" spans="1:6" x14ac:dyDescent="0.3">
      <c r="A212" s="1">
        <v>24.716999999999999</v>
      </c>
      <c r="B212" s="1">
        <v>2.0525000000000002</v>
      </c>
      <c r="C212" s="4">
        <f>Tabela8[[#This Row],[Alongamento (mm/mm)]]/$I$2</f>
        <v>4.1050000000000003E-2</v>
      </c>
      <c r="D212" s="1">
        <v>96.275999999999996</v>
      </c>
      <c r="E212" s="4">
        <f>Tabela8[[#This Row],[Forτa(N)]]/$I$5</f>
        <v>2236241.249076711</v>
      </c>
      <c r="F212" s="4">
        <f>Tabela8[[#This Row],[Tensão (Pa)]]/1000000</f>
        <v>2.236241249076711</v>
      </c>
    </row>
    <row r="213" spans="1:6" x14ac:dyDescent="0.3">
      <c r="A213" s="1">
        <v>24.766999999999999</v>
      </c>
      <c r="B213" s="1">
        <v>2.0567000000000002</v>
      </c>
      <c r="C213" s="4">
        <f>Tabela8[[#This Row],[Alongamento (mm/mm)]]/$I$2</f>
        <v>4.1134000000000004E-2</v>
      </c>
      <c r="D213" s="1">
        <v>96.956000000000003</v>
      </c>
      <c r="E213" s="4">
        <f>Tabela8[[#This Row],[Forτa(N)]]/$I$5</f>
        <v>2252035.881688911</v>
      </c>
      <c r="F213" s="4">
        <f>Tabela8[[#This Row],[Tensão (Pa)]]/1000000</f>
        <v>2.252035881688911</v>
      </c>
    </row>
    <row r="214" spans="1:6" x14ac:dyDescent="0.3">
      <c r="A214" s="1">
        <v>24.817</v>
      </c>
      <c r="B214" s="1">
        <v>2.0608</v>
      </c>
      <c r="C214" s="4">
        <f>Tabela8[[#This Row],[Alongamento (mm/mm)]]/$I$2</f>
        <v>4.1216000000000003E-2</v>
      </c>
      <c r="D214" s="1">
        <v>97.637</v>
      </c>
      <c r="E214" s="4">
        <f>Tabela8[[#This Row],[Forτa(N)]]/$I$5</f>
        <v>2267853.7417020113</v>
      </c>
      <c r="F214" s="4">
        <f>Tabela8[[#This Row],[Tensão (Pa)]]/1000000</f>
        <v>2.2678537417020115</v>
      </c>
    </row>
    <row r="215" spans="1:6" x14ac:dyDescent="0.3">
      <c r="A215" s="1">
        <v>24.867000000000001</v>
      </c>
      <c r="B215" s="1">
        <v>2.0649999999999999</v>
      </c>
      <c r="C215" s="4">
        <f>Tabela8[[#This Row],[Alongamento (mm/mm)]]/$I$2</f>
        <v>4.1299999999999996E-2</v>
      </c>
      <c r="D215" s="1">
        <v>98.486999999999995</v>
      </c>
      <c r="E215" s="4">
        <f>Tabela8[[#This Row],[Forτa(N)]]/$I$5</f>
        <v>2287597.032467261</v>
      </c>
      <c r="F215" s="4">
        <f>Tabela8[[#This Row],[Tensão (Pa)]]/1000000</f>
        <v>2.2875970324672608</v>
      </c>
    </row>
    <row r="216" spans="1:6" x14ac:dyDescent="0.3">
      <c r="A216" s="1">
        <v>24.917000000000002</v>
      </c>
      <c r="B216" s="1">
        <v>2.0691000000000002</v>
      </c>
      <c r="C216" s="4">
        <f>Tabela8[[#This Row],[Alongamento (mm/mm)]]/$I$2</f>
        <v>4.1382000000000002E-2</v>
      </c>
      <c r="D216" s="1">
        <v>99.168000000000006</v>
      </c>
      <c r="E216" s="4">
        <f>Tabela8[[#This Row],[Forτa(N)]]/$I$5</f>
        <v>2303414.8924803617</v>
      </c>
      <c r="F216" s="4">
        <f>Tabela8[[#This Row],[Tensão (Pa)]]/1000000</f>
        <v>2.3034148924803617</v>
      </c>
    </row>
    <row r="217" spans="1:6" x14ac:dyDescent="0.3">
      <c r="A217" s="1">
        <v>24.966999999999999</v>
      </c>
      <c r="B217" s="1">
        <v>2.0731999999999999</v>
      </c>
      <c r="C217" s="4">
        <f>Tabela8[[#This Row],[Alongamento (mm/mm)]]/$I$2</f>
        <v>4.1464000000000001E-2</v>
      </c>
      <c r="D217" s="1">
        <v>99.847999999999999</v>
      </c>
      <c r="E217" s="4">
        <f>Tabela8[[#This Row],[Forτa(N)]]/$I$5</f>
        <v>2319209.5250925613</v>
      </c>
      <c r="F217" s="4">
        <f>Tabela8[[#This Row],[Tensão (Pa)]]/1000000</f>
        <v>2.3192095250925613</v>
      </c>
    </row>
    <row r="218" spans="1:6" x14ac:dyDescent="0.3">
      <c r="A218" s="1">
        <v>25.016999999999999</v>
      </c>
      <c r="B218" s="1">
        <v>2.0773999999999999</v>
      </c>
      <c r="C218" s="4">
        <f>Tabela8[[#This Row],[Alongamento (mm/mm)]]/$I$2</f>
        <v>4.1548000000000002E-2</v>
      </c>
      <c r="D218" s="1">
        <v>100.7</v>
      </c>
      <c r="E218" s="4">
        <f>Tabela8[[#This Row],[Forτa(N)]]/$I$5</f>
        <v>2338999.270659612</v>
      </c>
      <c r="F218" s="4">
        <f>Tabela8[[#This Row],[Tensão (Pa)]]/1000000</f>
        <v>2.3389992706596119</v>
      </c>
    </row>
    <row r="219" spans="1:6" x14ac:dyDescent="0.3">
      <c r="A219" s="1">
        <v>25.067</v>
      </c>
      <c r="B219" s="1">
        <v>2.0815999999999999</v>
      </c>
      <c r="C219" s="4">
        <f>Tabela8[[#This Row],[Alongamento (mm/mm)]]/$I$2</f>
        <v>4.1631999999999995E-2</v>
      </c>
      <c r="D219" s="1">
        <v>101.38</v>
      </c>
      <c r="E219" s="4">
        <f>Tabela8[[#This Row],[Forτa(N)]]/$I$5</f>
        <v>2354793.903271812</v>
      </c>
      <c r="F219" s="4">
        <f>Tabela8[[#This Row],[Tensão (Pa)]]/1000000</f>
        <v>2.3547939032718119</v>
      </c>
    </row>
    <row r="220" spans="1:6" x14ac:dyDescent="0.3">
      <c r="A220" s="1">
        <v>25.117000000000001</v>
      </c>
      <c r="B220" s="1">
        <v>2.0857999999999999</v>
      </c>
      <c r="C220" s="4">
        <f>Tabela8[[#This Row],[Alongamento (mm/mm)]]/$I$2</f>
        <v>4.1715999999999996E-2</v>
      </c>
      <c r="D220" s="1">
        <v>102.06</v>
      </c>
      <c r="E220" s="4">
        <f>Tabela8[[#This Row],[Forτa(N)]]/$I$5</f>
        <v>2370588.535884012</v>
      </c>
      <c r="F220" s="4">
        <f>Tabela8[[#This Row],[Tensão (Pa)]]/1000000</f>
        <v>2.370588535884012</v>
      </c>
    </row>
    <row r="221" spans="1:6" x14ac:dyDescent="0.3">
      <c r="A221" s="1">
        <v>25.167000000000002</v>
      </c>
      <c r="B221" s="1">
        <v>2.09</v>
      </c>
      <c r="C221" s="4">
        <f>Tabela8[[#This Row],[Alongamento (mm/mm)]]/$I$2</f>
        <v>4.1799999999999997E-2</v>
      </c>
      <c r="D221" s="1">
        <v>102.91</v>
      </c>
      <c r="E221" s="4">
        <f>Tabela8[[#This Row],[Forτa(N)]]/$I$5</f>
        <v>2390331.8266492616</v>
      </c>
      <c r="F221" s="4">
        <f>Tabela8[[#This Row],[Tensão (Pa)]]/1000000</f>
        <v>2.3903318266492617</v>
      </c>
    </row>
    <row r="222" spans="1:6" x14ac:dyDescent="0.3">
      <c r="A222" s="1">
        <v>25.216999999999999</v>
      </c>
      <c r="B222" s="1">
        <v>2.0941000000000001</v>
      </c>
      <c r="C222" s="4">
        <f>Tabela8[[#This Row],[Alongamento (mm/mm)]]/$I$2</f>
        <v>4.1882000000000003E-2</v>
      </c>
      <c r="D222" s="1">
        <v>103.59</v>
      </c>
      <c r="E222" s="4">
        <f>Tabela8[[#This Row],[Forτa(N)]]/$I$5</f>
        <v>2406126.4592614621</v>
      </c>
      <c r="F222" s="4">
        <f>Tabela8[[#This Row],[Tensão (Pa)]]/1000000</f>
        <v>2.4061264592614622</v>
      </c>
    </row>
    <row r="223" spans="1:6" x14ac:dyDescent="0.3">
      <c r="A223" s="1">
        <v>25.266999999999999</v>
      </c>
      <c r="B223" s="1">
        <v>2.0983999999999998</v>
      </c>
      <c r="C223" s="4">
        <f>Tabela8[[#This Row],[Alongamento (mm/mm)]]/$I$2</f>
        <v>4.1967999999999998E-2</v>
      </c>
      <c r="D223" s="1">
        <v>104.44</v>
      </c>
      <c r="E223" s="4">
        <f>Tabela8[[#This Row],[Forτa(N)]]/$I$5</f>
        <v>2425869.7500267117</v>
      </c>
      <c r="F223" s="4">
        <f>Tabela8[[#This Row],[Tensão (Pa)]]/1000000</f>
        <v>2.4258697500267119</v>
      </c>
    </row>
    <row r="224" spans="1:6" x14ac:dyDescent="0.3">
      <c r="A224" s="1">
        <v>25.317</v>
      </c>
      <c r="B224" s="1">
        <v>2.1025</v>
      </c>
      <c r="C224" s="4">
        <f>Tabela8[[#This Row],[Alongamento (mm/mm)]]/$I$2</f>
        <v>4.2050000000000004E-2</v>
      </c>
      <c r="D224" s="1">
        <v>105.12</v>
      </c>
      <c r="E224" s="4">
        <f>Tabela8[[#This Row],[Forτa(N)]]/$I$5</f>
        <v>2441664.3826389117</v>
      </c>
      <c r="F224" s="4">
        <f>Tabela8[[#This Row],[Tensão (Pa)]]/1000000</f>
        <v>2.4416643826389115</v>
      </c>
    </row>
    <row r="225" spans="1:6" x14ac:dyDescent="0.3">
      <c r="A225" s="1">
        <v>25.367000000000001</v>
      </c>
      <c r="B225" s="1">
        <v>2.1065999999999998</v>
      </c>
      <c r="C225" s="4">
        <f>Tabela8[[#This Row],[Alongamento (mm/mm)]]/$I$2</f>
        <v>4.2131999999999996E-2</v>
      </c>
      <c r="D225" s="1">
        <v>105.97</v>
      </c>
      <c r="E225" s="4">
        <f>Tabela8[[#This Row],[Forτa(N)]]/$I$5</f>
        <v>2461407.6734041618</v>
      </c>
      <c r="F225" s="4">
        <f>Tabela8[[#This Row],[Tensão (Pa)]]/1000000</f>
        <v>2.4614076734041617</v>
      </c>
    </row>
    <row r="226" spans="1:6" x14ac:dyDescent="0.3">
      <c r="A226" s="1">
        <v>25.417000000000002</v>
      </c>
      <c r="B226" s="1">
        <v>2.1107</v>
      </c>
      <c r="C226" s="4">
        <f>Tabela8[[#This Row],[Alongamento (mm/mm)]]/$I$2</f>
        <v>4.2214000000000002E-2</v>
      </c>
      <c r="D226" s="1">
        <v>106.65</v>
      </c>
      <c r="E226" s="4">
        <f>Tabela8[[#This Row],[Forτa(N)]]/$I$5</f>
        <v>2477202.3060163618</v>
      </c>
      <c r="F226" s="4">
        <f>Tabela8[[#This Row],[Tensão (Pa)]]/1000000</f>
        <v>2.4772023060163617</v>
      </c>
    </row>
    <row r="227" spans="1:6" x14ac:dyDescent="0.3">
      <c r="A227" s="1">
        <v>25.466999999999999</v>
      </c>
      <c r="B227" s="1">
        <v>2.1149</v>
      </c>
      <c r="C227" s="4">
        <f>Tabela8[[#This Row],[Alongamento (mm/mm)]]/$I$2</f>
        <v>4.2298000000000002E-2</v>
      </c>
      <c r="D227" s="1">
        <v>107.5</v>
      </c>
      <c r="E227" s="4">
        <f>Tabela8[[#This Row],[Forτa(N)]]/$I$5</f>
        <v>2496945.5967816114</v>
      </c>
      <c r="F227" s="4">
        <f>Tabela8[[#This Row],[Tensão (Pa)]]/1000000</f>
        <v>2.4969455967816114</v>
      </c>
    </row>
    <row r="228" spans="1:6" x14ac:dyDescent="0.3">
      <c r="A228" s="1">
        <v>25.516999999999999</v>
      </c>
      <c r="B228" s="1">
        <v>2.1191</v>
      </c>
      <c r="C228" s="4">
        <f>Tabela8[[#This Row],[Alongamento (mm/mm)]]/$I$2</f>
        <v>4.2382000000000003E-2</v>
      </c>
      <c r="D228" s="1">
        <v>108.18</v>
      </c>
      <c r="E228" s="4">
        <f>Tabela8[[#This Row],[Forτa(N)]]/$I$5</f>
        <v>2512740.2293938119</v>
      </c>
      <c r="F228" s="4">
        <f>Tabela8[[#This Row],[Tensão (Pa)]]/1000000</f>
        <v>2.5127402293938119</v>
      </c>
    </row>
    <row r="229" spans="1:6" x14ac:dyDescent="0.3">
      <c r="A229" s="1">
        <v>25.567</v>
      </c>
      <c r="B229" s="1">
        <v>2.1233</v>
      </c>
      <c r="C229" s="4">
        <f>Tabela8[[#This Row],[Alongamento (mm/mm)]]/$I$2</f>
        <v>4.2465999999999997E-2</v>
      </c>
      <c r="D229" s="1">
        <v>109.03</v>
      </c>
      <c r="E229" s="4">
        <f>Tabela8[[#This Row],[Forτa(N)]]/$I$5</f>
        <v>2532483.5201590615</v>
      </c>
      <c r="F229" s="4">
        <f>Tabela8[[#This Row],[Tensão (Pa)]]/1000000</f>
        <v>2.5324835201590616</v>
      </c>
    </row>
    <row r="230" spans="1:6" x14ac:dyDescent="0.3">
      <c r="A230" s="1">
        <v>25.617000000000001</v>
      </c>
      <c r="B230" s="1">
        <v>2.1274999999999999</v>
      </c>
      <c r="C230" s="4">
        <f>Tabela8[[#This Row],[Alongamento (mm/mm)]]/$I$2</f>
        <v>4.2549999999999998E-2</v>
      </c>
      <c r="D230" s="1">
        <v>109.71</v>
      </c>
      <c r="E230" s="4">
        <f>Tabela8[[#This Row],[Forτa(N)]]/$I$5</f>
        <v>2548278.1527712615</v>
      </c>
      <c r="F230" s="4">
        <f>Tabela8[[#This Row],[Tensão (Pa)]]/1000000</f>
        <v>2.5482781527712617</v>
      </c>
    </row>
    <row r="231" spans="1:6" x14ac:dyDescent="0.3">
      <c r="A231" s="1">
        <v>25.65</v>
      </c>
      <c r="B231" s="1">
        <v>2.1301999999999999</v>
      </c>
      <c r="C231" s="4">
        <f>Tabela8[[#This Row],[Alongamento (mm/mm)]]/$I$2</f>
        <v>4.2603999999999996E-2</v>
      </c>
      <c r="D231" s="1">
        <v>110.39</v>
      </c>
      <c r="E231" s="4">
        <f>Tabela8[[#This Row],[Forτa(N)]]/$I$5</f>
        <v>2564072.7853834615</v>
      </c>
      <c r="F231" s="4">
        <f>Tabela8[[#This Row],[Tensão (Pa)]]/1000000</f>
        <v>2.5640727853834617</v>
      </c>
    </row>
    <row r="232" spans="1:6" x14ac:dyDescent="0.3">
      <c r="A232" s="1">
        <v>25.7</v>
      </c>
      <c r="B232" s="1">
        <v>2.1345000000000001</v>
      </c>
      <c r="C232" s="4">
        <f>Tabela8[[#This Row],[Alongamento (mm/mm)]]/$I$2</f>
        <v>4.2689999999999999E-2</v>
      </c>
      <c r="D232" s="1">
        <v>111.07</v>
      </c>
      <c r="E232" s="4">
        <f>Tabela8[[#This Row],[Forτa(N)]]/$I$5</f>
        <v>2579867.417995661</v>
      </c>
      <c r="F232" s="4">
        <f>Tabela8[[#This Row],[Tensão (Pa)]]/1000000</f>
        <v>2.5798674179956609</v>
      </c>
    </row>
    <row r="233" spans="1:6" x14ac:dyDescent="0.3">
      <c r="A233" s="1">
        <v>25.75</v>
      </c>
      <c r="B233" s="1">
        <v>2.1385999999999998</v>
      </c>
      <c r="C233" s="4">
        <f>Tabela8[[#This Row],[Alongamento (mm/mm)]]/$I$2</f>
        <v>4.2771999999999998E-2</v>
      </c>
      <c r="D233" s="1">
        <v>111.93</v>
      </c>
      <c r="E233" s="4">
        <f>Tabela8[[#This Row],[Forτa(N)]]/$I$5</f>
        <v>2599842.9827699144</v>
      </c>
      <c r="F233" s="4">
        <f>Tabela8[[#This Row],[Tensão (Pa)]]/1000000</f>
        <v>2.5998429827699145</v>
      </c>
    </row>
    <row r="234" spans="1:6" x14ac:dyDescent="0.3">
      <c r="A234" s="1">
        <v>25.8</v>
      </c>
      <c r="B234" s="1">
        <v>2.1427999999999998</v>
      </c>
      <c r="C234" s="4">
        <f>Tabela8[[#This Row],[Alongamento (mm/mm)]]/$I$2</f>
        <v>4.2855999999999998E-2</v>
      </c>
      <c r="D234" s="1">
        <v>112.78</v>
      </c>
      <c r="E234" s="4">
        <f>Tabela8[[#This Row],[Forτa(N)]]/$I$5</f>
        <v>2619586.2735351641</v>
      </c>
      <c r="F234" s="4">
        <f>Tabela8[[#This Row],[Tensão (Pa)]]/1000000</f>
        <v>2.6195862735351643</v>
      </c>
    </row>
    <row r="235" spans="1:6" x14ac:dyDescent="0.3">
      <c r="A235" s="1">
        <v>25.85</v>
      </c>
      <c r="B235" s="1">
        <v>2.1467999999999998</v>
      </c>
      <c r="C235" s="4">
        <f>Tabela8[[#This Row],[Alongamento (mm/mm)]]/$I$2</f>
        <v>4.2935999999999995E-2</v>
      </c>
      <c r="D235" s="1">
        <v>113.46</v>
      </c>
      <c r="E235" s="4">
        <f>Tabela8[[#This Row],[Forτa(N)]]/$I$5</f>
        <v>2635380.9061473641</v>
      </c>
      <c r="F235" s="4">
        <f>Tabela8[[#This Row],[Tensão (Pa)]]/1000000</f>
        <v>2.6353809061473639</v>
      </c>
    </row>
    <row r="236" spans="1:6" x14ac:dyDescent="0.3">
      <c r="A236" s="1">
        <v>25.882999999999999</v>
      </c>
      <c r="B236" s="1">
        <v>2.1496</v>
      </c>
      <c r="C236" s="4">
        <f>Tabela8[[#This Row],[Alongamento (mm/mm)]]/$I$2</f>
        <v>4.2992000000000002E-2</v>
      </c>
      <c r="D236" s="1">
        <v>114.14</v>
      </c>
      <c r="E236" s="4">
        <f>Tabela8[[#This Row],[Forτa(N)]]/$I$5</f>
        <v>2651175.538759564</v>
      </c>
      <c r="F236" s="4">
        <f>Tabela8[[#This Row],[Tensão (Pa)]]/1000000</f>
        <v>2.6511755387595639</v>
      </c>
    </row>
    <row r="237" spans="1:6" x14ac:dyDescent="0.3">
      <c r="A237" s="1">
        <v>25.933</v>
      </c>
      <c r="B237" s="1">
        <v>2.1537999999999999</v>
      </c>
      <c r="C237" s="4">
        <f>Tabela8[[#This Row],[Alongamento (mm/mm)]]/$I$2</f>
        <v>4.3075999999999996E-2</v>
      </c>
      <c r="D237" s="1">
        <v>114.82</v>
      </c>
      <c r="E237" s="4">
        <f>Tabela8[[#This Row],[Forτa(N)]]/$I$5</f>
        <v>2666970.171371764</v>
      </c>
      <c r="F237" s="4">
        <f>Tabela8[[#This Row],[Tensão (Pa)]]/1000000</f>
        <v>2.666970171371764</v>
      </c>
    </row>
    <row r="238" spans="1:6" x14ac:dyDescent="0.3">
      <c r="A238" s="1">
        <v>25.966999999999999</v>
      </c>
      <c r="B238" s="1">
        <v>2.1564999999999999</v>
      </c>
      <c r="C238" s="4">
        <f>Tabela8[[#This Row],[Alongamento (mm/mm)]]/$I$2</f>
        <v>4.3129999999999995E-2</v>
      </c>
      <c r="D238" s="1">
        <v>115.5</v>
      </c>
      <c r="E238" s="4">
        <f>Tabela8[[#This Row],[Forτa(N)]]/$I$5</f>
        <v>2682764.803983964</v>
      </c>
      <c r="F238" s="4">
        <f>Tabela8[[#This Row],[Tensão (Pa)]]/1000000</f>
        <v>2.682764803983964</v>
      </c>
    </row>
    <row r="239" spans="1:6" x14ac:dyDescent="0.3">
      <c r="A239" s="1">
        <v>26.016999999999999</v>
      </c>
      <c r="B239" s="1">
        <v>2.1608000000000001</v>
      </c>
      <c r="C239" s="4">
        <f>Tabela8[[#This Row],[Alongamento (mm/mm)]]/$I$2</f>
        <v>4.3216000000000004E-2</v>
      </c>
      <c r="D239" s="1">
        <v>116.35</v>
      </c>
      <c r="E239" s="4">
        <f>Tabela8[[#This Row],[Forτa(N)]]/$I$5</f>
        <v>2702508.0947492141</v>
      </c>
      <c r="F239" s="4">
        <f>Tabela8[[#This Row],[Tensão (Pa)]]/1000000</f>
        <v>2.7025080947492142</v>
      </c>
    </row>
    <row r="240" spans="1:6" x14ac:dyDescent="0.3">
      <c r="A240" s="1">
        <v>26.067</v>
      </c>
      <c r="B240" s="1">
        <v>2.165</v>
      </c>
      <c r="C240" s="4">
        <f>Tabela8[[#This Row],[Alongamento (mm/mm)]]/$I$2</f>
        <v>4.3299999999999998E-2</v>
      </c>
      <c r="D240" s="1">
        <v>117.2</v>
      </c>
      <c r="E240" s="4">
        <f>Tabela8[[#This Row],[Forτa(N)]]/$I$5</f>
        <v>2722251.3855144642</v>
      </c>
      <c r="F240" s="4">
        <f>Tabela8[[#This Row],[Tensão (Pa)]]/1000000</f>
        <v>2.7222513855144643</v>
      </c>
    </row>
    <row r="241" spans="1:6" x14ac:dyDescent="0.3">
      <c r="A241" s="1">
        <v>26.117000000000001</v>
      </c>
      <c r="B241" s="1">
        <v>2.1692</v>
      </c>
      <c r="C241" s="4">
        <f>Tabela8[[#This Row],[Alongamento (mm/mm)]]/$I$2</f>
        <v>4.3383999999999999E-2</v>
      </c>
      <c r="D241" s="1">
        <v>118.05</v>
      </c>
      <c r="E241" s="4">
        <f>Tabela8[[#This Row],[Forτa(N)]]/$I$5</f>
        <v>2741994.6762797139</v>
      </c>
      <c r="F241" s="4">
        <f>Tabela8[[#This Row],[Tensão (Pa)]]/1000000</f>
        <v>2.741994676279714</v>
      </c>
    </row>
    <row r="242" spans="1:6" x14ac:dyDescent="0.3">
      <c r="A242" s="1">
        <v>26.167000000000002</v>
      </c>
      <c r="B242" s="1">
        <v>2.1732999999999998</v>
      </c>
      <c r="C242" s="4">
        <f>Tabela8[[#This Row],[Alongamento (mm/mm)]]/$I$2</f>
        <v>4.3465999999999998E-2</v>
      </c>
      <c r="D242" s="1">
        <v>118.9</v>
      </c>
      <c r="E242" s="4">
        <f>Tabela8[[#This Row],[Forτa(N)]]/$I$5</f>
        <v>2761737.967044964</v>
      </c>
      <c r="F242" s="4">
        <f>Tabela8[[#This Row],[Tensão (Pa)]]/1000000</f>
        <v>2.7617379670449638</v>
      </c>
    </row>
    <row r="243" spans="1:6" x14ac:dyDescent="0.3">
      <c r="A243" s="1">
        <v>26.216999999999999</v>
      </c>
      <c r="B243" s="1">
        <v>2.1775000000000002</v>
      </c>
      <c r="C243" s="4">
        <f>Tabela8[[#This Row],[Alongamento (mm/mm)]]/$I$2</f>
        <v>4.3550000000000005E-2</v>
      </c>
      <c r="D243" s="1">
        <v>119.75</v>
      </c>
      <c r="E243" s="4">
        <f>Tabela8[[#This Row],[Forτa(N)]]/$I$5</f>
        <v>2781481.2578102141</v>
      </c>
      <c r="F243" s="4">
        <f>Tabela8[[#This Row],[Tensão (Pa)]]/1000000</f>
        <v>2.7814812578102139</v>
      </c>
    </row>
    <row r="244" spans="1:6" x14ac:dyDescent="0.3">
      <c r="A244" s="1">
        <v>26.266999999999999</v>
      </c>
      <c r="B244" s="1">
        <v>2.1817000000000002</v>
      </c>
      <c r="C244" s="4">
        <f>Tabela8[[#This Row],[Alongamento (mm/mm)]]/$I$2</f>
        <v>4.3634000000000006E-2</v>
      </c>
      <c r="D244" s="1">
        <v>120.6</v>
      </c>
      <c r="E244" s="4">
        <f>Tabela8[[#This Row],[Forτa(N)]]/$I$5</f>
        <v>2801224.5485754637</v>
      </c>
      <c r="F244" s="4">
        <f>Tabela8[[#This Row],[Tensão (Pa)]]/1000000</f>
        <v>2.8012245485754637</v>
      </c>
    </row>
    <row r="245" spans="1:6" x14ac:dyDescent="0.3">
      <c r="A245" s="1">
        <v>26.317</v>
      </c>
      <c r="B245" s="1">
        <v>2.1858</v>
      </c>
      <c r="C245" s="4">
        <f>Tabela8[[#This Row],[Alongamento (mm/mm)]]/$I$2</f>
        <v>4.3715999999999998E-2</v>
      </c>
      <c r="D245" s="1">
        <v>121.28</v>
      </c>
      <c r="E245" s="4">
        <f>Tabela8[[#This Row],[Forτa(N)]]/$I$5</f>
        <v>2817019.1811876637</v>
      </c>
      <c r="F245" s="4">
        <f>Tabela8[[#This Row],[Tensão (Pa)]]/1000000</f>
        <v>2.8170191811876637</v>
      </c>
    </row>
    <row r="246" spans="1:6" x14ac:dyDescent="0.3">
      <c r="A246" s="1">
        <v>26.35</v>
      </c>
      <c r="B246" s="1">
        <v>2.1884999999999999</v>
      </c>
      <c r="C246" s="4">
        <f>Tabela8[[#This Row],[Alongamento (mm/mm)]]/$I$2</f>
        <v>4.3769999999999996E-2</v>
      </c>
      <c r="D246" s="1">
        <v>121.96</v>
      </c>
      <c r="E246" s="4">
        <f>Tabela8[[#This Row],[Forτa(N)]]/$I$5</f>
        <v>2832813.8137998637</v>
      </c>
      <c r="F246" s="4">
        <f>Tabela8[[#This Row],[Tensão (Pa)]]/1000000</f>
        <v>2.8328138137998637</v>
      </c>
    </row>
    <row r="247" spans="1:6" x14ac:dyDescent="0.3">
      <c r="A247" s="1">
        <v>26.4</v>
      </c>
      <c r="B247" s="1">
        <v>2.1926999999999999</v>
      </c>
      <c r="C247" s="4">
        <f>Tabela8[[#This Row],[Alongamento (mm/mm)]]/$I$2</f>
        <v>4.3853999999999997E-2</v>
      </c>
      <c r="D247" s="1">
        <v>122.81</v>
      </c>
      <c r="E247" s="4">
        <f>Tabela8[[#This Row],[Forτa(N)]]/$I$5</f>
        <v>2852557.1045651138</v>
      </c>
      <c r="F247" s="4">
        <f>Tabela8[[#This Row],[Tensão (Pa)]]/1000000</f>
        <v>2.8525571045651139</v>
      </c>
    </row>
    <row r="248" spans="1:6" x14ac:dyDescent="0.3">
      <c r="A248" s="1">
        <v>26.45</v>
      </c>
      <c r="B248" s="1">
        <v>2.1968999999999999</v>
      </c>
      <c r="C248" s="4">
        <f>Tabela8[[#This Row],[Alongamento (mm/mm)]]/$I$2</f>
        <v>4.3937999999999998E-2</v>
      </c>
      <c r="D248" s="1">
        <v>123.66</v>
      </c>
      <c r="E248" s="4">
        <f>Tabela8[[#This Row],[Forτa(N)]]/$I$5</f>
        <v>2872300.3953303634</v>
      </c>
      <c r="F248" s="4">
        <f>Tabela8[[#This Row],[Tensão (Pa)]]/1000000</f>
        <v>2.8723003953303636</v>
      </c>
    </row>
    <row r="249" spans="1:6" x14ac:dyDescent="0.3">
      <c r="A249" s="1">
        <v>26.5</v>
      </c>
      <c r="B249" s="1">
        <v>2.2010999999999998</v>
      </c>
      <c r="C249" s="4">
        <f>Tabela8[[#This Row],[Alongamento (mm/mm)]]/$I$2</f>
        <v>4.4021999999999999E-2</v>
      </c>
      <c r="D249" s="1">
        <v>124.51</v>
      </c>
      <c r="E249" s="4">
        <f>Tabela8[[#This Row],[Forτa(N)]]/$I$5</f>
        <v>2892043.6860956135</v>
      </c>
      <c r="F249" s="4">
        <f>Tabela8[[#This Row],[Tensão (Pa)]]/1000000</f>
        <v>2.8920436860956134</v>
      </c>
    </row>
    <row r="250" spans="1:6" x14ac:dyDescent="0.3">
      <c r="A250" s="1">
        <v>26.55</v>
      </c>
      <c r="B250" s="1">
        <v>2.2052999999999998</v>
      </c>
      <c r="C250" s="4">
        <f>Tabela8[[#This Row],[Alongamento (mm/mm)]]/$I$2</f>
        <v>4.4105999999999999E-2</v>
      </c>
      <c r="D250" s="1">
        <v>125.19</v>
      </c>
      <c r="E250" s="4">
        <f>Tabela8[[#This Row],[Forτa(N)]]/$I$5</f>
        <v>2907838.3187078135</v>
      </c>
      <c r="F250" s="4">
        <f>Tabela8[[#This Row],[Tensão (Pa)]]/1000000</f>
        <v>2.9078383187078134</v>
      </c>
    </row>
    <row r="251" spans="1:6" x14ac:dyDescent="0.3">
      <c r="A251" s="1">
        <v>26.582999999999998</v>
      </c>
      <c r="B251" s="1">
        <v>2.2080000000000002</v>
      </c>
      <c r="C251" s="4">
        <f>Tabela8[[#This Row],[Alongamento (mm/mm)]]/$I$2</f>
        <v>4.4160000000000005E-2</v>
      </c>
      <c r="D251" s="1">
        <v>125.87</v>
      </c>
      <c r="E251" s="4">
        <f>Tabela8[[#This Row],[Forτa(N)]]/$I$5</f>
        <v>2923632.9513200135</v>
      </c>
      <c r="F251" s="4">
        <f>Tabela8[[#This Row],[Tensão (Pa)]]/1000000</f>
        <v>2.9236329513200134</v>
      </c>
    </row>
    <row r="252" spans="1:6" x14ac:dyDescent="0.3">
      <c r="A252" s="1">
        <v>26.632999999999999</v>
      </c>
      <c r="B252" s="1">
        <v>2.2122000000000002</v>
      </c>
      <c r="C252" s="4">
        <f>Tabela8[[#This Row],[Alongamento (mm/mm)]]/$I$2</f>
        <v>4.4244000000000006E-2</v>
      </c>
      <c r="D252" s="1">
        <v>126.72</v>
      </c>
      <c r="E252" s="4">
        <f>Tabela8[[#This Row],[Forτa(N)]]/$I$5</f>
        <v>2943376.2420852636</v>
      </c>
      <c r="F252" s="4">
        <f>Tabela8[[#This Row],[Tensão (Pa)]]/1000000</f>
        <v>2.9433762420852636</v>
      </c>
    </row>
    <row r="253" spans="1:6" x14ac:dyDescent="0.3">
      <c r="A253" s="1">
        <v>26.683</v>
      </c>
      <c r="B253" s="1">
        <v>2.2164000000000001</v>
      </c>
      <c r="C253" s="4">
        <f>Tabela8[[#This Row],[Alongamento (mm/mm)]]/$I$2</f>
        <v>4.4328000000000006E-2</v>
      </c>
      <c r="D253" s="1">
        <v>127.57</v>
      </c>
      <c r="E253" s="4">
        <f>Tabela8[[#This Row],[Forτa(N)]]/$I$5</f>
        <v>2963119.5328505132</v>
      </c>
      <c r="F253" s="4">
        <f>Tabela8[[#This Row],[Tensão (Pa)]]/1000000</f>
        <v>2.9631195328505133</v>
      </c>
    </row>
    <row r="254" spans="1:6" x14ac:dyDescent="0.3">
      <c r="A254" s="1">
        <v>26.733000000000001</v>
      </c>
      <c r="B254" s="1">
        <v>2.2206000000000001</v>
      </c>
      <c r="C254" s="4">
        <f>Tabela8[[#This Row],[Alongamento (mm/mm)]]/$I$2</f>
        <v>4.4412E-2</v>
      </c>
      <c r="D254" s="1">
        <v>128.41999999999999</v>
      </c>
      <c r="E254" s="4">
        <f>Tabela8[[#This Row],[Forτa(N)]]/$I$5</f>
        <v>2982862.8236157629</v>
      </c>
      <c r="F254" s="4">
        <f>Tabela8[[#This Row],[Tensão (Pa)]]/1000000</f>
        <v>2.982862823615763</v>
      </c>
    </row>
    <row r="255" spans="1:6" x14ac:dyDescent="0.3">
      <c r="A255" s="1">
        <v>26.783000000000001</v>
      </c>
      <c r="B255" s="1">
        <v>2.2246999999999999</v>
      </c>
      <c r="C255" s="4">
        <f>Tabela8[[#This Row],[Alongamento (mm/mm)]]/$I$2</f>
        <v>4.4493999999999999E-2</v>
      </c>
      <c r="D255" s="1">
        <v>129.1</v>
      </c>
      <c r="E255" s="4">
        <f>Tabela8[[#This Row],[Forτa(N)]]/$I$5</f>
        <v>2998657.4562279633</v>
      </c>
      <c r="F255" s="4">
        <f>Tabela8[[#This Row],[Tensão (Pa)]]/1000000</f>
        <v>2.9986574562279635</v>
      </c>
    </row>
    <row r="256" spans="1:6" x14ac:dyDescent="0.3">
      <c r="A256" s="1">
        <v>26.817</v>
      </c>
      <c r="B256" s="1">
        <v>2.2275</v>
      </c>
      <c r="C256" s="4">
        <f>Tabela8[[#This Row],[Alongamento (mm/mm)]]/$I$2</f>
        <v>4.4549999999999999E-2</v>
      </c>
      <c r="D256" s="1">
        <v>129.79</v>
      </c>
      <c r="E256" s="4">
        <f>Tabela8[[#This Row],[Forτa(N)]]/$I$5</f>
        <v>3014684.3628491662</v>
      </c>
      <c r="F256" s="4">
        <f>Tabela8[[#This Row],[Tensão (Pa)]]/1000000</f>
        <v>3.0146843628491662</v>
      </c>
    </row>
    <row r="257" spans="1:6" x14ac:dyDescent="0.3">
      <c r="A257" s="1">
        <v>26.867000000000001</v>
      </c>
      <c r="B257" s="1">
        <v>2.2317</v>
      </c>
      <c r="C257" s="4">
        <f>Tabela8[[#This Row],[Alongamento (mm/mm)]]/$I$2</f>
        <v>4.4634E-2</v>
      </c>
      <c r="D257" s="1">
        <v>130.63999999999999</v>
      </c>
      <c r="E257" s="4">
        <f>Tabela8[[#This Row],[Forτa(N)]]/$I$5</f>
        <v>3034427.6536144158</v>
      </c>
      <c r="F257" s="4">
        <f>Tabela8[[#This Row],[Tensão (Pa)]]/1000000</f>
        <v>3.0344276536144159</v>
      </c>
    </row>
    <row r="258" spans="1:6" x14ac:dyDescent="0.3">
      <c r="A258" s="1">
        <v>26.933</v>
      </c>
      <c r="B258" s="1">
        <v>2.2372000000000001</v>
      </c>
      <c r="C258" s="4">
        <f>Tabela8[[#This Row],[Alongamento (mm/mm)]]/$I$2</f>
        <v>4.4743999999999999E-2</v>
      </c>
      <c r="D258" s="1">
        <v>131.83000000000001</v>
      </c>
      <c r="E258" s="4">
        <f>Tabela8[[#This Row],[Forτa(N)]]/$I$5</f>
        <v>3062068.2606857666</v>
      </c>
      <c r="F258" s="4">
        <f>Tabela8[[#This Row],[Tensão (Pa)]]/1000000</f>
        <v>3.0620682606857668</v>
      </c>
    </row>
    <row r="259" spans="1:6" x14ac:dyDescent="0.3">
      <c r="A259" s="1">
        <v>27</v>
      </c>
      <c r="B259" s="1">
        <v>2.2427000000000001</v>
      </c>
      <c r="C259" s="4">
        <f>Tabela8[[#This Row],[Alongamento (mm/mm)]]/$I$2</f>
        <v>4.4854000000000005E-2</v>
      </c>
      <c r="D259" s="1">
        <v>133.02000000000001</v>
      </c>
      <c r="E259" s="4">
        <f>Tabela8[[#This Row],[Forτa(N)]]/$I$5</f>
        <v>3089708.8677571164</v>
      </c>
      <c r="F259" s="4">
        <f>Tabela8[[#This Row],[Tensão (Pa)]]/1000000</f>
        <v>3.0897088677571163</v>
      </c>
    </row>
    <row r="260" spans="1:6" x14ac:dyDescent="0.3">
      <c r="A260" s="1">
        <v>27.067</v>
      </c>
      <c r="B260" s="1">
        <v>2.2483</v>
      </c>
      <c r="C260" s="4">
        <f>Tabela8[[#This Row],[Alongamento (mm/mm)]]/$I$2</f>
        <v>4.4965999999999999E-2</v>
      </c>
      <c r="D260" s="1">
        <v>134.04</v>
      </c>
      <c r="E260" s="4">
        <f>Tabela8[[#This Row],[Forτa(N)]]/$I$5</f>
        <v>3113400.8166754157</v>
      </c>
      <c r="F260" s="4">
        <f>Tabela8[[#This Row],[Tensão (Pa)]]/1000000</f>
        <v>3.1134008166754157</v>
      </c>
    </row>
    <row r="261" spans="1:6" x14ac:dyDescent="0.3">
      <c r="A261" s="1">
        <v>27.117000000000001</v>
      </c>
      <c r="B261" s="1">
        <v>2.2524999999999999</v>
      </c>
      <c r="C261" s="4">
        <f>Tabela8[[#This Row],[Alongamento (mm/mm)]]/$I$2</f>
        <v>4.505E-2</v>
      </c>
      <c r="D261" s="1">
        <v>135.06</v>
      </c>
      <c r="E261" s="4">
        <f>Tabela8[[#This Row],[Forτa(N)]]/$I$5</f>
        <v>3137092.7655937159</v>
      </c>
      <c r="F261" s="4">
        <f>Tabela8[[#This Row],[Tensão (Pa)]]/1000000</f>
        <v>3.137092765593716</v>
      </c>
    </row>
    <row r="262" spans="1:6" x14ac:dyDescent="0.3">
      <c r="A262" s="1">
        <v>27.183</v>
      </c>
      <c r="B262" s="1">
        <v>2.2581000000000002</v>
      </c>
      <c r="C262" s="4">
        <f>Tabela8[[#This Row],[Alongamento (mm/mm)]]/$I$2</f>
        <v>4.5162000000000008E-2</v>
      </c>
      <c r="D262" s="1">
        <v>136.25</v>
      </c>
      <c r="E262" s="4">
        <f>Tabela8[[#This Row],[Forτa(N)]]/$I$5</f>
        <v>3164733.3726650658</v>
      </c>
      <c r="F262" s="4">
        <f>Tabela8[[#This Row],[Tensão (Pa)]]/1000000</f>
        <v>3.1647333726650659</v>
      </c>
    </row>
    <row r="263" spans="1:6" x14ac:dyDescent="0.3">
      <c r="A263" s="1">
        <v>27.25</v>
      </c>
      <c r="B263" s="1">
        <v>2.2635000000000001</v>
      </c>
      <c r="C263" s="4">
        <f>Tabela8[[#This Row],[Alongamento (mm/mm)]]/$I$2</f>
        <v>4.5270000000000005E-2</v>
      </c>
      <c r="D263" s="1">
        <v>137.44</v>
      </c>
      <c r="E263" s="4">
        <f>Tabela8[[#This Row],[Forτa(N)]]/$I$5</f>
        <v>3192373.9797364157</v>
      </c>
      <c r="F263" s="4">
        <f>Tabela8[[#This Row],[Tensão (Pa)]]/1000000</f>
        <v>3.1923739797364155</v>
      </c>
    </row>
    <row r="264" spans="1:6" x14ac:dyDescent="0.3">
      <c r="A264" s="1">
        <v>27.317</v>
      </c>
      <c r="B264" s="1">
        <v>2.2690999999999999</v>
      </c>
      <c r="C264" s="4">
        <f>Tabela8[[#This Row],[Alongamento (mm/mm)]]/$I$2</f>
        <v>4.5381999999999999E-2</v>
      </c>
      <c r="D264" s="1">
        <v>138.63</v>
      </c>
      <c r="E264" s="4">
        <f>Tabela8[[#This Row],[Forτa(N)]]/$I$5</f>
        <v>3220014.5868077655</v>
      </c>
      <c r="F264" s="4">
        <f>Tabela8[[#This Row],[Tensão (Pa)]]/1000000</f>
        <v>3.2200145868077654</v>
      </c>
    </row>
    <row r="265" spans="1:6" x14ac:dyDescent="0.3">
      <c r="A265" s="1">
        <v>27.367000000000001</v>
      </c>
      <c r="B265" s="1">
        <v>2.2732999999999999</v>
      </c>
      <c r="C265" s="4">
        <f>Tabela8[[#This Row],[Alongamento (mm/mm)]]/$I$2</f>
        <v>4.5465999999999999E-2</v>
      </c>
      <c r="D265" s="1">
        <v>139.65</v>
      </c>
      <c r="E265" s="4">
        <f>Tabela8[[#This Row],[Forτa(N)]]/$I$5</f>
        <v>3243706.5357260657</v>
      </c>
      <c r="F265" s="4">
        <f>Tabela8[[#This Row],[Tensão (Pa)]]/1000000</f>
        <v>3.2437065357260657</v>
      </c>
    </row>
    <row r="266" spans="1:6" x14ac:dyDescent="0.3">
      <c r="A266" s="1">
        <v>27.417000000000002</v>
      </c>
      <c r="B266" s="1">
        <v>2.2774999999999999</v>
      </c>
      <c r="C266" s="4">
        <f>Tabela8[[#This Row],[Alongamento (mm/mm)]]/$I$2</f>
        <v>4.555E-2</v>
      </c>
      <c r="D266" s="1">
        <v>140.66999999999999</v>
      </c>
      <c r="E266" s="4">
        <f>Tabela8[[#This Row],[Forτa(N)]]/$I$5</f>
        <v>3267398.4846443655</v>
      </c>
      <c r="F266" s="4">
        <f>Tabela8[[#This Row],[Tensão (Pa)]]/1000000</f>
        <v>3.2673984846443656</v>
      </c>
    </row>
    <row r="267" spans="1:6" x14ac:dyDescent="0.3">
      <c r="A267" s="1">
        <v>27.483000000000001</v>
      </c>
      <c r="B267" s="1">
        <v>2.2831000000000001</v>
      </c>
      <c r="C267" s="4">
        <f>Tabela8[[#This Row],[Alongamento (mm/mm)]]/$I$2</f>
        <v>4.5662000000000001E-2</v>
      </c>
      <c r="D267" s="1">
        <v>141.86000000000001</v>
      </c>
      <c r="E267" s="4">
        <f>Tabela8[[#This Row],[Forτa(N)]]/$I$5</f>
        <v>3295039.0917157158</v>
      </c>
      <c r="F267" s="4">
        <f>Tabela8[[#This Row],[Tensão (Pa)]]/1000000</f>
        <v>3.295039091715716</v>
      </c>
    </row>
    <row r="268" spans="1:6" x14ac:dyDescent="0.3">
      <c r="A268" s="1">
        <v>27.533000000000001</v>
      </c>
      <c r="B268" s="1">
        <v>2.2871999999999999</v>
      </c>
      <c r="C268" s="4">
        <f>Tabela8[[#This Row],[Alongamento (mm/mm)]]/$I$2</f>
        <v>4.5744E-2</v>
      </c>
      <c r="D268" s="1">
        <v>142.88</v>
      </c>
      <c r="E268" s="4">
        <f>Tabela8[[#This Row],[Forτa(N)]]/$I$5</f>
        <v>3318731.0406340156</v>
      </c>
      <c r="F268" s="4">
        <f>Tabela8[[#This Row],[Tensão (Pa)]]/1000000</f>
        <v>3.3187310406340154</v>
      </c>
    </row>
    <row r="269" spans="1:6" x14ac:dyDescent="0.3">
      <c r="A269" s="1">
        <v>27.582999999999998</v>
      </c>
      <c r="B269" s="1">
        <v>2.2913000000000001</v>
      </c>
      <c r="C269" s="4">
        <f>Tabela8[[#This Row],[Alongamento (mm/mm)]]/$I$2</f>
        <v>4.5826000000000006E-2</v>
      </c>
      <c r="D269" s="1">
        <v>143.9</v>
      </c>
      <c r="E269" s="4">
        <f>Tabela8[[#This Row],[Forτa(N)]]/$I$5</f>
        <v>3342422.9895523158</v>
      </c>
      <c r="F269" s="4">
        <f>Tabela8[[#This Row],[Tensão (Pa)]]/1000000</f>
        <v>3.3424229895523156</v>
      </c>
    </row>
    <row r="270" spans="1:6" x14ac:dyDescent="0.3">
      <c r="A270" s="1">
        <v>27.632999999999999</v>
      </c>
      <c r="B270" s="1">
        <v>2.2955000000000001</v>
      </c>
      <c r="C270" s="4">
        <f>Tabela8[[#This Row],[Alongamento (mm/mm)]]/$I$2</f>
        <v>4.5909999999999999E-2</v>
      </c>
      <c r="D270" s="1">
        <v>144.91999999999999</v>
      </c>
      <c r="E270" s="4">
        <f>Tabela8[[#This Row],[Forτa(N)]]/$I$5</f>
        <v>3366114.9384706151</v>
      </c>
      <c r="F270" s="4">
        <f>Tabela8[[#This Row],[Tensão (Pa)]]/1000000</f>
        <v>3.366114938470615</v>
      </c>
    </row>
    <row r="271" spans="1:6" x14ac:dyDescent="0.3">
      <c r="A271" s="1">
        <v>27.683</v>
      </c>
      <c r="B271" s="1">
        <v>2.2997000000000001</v>
      </c>
      <c r="C271" s="4">
        <f>Tabela8[[#This Row],[Alongamento (mm/mm)]]/$I$2</f>
        <v>4.5994E-2</v>
      </c>
      <c r="D271" s="1">
        <v>145.94</v>
      </c>
      <c r="E271" s="4">
        <f>Tabela8[[#This Row],[Forτa(N)]]/$I$5</f>
        <v>3389806.8873889153</v>
      </c>
      <c r="F271" s="4">
        <f>Tabela8[[#This Row],[Tensão (Pa)]]/1000000</f>
        <v>3.3898068873889153</v>
      </c>
    </row>
    <row r="272" spans="1:6" x14ac:dyDescent="0.3">
      <c r="A272" s="1">
        <v>27.733000000000001</v>
      </c>
      <c r="B272" s="1">
        <v>2.3037999999999998</v>
      </c>
      <c r="C272" s="4">
        <f>Tabela8[[#This Row],[Alongamento (mm/mm)]]/$I$2</f>
        <v>4.6075999999999999E-2</v>
      </c>
      <c r="D272" s="1">
        <v>146.97</v>
      </c>
      <c r="E272" s="4">
        <f>Tabela8[[#This Row],[Forτa(N)]]/$I$5</f>
        <v>3413731.1103162183</v>
      </c>
      <c r="F272" s="4">
        <f>Tabela8[[#This Row],[Tensão (Pa)]]/1000000</f>
        <v>3.4137311103162182</v>
      </c>
    </row>
    <row r="273" spans="1:6" x14ac:dyDescent="0.3">
      <c r="A273" s="1">
        <v>27.783000000000001</v>
      </c>
      <c r="B273" s="1">
        <v>2.3079999999999998</v>
      </c>
      <c r="C273" s="4">
        <f>Tabela8[[#This Row],[Alongamento (mm/mm)]]/$I$2</f>
        <v>4.616E-2</v>
      </c>
      <c r="D273" s="1">
        <v>148.16</v>
      </c>
      <c r="E273" s="4">
        <f>Tabela8[[#This Row],[Forτa(N)]]/$I$5</f>
        <v>3441371.7173875682</v>
      </c>
      <c r="F273" s="4">
        <f>Tabela8[[#This Row],[Tensão (Pa)]]/1000000</f>
        <v>3.4413717173875682</v>
      </c>
    </row>
    <row r="274" spans="1:6" x14ac:dyDescent="0.3">
      <c r="A274" s="1">
        <v>27.832999999999998</v>
      </c>
      <c r="B274" s="1">
        <v>2.3121</v>
      </c>
      <c r="C274" s="4">
        <f>Tabela8[[#This Row],[Alongamento (mm/mm)]]/$I$2</f>
        <v>4.6241999999999998E-2</v>
      </c>
      <c r="D274" s="1">
        <v>149.18</v>
      </c>
      <c r="E274" s="4">
        <f>Tabela8[[#This Row],[Forτa(N)]]/$I$5</f>
        <v>3465063.6663058684</v>
      </c>
      <c r="F274" s="4">
        <f>Tabela8[[#This Row],[Tensão (Pa)]]/1000000</f>
        <v>3.4650636663058685</v>
      </c>
    </row>
    <row r="275" spans="1:6" x14ac:dyDescent="0.3">
      <c r="A275" s="1">
        <v>27.9</v>
      </c>
      <c r="B275" s="1">
        <v>2.3176999999999999</v>
      </c>
      <c r="C275" s="4">
        <f>Tabela8[[#This Row],[Alongamento (mm/mm)]]/$I$2</f>
        <v>4.6353999999999999E-2</v>
      </c>
      <c r="D275" s="1">
        <v>150.37</v>
      </c>
      <c r="E275" s="4">
        <f>Tabela8[[#This Row],[Forτa(N)]]/$I$5</f>
        <v>3492704.2733772183</v>
      </c>
      <c r="F275" s="4">
        <f>Tabela8[[#This Row],[Tensão (Pa)]]/1000000</f>
        <v>3.4927042733772184</v>
      </c>
    </row>
    <row r="276" spans="1:6" x14ac:dyDescent="0.3">
      <c r="A276" s="1">
        <v>27.95</v>
      </c>
      <c r="B276" s="1">
        <v>2.3218999999999999</v>
      </c>
      <c r="C276" s="4">
        <f>Tabela8[[#This Row],[Alongamento (mm/mm)]]/$I$2</f>
        <v>4.6438E-2</v>
      </c>
      <c r="D276" s="1">
        <v>151.38999999999999</v>
      </c>
      <c r="E276" s="4">
        <f>Tabela8[[#This Row],[Forτa(N)]]/$I$5</f>
        <v>3516396.2222955176</v>
      </c>
      <c r="F276" s="4">
        <f>Tabela8[[#This Row],[Tensão (Pa)]]/1000000</f>
        <v>3.5163962222955174</v>
      </c>
    </row>
    <row r="277" spans="1:6" x14ac:dyDescent="0.3">
      <c r="A277" s="1">
        <v>28</v>
      </c>
      <c r="B277" s="1">
        <v>2.3260999999999998</v>
      </c>
      <c r="C277" s="4">
        <f>Tabela8[[#This Row],[Alongamento (mm/mm)]]/$I$2</f>
        <v>4.6521999999999994E-2</v>
      </c>
      <c r="D277" s="1">
        <v>152.41</v>
      </c>
      <c r="E277" s="4">
        <f>Tabela8[[#This Row],[Forτa(N)]]/$I$5</f>
        <v>3540088.1712138178</v>
      </c>
      <c r="F277" s="4">
        <f>Tabela8[[#This Row],[Tensão (Pa)]]/1000000</f>
        <v>3.5400881712138177</v>
      </c>
    </row>
    <row r="278" spans="1:6" x14ac:dyDescent="0.3">
      <c r="A278" s="1">
        <v>28.05</v>
      </c>
      <c r="B278" s="1">
        <v>2.3302999999999998</v>
      </c>
      <c r="C278" s="4">
        <f>Tabela8[[#This Row],[Alongamento (mm/mm)]]/$I$2</f>
        <v>4.6605999999999995E-2</v>
      </c>
      <c r="D278" s="1">
        <v>153.43</v>
      </c>
      <c r="E278" s="4">
        <f>Tabela8[[#This Row],[Forτa(N)]]/$I$5</f>
        <v>3563780.120132118</v>
      </c>
      <c r="F278" s="4">
        <f>Tabela8[[#This Row],[Tensão (Pa)]]/1000000</f>
        <v>3.563780120132118</v>
      </c>
    </row>
    <row r="279" spans="1:6" x14ac:dyDescent="0.3">
      <c r="A279" s="1">
        <v>28.117000000000001</v>
      </c>
      <c r="B279" s="1">
        <v>2.3357999999999999</v>
      </c>
      <c r="C279" s="4">
        <f>Tabela8[[#This Row],[Alongamento (mm/mm)]]/$I$2</f>
        <v>4.6716000000000001E-2</v>
      </c>
      <c r="D279" s="1">
        <v>154.62</v>
      </c>
      <c r="E279" s="4">
        <f>Tabela8[[#This Row],[Forτa(N)]]/$I$5</f>
        <v>3591420.7272034679</v>
      </c>
      <c r="F279" s="4">
        <f>Tabela8[[#This Row],[Tensão (Pa)]]/1000000</f>
        <v>3.5914207272034679</v>
      </c>
    </row>
    <row r="280" spans="1:6" x14ac:dyDescent="0.3">
      <c r="A280" s="1">
        <v>28.167000000000002</v>
      </c>
      <c r="B280" s="1">
        <v>2.3399000000000001</v>
      </c>
      <c r="C280" s="4">
        <f>Tabela8[[#This Row],[Alongamento (mm/mm)]]/$I$2</f>
        <v>4.6797999999999999E-2</v>
      </c>
      <c r="D280" s="1">
        <v>155.63999999999999</v>
      </c>
      <c r="E280" s="4">
        <f>Tabela8[[#This Row],[Forτa(N)]]/$I$5</f>
        <v>3615112.6761217676</v>
      </c>
      <c r="F280" s="4">
        <f>Tabela8[[#This Row],[Tensão (Pa)]]/1000000</f>
        <v>3.6151126761217678</v>
      </c>
    </row>
    <row r="281" spans="1:6" x14ac:dyDescent="0.3">
      <c r="A281" s="1">
        <v>28.216999999999999</v>
      </c>
      <c r="B281" s="1">
        <v>2.3441000000000001</v>
      </c>
      <c r="C281" s="4">
        <f>Tabela8[[#This Row],[Alongamento (mm/mm)]]/$I$2</f>
        <v>4.6882E-2</v>
      </c>
      <c r="D281" s="1">
        <v>156.66</v>
      </c>
      <c r="E281" s="4">
        <f>Tabela8[[#This Row],[Forτa(N)]]/$I$5</f>
        <v>3638804.6250400678</v>
      </c>
      <c r="F281" s="4">
        <f>Tabela8[[#This Row],[Tensão (Pa)]]/1000000</f>
        <v>3.6388046250400676</v>
      </c>
    </row>
    <row r="282" spans="1:6" x14ac:dyDescent="0.3">
      <c r="A282" s="1">
        <v>28.266999999999999</v>
      </c>
      <c r="B282" s="1">
        <v>2.3481999999999998</v>
      </c>
      <c r="C282" s="4">
        <f>Tabela8[[#This Row],[Alongamento (mm/mm)]]/$I$2</f>
        <v>4.6963999999999999E-2</v>
      </c>
      <c r="D282" s="1">
        <v>157.68</v>
      </c>
      <c r="E282" s="4">
        <f>Tabela8[[#This Row],[Forτa(N)]]/$I$5</f>
        <v>3662496.5739583676</v>
      </c>
      <c r="F282" s="4">
        <f>Tabela8[[#This Row],[Tensão (Pa)]]/1000000</f>
        <v>3.6624965739583675</v>
      </c>
    </row>
    <row r="283" spans="1:6" x14ac:dyDescent="0.3">
      <c r="A283" s="1">
        <v>28.317</v>
      </c>
      <c r="B283" s="1">
        <v>2.3523999999999998</v>
      </c>
      <c r="C283" s="4">
        <f>Tabela8[[#This Row],[Alongamento (mm/mm)]]/$I$2</f>
        <v>4.7048E-2</v>
      </c>
      <c r="D283" s="1">
        <v>158.87</v>
      </c>
      <c r="E283" s="4">
        <f>Tabela8[[#This Row],[Forτa(N)]]/$I$5</f>
        <v>3690137.1810297174</v>
      </c>
      <c r="F283" s="4">
        <f>Tabela8[[#This Row],[Tensão (Pa)]]/1000000</f>
        <v>3.6901371810297174</v>
      </c>
    </row>
    <row r="284" spans="1:6" x14ac:dyDescent="0.3">
      <c r="A284" s="1">
        <v>28.367000000000001</v>
      </c>
      <c r="B284" s="1">
        <v>2.3565999999999998</v>
      </c>
      <c r="C284" s="4">
        <f>Tabela8[[#This Row],[Alongamento (mm/mm)]]/$I$2</f>
        <v>4.7131999999999993E-2</v>
      </c>
      <c r="D284" s="1">
        <v>159.88999999999999</v>
      </c>
      <c r="E284" s="4">
        <f>Tabela8[[#This Row],[Forτa(N)]]/$I$5</f>
        <v>3713829.1299480172</v>
      </c>
      <c r="F284" s="4">
        <f>Tabela8[[#This Row],[Tensão (Pa)]]/1000000</f>
        <v>3.7138291299480173</v>
      </c>
    </row>
    <row r="285" spans="1:6" x14ac:dyDescent="0.3">
      <c r="A285" s="1">
        <v>28.417000000000002</v>
      </c>
      <c r="B285" s="1">
        <v>2.3607999999999998</v>
      </c>
      <c r="C285" s="4">
        <f>Tabela8[[#This Row],[Alongamento (mm/mm)]]/$I$2</f>
        <v>4.7215999999999994E-2</v>
      </c>
      <c r="D285" s="1">
        <v>160.91</v>
      </c>
      <c r="E285" s="4">
        <f>Tabela8[[#This Row],[Forτa(N)]]/$I$5</f>
        <v>3737521.0788663174</v>
      </c>
      <c r="F285" s="4">
        <f>Tabela8[[#This Row],[Tensão (Pa)]]/1000000</f>
        <v>3.7375210788663176</v>
      </c>
    </row>
    <row r="286" spans="1:6" x14ac:dyDescent="0.3">
      <c r="A286" s="1">
        <v>28.466999999999999</v>
      </c>
      <c r="B286" s="1">
        <v>2.3650000000000002</v>
      </c>
      <c r="C286" s="4">
        <f>Tabela8[[#This Row],[Alongamento (mm/mm)]]/$I$2</f>
        <v>4.7300000000000002E-2</v>
      </c>
      <c r="D286" s="1">
        <v>161.93</v>
      </c>
      <c r="E286" s="4">
        <f>Tabela8[[#This Row],[Forτa(N)]]/$I$5</f>
        <v>3761213.0277846176</v>
      </c>
      <c r="F286" s="4">
        <f>Tabela8[[#This Row],[Tensão (Pa)]]/1000000</f>
        <v>3.7612130277846174</v>
      </c>
    </row>
    <row r="287" spans="1:6" x14ac:dyDescent="0.3">
      <c r="A287" s="1">
        <v>28.516999999999999</v>
      </c>
      <c r="B287" s="1">
        <v>2.3692000000000002</v>
      </c>
      <c r="C287" s="4">
        <f>Tabela8[[#This Row],[Alongamento (mm/mm)]]/$I$2</f>
        <v>4.7384000000000003E-2</v>
      </c>
      <c r="D287" s="1">
        <v>162.94999999999999</v>
      </c>
      <c r="E287" s="4">
        <f>Tabela8[[#This Row],[Forτa(N)]]/$I$5</f>
        <v>3784904.9767029169</v>
      </c>
      <c r="F287" s="4">
        <f>Tabela8[[#This Row],[Tensão (Pa)]]/1000000</f>
        <v>3.7849049767029168</v>
      </c>
    </row>
    <row r="288" spans="1:6" x14ac:dyDescent="0.3">
      <c r="A288" s="1">
        <v>28.567</v>
      </c>
      <c r="B288" s="1">
        <v>2.3733</v>
      </c>
      <c r="C288" s="4">
        <f>Tabela8[[#This Row],[Alongamento (mm/mm)]]/$I$2</f>
        <v>4.7466000000000001E-2</v>
      </c>
      <c r="D288" s="1">
        <v>164.15</v>
      </c>
      <c r="E288" s="4">
        <f>Tabela8[[#This Row],[Forτa(N)]]/$I$5</f>
        <v>3812777.8577832705</v>
      </c>
      <c r="F288" s="4">
        <f>Tabela8[[#This Row],[Tensão (Pa)]]/1000000</f>
        <v>3.8127778577832707</v>
      </c>
    </row>
    <row r="289" spans="1:6" x14ac:dyDescent="0.3">
      <c r="A289" s="1">
        <v>28.617000000000001</v>
      </c>
      <c r="B289" s="1">
        <v>2.3774000000000002</v>
      </c>
      <c r="C289" s="4">
        <f>Tabela8[[#This Row],[Alongamento (mm/mm)]]/$I$2</f>
        <v>4.7548000000000007E-2</v>
      </c>
      <c r="D289" s="1">
        <v>165.17</v>
      </c>
      <c r="E289" s="4">
        <f>Tabela8[[#This Row],[Forτa(N)]]/$I$5</f>
        <v>3836469.8067015698</v>
      </c>
      <c r="F289" s="4">
        <f>Tabela8[[#This Row],[Tensão (Pa)]]/1000000</f>
        <v>3.8364698067015697</v>
      </c>
    </row>
    <row r="290" spans="1:6" x14ac:dyDescent="0.3">
      <c r="A290" s="1">
        <v>28.667000000000002</v>
      </c>
      <c r="B290" s="1">
        <v>2.3816000000000002</v>
      </c>
      <c r="C290" s="4">
        <f>Tabela8[[#This Row],[Alongamento (mm/mm)]]/$I$2</f>
        <v>4.7632000000000001E-2</v>
      </c>
      <c r="D290" s="1">
        <v>166.19</v>
      </c>
      <c r="E290" s="4">
        <f>Tabela8[[#This Row],[Forτa(N)]]/$I$5</f>
        <v>3860161.75561987</v>
      </c>
      <c r="F290" s="4">
        <f>Tabela8[[#This Row],[Tensão (Pa)]]/1000000</f>
        <v>3.86016175561987</v>
      </c>
    </row>
    <row r="291" spans="1:6" x14ac:dyDescent="0.3">
      <c r="A291" s="1">
        <v>28.716999999999999</v>
      </c>
      <c r="B291" s="1">
        <v>2.3858000000000001</v>
      </c>
      <c r="C291" s="4">
        <f>Tabela8[[#This Row],[Alongamento (mm/mm)]]/$I$2</f>
        <v>4.7716000000000001E-2</v>
      </c>
      <c r="D291" s="1">
        <v>167.21</v>
      </c>
      <c r="E291" s="4">
        <f>Tabela8[[#This Row],[Forτa(N)]]/$I$5</f>
        <v>3883853.7045381702</v>
      </c>
      <c r="F291" s="4">
        <f>Tabela8[[#This Row],[Tensão (Pa)]]/1000000</f>
        <v>3.8838537045381702</v>
      </c>
    </row>
    <row r="292" spans="1:6" x14ac:dyDescent="0.3">
      <c r="A292" s="1">
        <v>28.766999999999999</v>
      </c>
      <c r="B292" s="1">
        <v>2.3898999999999999</v>
      </c>
      <c r="C292" s="4">
        <f>Tabela8[[#This Row],[Alongamento (mm/mm)]]/$I$2</f>
        <v>4.7798E-2</v>
      </c>
      <c r="D292" s="1">
        <v>168.23</v>
      </c>
      <c r="E292" s="4">
        <f>Tabela8[[#This Row],[Forτa(N)]]/$I$5</f>
        <v>3907545.6534564695</v>
      </c>
      <c r="F292" s="4">
        <f>Tabela8[[#This Row],[Tensão (Pa)]]/1000000</f>
        <v>3.9075456534564696</v>
      </c>
    </row>
    <row r="293" spans="1:6" x14ac:dyDescent="0.3">
      <c r="A293" s="1">
        <v>28.817</v>
      </c>
      <c r="B293" s="1">
        <v>2.3940999999999999</v>
      </c>
      <c r="C293" s="4">
        <f>Tabela8[[#This Row],[Alongamento (mm/mm)]]/$I$2</f>
        <v>4.7882000000000001E-2</v>
      </c>
      <c r="D293" s="1">
        <v>169.42</v>
      </c>
      <c r="E293" s="4">
        <f>Tabela8[[#This Row],[Forτa(N)]]/$I$5</f>
        <v>3935186.2605278194</v>
      </c>
      <c r="F293" s="4">
        <f>Tabela8[[#This Row],[Tensão (Pa)]]/1000000</f>
        <v>3.9351862605278196</v>
      </c>
    </row>
    <row r="294" spans="1:6" x14ac:dyDescent="0.3">
      <c r="A294" s="1">
        <v>28.867000000000001</v>
      </c>
      <c r="B294" s="1">
        <v>2.3982999999999999</v>
      </c>
      <c r="C294" s="4">
        <f>Tabela8[[#This Row],[Alongamento (mm/mm)]]/$I$2</f>
        <v>4.7965999999999995E-2</v>
      </c>
      <c r="D294" s="1">
        <v>170.44</v>
      </c>
      <c r="E294" s="4">
        <f>Tabela8[[#This Row],[Forτa(N)]]/$I$5</f>
        <v>3958878.2094461196</v>
      </c>
      <c r="F294" s="4">
        <f>Tabela8[[#This Row],[Tensão (Pa)]]/1000000</f>
        <v>3.9588782094461195</v>
      </c>
    </row>
    <row r="295" spans="1:6" x14ac:dyDescent="0.3">
      <c r="A295" s="1">
        <v>28.917000000000002</v>
      </c>
      <c r="B295" s="1">
        <v>2.4024999999999999</v>
      </c>
      <c r="C295" s="4">
        <f>Tabela8[[#This Row],[Alongamento (mm/mm)]]/$I$2</f>
        <v>4.8049999999999995E-2</v>
      </c>
      <c r="D295" s="1">
        <v>171.46</v>
      </c>
      <c r="E295" s="4">
        <f>Tabela8[[#This Row],[Forτa(N)]]/$I$5</f>
        <v>3982570.1583644198</v>
      </c>
      <c r="F295" s="4">
        <f>Tabela8[[#This Row],[Tensão (Pa)]]/1000000</f>
        <v>3.9825701583644197</v>
      </c>
    </row>
    <row r="296" spans="1:6" x14ac:dyDescent="0.3">
      <c r="A296" s="1">
        <v>28.966999999999999</v>
      </c>
      <c r="B296" s="1">
        <v>2.4066999999999998</v>
      </c>
      <c r="C296" s="4">
        <f>Tabela8[[#This Row],[Alongamento (mm/mm)]]/$I$2</f>
        <v>4.8133999999999996E-2</v>
      </c>
      <c r="D296" s="1">
        <v>172.65</v>
      </c>
      <c r="E296" s="4">
        <f>Tabela8[[#This Row],[Forτa(N)]]/$I$5</f>
        <v>4010210.7654357697</v>
      </c>
      <c r="F296" s="4">
        <f>Tabela8[[#This Row],[Tensão (Pa)]]/1000000</f>
        <v>4.0102107654357697</v>
      </c>
    </row>
    <row r="297" spans="1:6" x14ac:dyDescent="0.3">
      <c r="A297" s="1">
        <v>29.016999999999999</v>
      </c>
      <c r="B297" s="1">
        <v>2.4108999999999998</v>
      </c>
      <c r="C297" s="4">
        <f>Tabela8[[#This Row],[Alongamento (mm/mm)]]/$I$2</f>
        <v>4.8217999999999997E-2</v>
      </c>
      <c r="D297" s="1">
        <v>173.67</v>
      </c>
      <c r="E297" s="4">
        <f>Tabela8[[#This Row],[Forτa(N)]]/$I$5</f>
        <v>4033902.7143540694</v>
      </c>
      <c r="F297" s="4">
        <f>Tabela8[[#This Row],[Tensão (Pa)]]/1000000</f>
        <v>4.0339027143540696</v>
      </c>
    </row>
    <row r="298" spans="1:6" x14ac:dyDescent="0.3">
      <c r="A298" s="1">
        <v>29.067</v>
      </c>
      <c r="B298" s="1">
        <v>2.4148999999999998</v>
      </c>
      <c r="C298" s="4">
        <f>Tabela8[[#This Row],[Alongamento (mm/mm)]]/$I$2</f>
        <v>4.8297999999999994E-2</v>
      </c>
      <c r="D298" s="1">
        <v>174.69</v>
      </c>
      <c r="E298" s="4">
        <f>Tabela8[[#This Row],[Forτa(N)]]/$I$5</f>
        <v>4057594.6632723697</v>
      </c>
      <c r="F298" s="4">
        <f>Tabela8[[#This Row],[Tensão (Pa)]]/1000000</f>
        <v>4.0575946632723694</v>
      </c>
    </row>
    <row r="299" spans="1:6" x14ac:dyDescent="0.3">
      <c r="A299" s="1">
        <v>29.132999999999999</v>
      </c>
      <c r="B299" s="1">
        <v>2.4203999999999999</v>
      </c>
      <c r="C299" s="4">
        <f>Tabela8[[#This Row],[Alongamento (mm/mm)]]/$I$2</f>
        <v>4.8408E-2</v>
      </c>
      <c r="D299" s="1">
        <v>176.22</v>
      </c>
      <c r="E299" s="4">
        <f>Tabela8[[#This Row],[Forτa(N)]]/$I$5</f>
        <v>4093132.5866498193</v>
      </c>
      <c r="F299" s="4">
        <f>Tabela8[[#This Row],[Tensão (Pa)]]/1000000</f>
        <v>4.0931325866498192</v>
      </c>
    </row>
    <row r="300" spans="1:6" x14ac:dyDescent="0.3">
      <c r="A300" s="1">
        <v>29.2</v>
      </c>
      <c r="B300" s="1">
        <v>2.4260000000000002</v>
      </c>
      <c r="C300" s="4">
        <f>Tabela8[[#This Row],[Alongamento (mm/mm)]]/$I$2</f>
        <v>4.8520000000000001E-2</v>
      </c>
      <c r="D300" s="1">
        <v>177.58</v>
      </c>
      <c r="E300" s="4">
        <f>Tabela8[[#This Row],[Forτa(N)]]/$I$5</f>
        <v>4124721.8518742197</v>
      </c>
      <c r="F300" s="4">
        <f>Tabela8[[#This Row],[Tensão (Pa)]]/1000000</f>
        <v>4.1247218518742201</v>
      </c>
    </row>
    <row r="301" spans="1:6" x14ac:dyDescent="0.3">
      <c r="A301" s="1">
        <v>29.266999999999999</v>
      </c>
      <c r="B301" s="1">
        <v>2.4316</v>
      </c>
      <c r="C301" s="4">
        <f>Tabela8[[#This Row],[Alongamento (mm/mm)]]/$I$2</f>
        <v>4.8632000000000002E-2</v>
      </c>
      <c r="D301" s="1">
        <v>178.94</v>
      </c>
      <c r="E301" s="4">
        <f>Tabela8[[#This Row],[Forτa(N)]]/$I$5</f>
        <v>4156311.1170986192</v>
      </c>
      <c r="F301" s="4">
        <f>Tabela8[[#This Row],[Tensão (Pa)]]/1000000</f>
        <v>4.1563111170986193</v>
      </c>
    </row>
    <row r="302" spans="1:6" x14ac:dyDescent="0.3">
      <c r="A302" s="1">
        <v>29.332999999999998</v>
      </c>
      <c r="B302" s="1">
        <v>2.4371999999999998</v>
      </c>
      <c r="C302" s="4">
        <f>Tabela8[[#This Row],[Alongamento (mm/mm)]]/$I$2</f>
        <v>4.8743999999999996E-2</v>
      </c>
      <c r="D302" s="1">
        <v>180.47</v>
      </c>
      <c r="E302" s="4">
        <f>Tabela8[[#This Row],[Forτa(N)]]/$I$5</f>
        <v>4191849.0404760693</v>
      </c>
      <c r="F302" s="4">
        <f>Tabela8[[#This Row],[Tensão (Pa)]]/1000000</f>
        <v>4.1918490404760691</v>
      </c>
    </row>
    <row r="303" spans="1:6" x14ac:dyDescent="0.3">
      <c r="A303" s="1">
        <v>29.4</v>
      </c>
      <c r="B303" s="1">
        <v>2.4428000000000001</v>
      </c>
      <c r="C303" s="4">
        <f>Tabela8[[#This Row],[Alongamento (mm/mm)]]/$I$2</f>
        <v>4.8856000000000004E-2</v>
      </c>
      <c r="D303" s="1">
        <v>181.84</v>
      </c>
      <c r="E303" s="4">
        <f>Tabela8[[#This Row],[Forτa(N)]]/$I$5</f>
        <v>4223670.5797094721</v>
      </c>
      <c r="F303" s="4">
        <f>Tabela8[[#This Row],[Tensão (Pa)]]/1000000</f>
        <v>4.2236705797094718</v>
      </c>
    </row>
    <row r="304" spans="1:6" x14ac:dyDescent="0.3">
      <c r="A304" s="1">
        <v>29.466999999999999</v>
      </c>
      <c r="B304" s="1">
        <v>2.4483999999999999</v>
      </c>
      <c r="C304" s="4">
        <f>Tabela8[[#This Row],[Alongamento (mm/mm)]]/$I$2</f>
        <v>4.8967999999999998E-2</v>
      </c>
      <c r="D304" s="1">
        <v>183.37</v>
      </c>
      <c r="E304" s="4">
        <f>Tabela8[[#This Row],[Forτa(N)]]/$I$5</f>
        <v>4259208.5030869218</v>
      </c>
      <c r="F304" s="4">
        <f>Tabela8[[#This Row],[Tensão (Pa)]]/1000000</f>
        <v>4.2592085030869216</v>
      </c>
    </row>
    <row r="305" spans="1:6" x14ac:dyDescent="0.3">
      <c r="A305" s="1">
        <v>29.533000000000001</v>
      </c>
      <c r="B305" s="1">
        <v>2.4538000000000002</v>
      </c>
      <c r="C305" s="4">
        <f>Tabela8[[#This Row],[Alongamento (mm/mm)]]/$I$2</f>
        <v>4.9076000000000002E-2</v>
      </c>
      <c r="D305" s="1">
        <v>184.73</v>
      </c>
      <c r="E305" s="4">
        <f>Tabela8[[#This Row],[Forτa(N)]]/$I$5</f>
        <v>4290797.7683113217</v>
      </c>
      <c r="F305" s="4">
        <f>Tabela8[[#This Row],[Tensão (Pa)]]/1000000</f>
        <v>4.2907977683113216</v>
      </c>
    </row>
    <row r="306" spans="1:6" x14ac:dyDescent="0.3">
      <c r="A306" s="1">
        <v>29.6</v>
      </c>
      <c r="B306" s="1">
        <v>2.4594</v>
      </c>
      <c r="C306" s="4">
        <f>Tabela8[[#This Row],[Alongamento (mm/mm)]]/$I$2</f>
        <v>4.9188000000000003E-2</v>
      </c>
      <c r="D306" s="1">
        <v>186.26</v>
      </c>
      <c r="E306" s="4">
        <f>Tabela8[[#This Row],[Forτa(N)]]/$I$5</f>
        <v>4326335.6916887714</v>
      </c>
      <c r="F306" s="4">
        <f>Tabela8[[#This Row],[Tensão (Pa)]]/1000000</f>
        <v>4.3263356916887714</v>
      </c>
    </row>
    <row r="307" spans="1:6" x14ac:dyDescent="0.3">
      <c r="A307" s="1">
        <v>29.667000000000002</v>
      </c>
      <c r="B307" s="1">
        <v>2.4649999999999999</v>
      </c>
      <c r="C307" s="4">
        <f>Tabela8[[#This Row],[Alongamento (mm/mm)]]/$I$2</f>
        <v>4.9299999999999997E-2</v>
      </c>
      <c r="D307" s="1">
        <v>187.79</v>
      </c>
      <c r="E307" s="4">
        <f>Tabela8[[#This Row],[Forτa(N)]]/$I$5</f>
        <v>4361873.6150662219</v>
      </c>
      <c r="F307" s="4">
        <f>Tabela8[[#This Row],[Tensão (Pa)]]/1000000</f>
        <v>4.3618736150662221</v>
      </c>
    </row>
    <row r="308" spans="1:6" x14ac:dyDescent="0.3">
      <c r="A308" s="1">
        <v>29.733000000000001</v>
      </c>
      <c r="B308" s="1">
        <v>2.4704999999999999</v>
      </c>
      <c r="C308" s="4">
        <f>Tabela8[[#This Row],[Alongamento (mm/mm)]]/$I$2</f>
        <v>4.9409999999999996E-2</v>
      </c>
      <c r="D308" s="1">
        <v>189.32</v>
      </c>
      <c r="E308" s="4">
        <f>Tabela8[[#This Row],[Forτa(N)]]/$I$5</f>
        <v>4397411.5384436715</v>
      </c>
      <c r="F308" s="4">
        <f>Tabela8[[#This Row],[Tensão (Pa)]]/1000000</f>
        <v>4.3974115384436718</v>
      </c>
    </row>
    <row r="309" spans="1:6" x14ac:dyDescent="0.3">
      <c r="A309" s="1">
        <v>29.8</v>
      </c>
      <c r="B309" s="1">
        <v>2.4761000000000002</v>
      </c>
      <c r="C309" s="4">
        <f>Tabela8[[#This Row],[Alongamento (mm/mm)]]/$I$2</f>
        <v>4.9522000000000004E-2</v>
      </c>
      <c r="D309" s="1">
        <v>190.68</v>
      </c>
      <c r="E309" s="4">
        <f>Tabela8[[#This Row],[Forτa(N)]]/$I$5</f>
        <v>4429000.8036680715</v>
      </c>
      <c r="F309" s="4">
        <f>Tabela8[[#This Row],[Tensão (Pa)]]/1000000</f>
        <v>4.4290008036680719</v>
      </c>
    </row>
    <row r="310" spans="1:6" x14ac:dyDescent="0.3">
      <c r="A310" s="1">
        <v>29.867000000000001</v>
      </c>
      <c r="B310" s="1">
        <v>2.4815999999999998</v>
      </c>
      <c r="C310" s="4">
        <f>Tabela8[[#This Row],[Alongamento (mm/mm)]]/$I$2</f>
        <v>4.9631999999999996E-2</v>
      </c>
      <c r="D310" s="1">
        <v>192.21</v>
      </c>
      <c r="E310" s="4">
        <f>Tabela8[[#This Row],[Forτa(N)]]/$I$5</f>
        <v>4464538.7270455221</v>
      </c>
      <c r="F310" s="4">
        <f>Tabela8[[#This Row],[Tensão (Pa)]]/1000000</f>
        <v>4.4645387270455217</v>
      </c>
    </row>
    <row r="311" spans="1:6" x14ac:dyDescent="0.3">
      <c r="A311" s="1">
        <v>29.933</v>
      </c>
      <c r="B311" s="1">
        <v>2.4872000000000001</v>
      </c>
      <c r="C311" s="4">
        <f>Tabela8[[#This Row],[Alongamento (mm/mm)]]/$I$2</f>
        <v>4.9744000000000003E-2</v>
      </c>
      <c r="D311" s="1">
        <v>193.74</v>
      </c>
      <c r="E311" s="4">
        <f>Tabela8[[#This Row],[Forτa(N)]]/$I$5</f>
        <v>4500076.6504229717</v>
      </c>
      <c r="F311" s="4">
        <f>Tabela8[[#This Row],[Tensão (Pa)]]/1000000</f>
        <v>4.5000766504229714</v>
      </c>
    </row>
    <row r="312" spans="1:6" x14ac:dyDescent="0.3">
      <c r="A312" s="1">
        <v>30</v>
      </c>
      <c r="B312" s="1">
        <v>2.4927000000000001</v>
      </c>
      <c r="C312" s="4">
        <f>Tabela8[[#This Row],[Alongamento (mm/mm)]]/$I$2</f>
        <v>4.9854000000000002E-2</v>
      </c>
      <c r="D312" s="1">
        <v>195.27</v>
      </c>
      <c r="E312" s="4">
        <f>Tabela8[[#This Row],[Forτa(N)]]/$I$5</f>
        <v>4535614.5738004213</v>
      </c>
      <c r="F312" s="4">
        <f>Tabela8[[#This Row],[Tensão (Pa)]]/1000000</f>
        <v>4.5356145738004212</v>
      </c>
    </row>
    <row r="313" spans="1:6" x14ac:dyDescent="0.3">
      <c r="A313" s="1">
        <v>30.067</v>
      </c>
      <c r="B313" s="1">
        <v>2.4982000000000002</v>
      </c>
      <c r="C313" s="4">
        <f>Tabela8[[#This Row],[Alongamento (mm/mm)]]/$I$2</f>
        <v>4.9964000000000001E-2</v>
      </c>
      <c r="D313" s="1">
        <v>196.8</v>
      </c>
      <c r="E313" s="4">
        <f>Tabela8[[#This Row],[Forτa(N)]]/$I$5</f>
        <v>4571152.4971778719</v>
      </c>
      <c r="F313" s="4">
        <f>Tabela8[[#This Row],[Tensão (Pa)]]/1000000</f>
        <v>4.5711524971778719</v>
      </c>
    </row>
    <row r="314" spans="1:6" x14ac:dyDescent="0.3">
      <c r="A314" s="1">
        <v>30.132999999999999</v>
      </c>
      <c r="B314" s="1">
        <v>2.5038</v>
      </c>
      <c r="C314" s="4">
        <f>Tabela8[[#This Row],[Alongamento (mm/mm)]]/$I$2</f>
        <v>5.0076000000000002E-2</v>
      </c>
      <c r="D314" s="1">
        <v>198.34</v>
      </c>
      <c r="E314" s="4">
        <f>Tabela8[[#This Row],[Forτa(N)]]/$I$5</f>
        <v>4606922.6945643239</v>
      </c>
      <c r="F314" s="4">
        <f>Tabela8[[#This Row],[Tensão (Pa)]]/1000000</f>
        <v>4.6069226945643242</v>
      </c>
    </row>
    <row r="315" spans="1:6" x14ac:dyDescent="0.3">
      <c r="A315" s="1">
        <v>30.2</v>
      </c>
      <c r="B315" s="1">
        <v>2.5093999999999999</v>
      </c>
      <c r="C315" s="4">
        <f>Tabela8[[#This Row],[Alongamento (mm/mm)]]/$I$2</f>
        <v>5.0187999999999997E-2</v>
      </c>
      <c r="D315" s="1">
        <v>199.7</v>
      </c>
      <c r="E315" s="4">
        <f>Tabela8[[#This Row],[Forτa(N)]]/$I$5</f>
        <v>4638511.9597887238</v>
      </c>
      <c r="F315" s="4">
        <f>Tabela8[[#This Row],[Tensão (Pa)]]/1000000</f>
        <v>4.6385119597887234</v>
      </c>
    </row>
    <row r="316" spans="1:6" x14ac:dyDescent="0.3">
      <c r="A316" s="1">
        <v>30.266999999999999</v>
      </c>
      <c r="B316" s="1">
        <v>2.5150000000000001</v>
      </c>
      <c r="C316" s="4">
        <f>Tabela8[[#This Row],[Alongamento (mm/mm)]]/$I$2</f>
        <v>5.0300000000000004E-2</v>
      </c>
      <c r="D316" s="1">
        <v>201.23</v>
      </c>
      <c r="E316" s="4">
        <f>Tabela8[[#This Row],[Forτa(N)]]/$I$5</f>
        <v>4674049.8831661735</v>
      </c>
      <c r="F316" s="4">
        <f>Tabela8[[#This Row],[Tensão (Pa)]]/1000000</f>
        <v>4.6740498831661732</v>
      </c>
    </row>
    <row r="317" spans="1:6" x14ac:dyDescent="0.3">
      <c r="A317" s="1">
        <v>30.332999999999998</v>
      </c>
      <c r="B317" s="1">
        <v>2.5205000000000002</v>
      </c>
      <c r="C317" s="4">
        <f>Tabela8[[#This Row],[Alongamento (mm/mm)]]/$I$2</f>
        <v>5.0410000000000003E-2</v>
      </c>
      <c r="D317" s="1">
        <v>202.76</v>
      </c>
      <c r="E317" s="4">
        <f>Tabela8[[#This Row],[Forτa(N)]]/$I$5</f>
        <v>4709587.806543624</v>
      </c>
      <c r="F317" s="4">
        <f>Tabela8[[#This Row],[Tensão (Pa)]]/1000000</f>
        <v>4.7095878065436239</v>
      </c>
    </row>
    <row r="318" spans="1:6" x14ac:dyDescent="0.3">
      <c r="A318" s="1">
        <v>30.4</v>
      </c>
      <c r="B318" s="1">
        <v>2.5261</v>
      </c>
      <c r="C318" s="4">
        <f>Tabela8[[#This Row],[Alongamento (mm/mm)]]/$I$2</f>
        <v>5.0521999999999997E-2</v>
      </c>
      <c r="D318" s="1">
        <v>204.29</v>
      </c>
      <c r="E318" s="4">
        <f>Tabela8[[#This Row],[Forτa(N)]]/$I$5</f>
        <v>4745125.7299210737</v>
      </c>
      <c r="F318" s="4">
        <f>Tabela8[[#This Row],[Tensão (Pa)]]/1000000</f>
        <v>4.7451257299210736</v>
      </c>
    </row>
    <row r="319" spans="1:6" x14ac:dyDescent="0.3">
      <c r="A319" s="1">
        <v>30.466999999999999</v>
      </c>
      <c r="B319" s="1">
        <v>2.5316000000000001</v>
      </c>
      <c r="C319" s="4">
        <f>Tabela8[[#This Row],[Alongamento (mm/mm)]]/$I$2</f>
        <v>5.0632000000000003E-2</v>
      </c>
      <c r="D319" s="1">
        <v>205.82</v>
      </c>
      <c r="E319" s="4">
        <f>Tabela8[[#This Row],[Forτa(N)]]/$I$5</f>
        <v>4780663.6532985233</v>
      </c>
      <c r="F319" s="4">
        <f>Tabela8[[#This Row],[Tensão (Pa)]]/1000000</f>
        <v>4.7806636532985234</v>
      </c>
    </row>
    <row r="320" spans="1:6" x14ac:dyDescent="0.3">
      <c r="A320" s="1">
        <v>30.533000000000001</v>
      </c>
      <c r="B320" s="1">
        <v>2.5371999999999999</v>
      </c>
      <c r="C320" s="4">
        <f>Tabela8[[#This Row],[Alongamento (mm/mm)]]/$I$2</f>
        <v>5.0743999999999997E-2</v>
      </c>
      <c r="D320" s="1">
        <v>207.35</v>
      </c>
      <c r="E320" s="4">
        <f>Tabela8[[#This Row],[Forτa(N)]]/$I$5</f>
        <v>4816201.5766759738</v>
      </c>
      <c r="F320" s="4">
        <f>Tabela8[[#This Row],[Tensão (Pa)]]/1000000</f>
        <v>4.816201576675974</v>
      </c>
    </row>
    <row r="321" spans="1:6" x14ac:dyDescent="0.3">
      <c r="A321" s="1">
        <v>30.6</v>
      </c>
      <c r="B321" s="1">
        <v>2.5427</v>
      </c>
      <c r="C321" s="4">
        <f>Tabela8[[#This Row],[Alongamento (mm/mm)]]/$I$2</f>
        <v>5.0853999999999996E-2</v>
      </c>
      <c r="D321" s="1">
        <v>208.71</v>
      </c>
      <c r="E321" s="4">
        <f>Tabela8[[#This Row],[Forτa(N)]]/$I$5</f>
        <v>4847790.8419003738</v>
      </c>
      <c r="F321" s="4">
        <f>Tabela8[[#This Row],[Tensão (Pa)]]/1000000</f>
        <v>4.8477908419003741</v>
      </c>
    </row>
    <row r="322" spans="1:6" x14ac:dyDescent="0.3">
      <c r="A322" s="1">
        <v>30.667000000000002</v>
      </c>
      <c r="B322" s="1">
        <v>2.5482999999999998</v>
      </c>
      <c r="C322" s="4">
        <f>Tabela8[[#This Row],[Alongamento (mm/mm)]]/$I$2</f>
        <v>5.0965999999999997E-2</v>
      </c>
      <c r="D322" s="1">
        <v>210.41</v>
      </c>
      <c r="E322" s="4">
        <f>Tabela8[[#This Row],[Forτa(N)]]/$I$5</f>
        <v>4887277.4234308731</v>
      </c>
      <c r="F322" s="4">
        <f>Tabela8[[#This Row],[Tensão (Pa)]]/1000000</f>
        <v>4.8872774234308727</v>
      </c>
    </row>
    <row r="323" spans="1:6" x14ac:dyDescent="0.3">
      <c r="A323" s="1">
        <v>30.733000000000001</v>
      </c>
      <c r="B323" s="1">
        <v>2.5539000000000001</v>
      </c>
      <c r="C323" s="4">
        <f>Tabela8[[#This Row],[Alongamento (mm/mm)]]/$I$2</f>
        <v>5.1077999999999998E-2</v>
      </c>
      <c r="D323" s="1">
        <v>211.94</v>
      </c>
      <c r="E323" s="4">
        <f>Tabela8[[#This Row],[Forτa(N)]]/$I$5</f>
        <v>4922815.3468083236</v>
      </c>
      <c r="F323" s="4">
        <f>Tabela8[[#This Row],[Tensão (Pa)]]/1000000</f>
        <v>4.9228153468083233</v>
      </c>
    </row>
    <row r="324" spans="1:6" x14ac:dyDescent="0.3">
      <c r="A324" s="1">
        <v>30.8</v>
      </c>
      <c r="B324" s="1">
        <v>2.5594000000000001</v>
      </c>
      <c r="C324" s="4">
        <f>Tabela8[[#This Row],[Alongamento (mm/mm)]]/$I$2</f>
        <v>5.1188000000000004E-2</v>
      </c>
      <c r="D324" s="1">
        <v>213.47</v>
      </c>
      <c r="E324" s="4">
        <f>Tabela8[[#This Row],[Forτa(N)]]/$I$5</f>
        <v>4958353.2701857733</v>
      </c>
      <c r="F324" s="4">
        <f>Tabela8[[#This Row],[Tensão (Pa)]]/1000000</f>
        <v>4.9583532701857731</v>
      </c>
    </row>
    <row r="325" spans="1:6" x14ac:dyDescent="0.3">
      <c r="A325" s="1">
        <v>30.867000000000001</v>
      </c>
      <c r="B325" s="1">
        <v>2.5649999999999999</v>
      </c>
      <c r="C325" s="4">
        <f>Tabela8[[#This Row],[Alongamento (mm/mm)]]/$I$2</f>
        <v>5.1299999999999998E-2</v>
      </c>
      <c r="D325" s="1">
        <v>215</v>
      </c>
      <c r="E325" s="4">
        <f>Tabela8[[#This Row],[Forτa(N)]]/$I$5</f>
        <v>4993891.1935632229</v>
      </c>
      <c r="F325" s="4">
        <f>Tabela8[[#This Row],[Tensão (Pa)]]/1000000</f>
        <v>4.9938911935632229</v>
      </c>
    </row>
    <row r="326" spans="1:6" x14ac:dyDescent="0.3">
      <c r="A326" s="1">
        <v>30.933</v>
      </c>
      <c r="B326" s="1">
        <v>2.5703999999999998</v>
      </c>
      <c r="C326" s="4">
        <f>Tabela8[[#This Row],[Alongamento (mm/mm)]]/$I$2</f>
        <v>5.1407999999999995E-2</v>
      </c>
      <c r="D326" s="1">
        <v>216.54</v>
      </c>
      <c r="E326" s="4">
        <f>Tabela8[[#This Row],[Forτa(N)]]/$I$5</f>
        <v>5029661.3909496758</v>
      </c>
      <c r="F326" s="4">
        <f>Tabela8[[#This Row],[Tensão (Pa)]]/1000000</f>
        <v>5.0296613909496761</v>
      </c>
    </row>
    <row r="327" spans="1:6" x14ac:dyDescent="0.3">
      <c r="A327" s="1">
        <v>31</v>
      </c>
      <c r="B327" s="1">
        <v>2.5760000000000001</v>
      </c>
      <c r="C327" s="4">
        <f>Tabela8[[#This Row],[Alongamento (mm/mm)]]/$I$2</f>
        <v>5.1520000000000003E-2</v>
      </c>
      <c r="D327" s="1">
        <v>218.07</v>
      </c>
      <c r="E327" s="4">
        <f>Tabela8[[#This Row],[Forτa(N)]]/$I$5</f>
        <v>5065199.3143271254</v>
      </c>
      <c r="F327" s="4">
        <f>Tabela8[[#This Row],[Tensão (Pa)]]/1000000</f>
        <v>5.065199314327125</v>
      </c>
    </row>
    <row r="328" spans="1:6" x14ac:dyDescent="0.3">
      <c r="A328" s="1">
        <v>31.067</v>
      </c>
      <c r="B328" s="1">
        <v>2.5815999999999999</v>
      </c>
      <c r="C328" s="4">
        <f>Tabela8[[#This Row],[Alongamento (mm/mm)]]/$I$2</f>
        <v>5.1631999999999997E-2</v>
      </c>
      <c r="D328" s="1">
        <v>219.77</v>
      </c>
      <c r="E328" s="4">
        <f>Tabela8[[#This Row],[Forτa(N)]]/$I$5</f>
        <v>5104685.8958576266</v>
      </c>
      <c r="F328" s="4">
        <f>Tabela8[[#This Row],[Tensão (Pa)]]/1000000</f>
        <v>5.1046858958576262</v>
      </c>
    </row>
    <row r="329" spans="1:6" x14ac:dyDescent="0.3">
      <c r="A329" s="1">
        <v>31.15</v>
      </c>
      <c r="B329" s="1">
        <v>2.5886</v>
      </c>
      <c r="C329" s="4">
        <f>Tabela8[[#This Row],[Alongamento (mm/mm)]]/$I$2</f>
        <v>5.1771999999999999E-2</v>
      </c>
      <c r="D329" s="1">
        <v>221.64</v>
      </c>
      <c r="E329" s="4">
        <f>Tabela8[[#This Row],[Forτa(N)]]/$I$5</f>
        <v>5148121.1355411755</v>
      </c>
      <c r="F329" s="4">
        <f>Tabela8[[#This Row],[Tensão (Pa)]]/1000000</f>
        <v>5.1481211355411753</v>
      </c>
    </row>
    <row r="330" spans="1:6" x14ac:dyDescent="0.3">
      <c r="A330" s="1">
        <v>31.216999999999999</v>
      </c>
      <c r="B330" s="1">
        <v>2.5941999999999998</v>
      </c>
      <c r="C330" s="4">
        <f>Tabela8[[#This Row],[Alongamento (mm/mm)]]/$I$2</f>
        <v>5.1884E-2</v>
      </c>
      <c r="D330" s="1">
        <v>223.34</v>
      </c>
      <c r="E330" s="4">
        <f>Tabela8[[#This Row],[Forτa(N)]]/$I$5</f>
        <v>5187607.7170716757</v>
      </c>
      <c r="F330" s="4">
        <f>Tabela8[[#This Row],[Tensão (Pa)]]/1000000</f>
        <v>5.1876077170716757</v>
      </c>
    </row>
    <row r="331" spans="1:6" x14ac:dyDescent="0.3">
      <c r="A331" s="1">
        <v>31.3</v>
      </c>
      <c r="B331" s="1">
        <v>2.6011000000000002</v>
      </c>
      <c r="C331" s="4">
        <f>Tabela8[[#This Row],[Alongamento (mm/mm)]]/$I$2</f>
        <v>5.2022000000000006E-2</v>
      </c>
      <c r="D331" s="1">
        <v>225.38</v>
      </c>
      <c r="E331" s="4">
        <f>Tabela8[[#This Row],[Forτa(N)]]/$I$5</f>
        <v>5234991.6149082752</v>
      </c>
      <c r="F331" s="4">
        <f>Tabela8[[#This Row],[Tensão (Pa)]]/1000000</f>
        <v>5.2349916149082754</v>
      </c>
    </row>
    <row r="332" spans="1:6" x14ac:dyDescent="0.3">
      <c r="A332" s="1">
        <v>31.382999999999999</v>
      </c>
      <c r="B332" s="1">
        <v>2.6080000000000001</v>
      </c>
      <c r="C332" s="4">
        <f>Tabela8[[#This Row],[Alongamento (mm/mm)]]/$I$2</f>
        <v>5.2160000000000005E-2</v>
      </c>
      <c r="D332" s="1">
        <v>227.25</v>
      </c>
      <c r="E332" s="4">
        <f>Tabela8[[#This Row],[Forτa(N)]]/$I$5</f>
        <v>5278426.854591825</v>
      </c>
      <c r="F332" s="4">
        <f>Tabela8[[#This Row],[Tensão (Pa)]]/1000000</f>
        <v>5.2784268545918254</v>
      </c>
    </row>
    <row r="333" spans="1:6" x14ac:dyDescent="0.3">
      <c r="A333" s="1">
        <v>31.45</v>
      </c>
      <c r="B333" s="1">
        <v>2.6135000000000002</v>
      </c>
      <c r="C333" s="4">
        <f>Tabela8[[#This Row],[Alongamento (mm/mm)]]/$I$2</f>
        <v>5.2270000000000004E-2</v>
      </c>
      <c r="D333" s="1">
        <v>228.95</v>
      </c>
      <c r="E333" s="4">
        <f>Tabela8[[#This Row],[Forτa(N)]]/$I$5</f>
        <v>5317913.4361223252</v>
      </c>
      <c r="F333" s="4">
        <f>Tabela8[[#This Row],[Tensão (Pa)]]/1000000</f>
        <v>5.3179134361223248</v>
      </c>
    </row>
    <row r="334" spans="1:6" x14ac:dyDescent="0.3">
      <c r="A334" s="1">
        <v>31.533000000000001</v>
      </c>
      <c r="B334" s="1">
        <v>2.6204999999999998</v>
      </c>
      <c r="C334" s="4">
        <f>Tabela8[[#This Row],[Alongamento (mm/mm)]]/$I$2</f>
        <v>5.2409999999999998E-2</v>
      </c>
      <c r="D334" s="1">
        <v>230.99</v>
      </c>
      <c r="E334" s="4">
        <f>Tabela8[[#This Row],[Forτa(N)]]/$I$5</f>
        <v>5365297.3339589257</v>
      </c>
      <c r="F334" s="4">
        <f>Tabela8[[#This Row],[Tensão (Pa)]]/1000000</f>
        <v>5.3652973339589254</v>
      </c>
    </row>
    <row r="335" spans="1:6" x14ac:dyDescent="0.3">
      <c r="A335" s="1">
        <v>31.617000000000001</v>
      </c>
      <c r="B335" s="1">
        <v>2.6274000000000002</v>
      </c>
      <c r="C335" s="4">
        <f>Tabela8[[#This Row],[Alongamento (mm/mm)]]/$I$2</f>
        <v>5.2548000000000004E-2</v>
      </c>
      <c r="D335" s="1">
        <v>233.04</v>
      </c>
      <c r="E335" s="4">
        <f>Tabela8[[#This Row],[Forτa(N)]]/$I$5</f>
        <v>5412913.5058045276</v>
      </c>
      <c r="F335" s="4">
        <f>Tabela8[[#This Row],[Tensão (Pa)]]/1000000</f>
        <v>5.4129135058045277</v>
      </c>
    </row>
    <row r="336" spans="1:6" x14ac:dyDescent="0.3">
      <c r="A336" s="1">
        <v>31.7</v>
      </c>
      <c r="B336" s="1">
        <v>2.6345000000000001</v>
      </c>
      <c r="C336" s="4">
        <f>Tabela8[[#This Row],[Alongamento (mm/mm)]]/$I$2</f>
        <v>5.2690000000000001E-2</v>
      </c>
      <c r="D336" s="1">
        <v>235.08</v>
      </c>
      <c r="E336" s="4">
        <f>Tabela8[[#This Row],[Forτa(N)]]/$I$5</f>
        <v>5460297.403641128</v>
      </c>
      <c r="F336" s="4">
        <f>Tabela8[[#This Row],[Tensão (Pa)]]/1000000</f>
        <v>5.4602974036411283</v>
      </c>
    </row>
    <row r="337" spans="1:6" x14ac:dyDescent="0.3">
      <c r="A337" s="1">
        <v>31.783000000000001</v>
      </c>
      <c r="B337" s="1">
        <v>2.6414</v>
      </c>
      <c r="C337" s="4">
        <f>Tabela8[[#This Row],[Alongamento (mm/mm)]]/$I$2</f>
        <v>5.2828E-2</v>
      </c>
      <c r="D337" s="1">
        <v>237.12</v>
      </c>
      <c r="E337" s="4">
        <f>Tabela8[[#This Row],[Forτa(N)]]/$I$5</f>
        <v>5507681.3014777284</v>
      </c>
      <c r="F337" s="4">
        <f>Tabela8[[#This Row],[Tensão (Pa)]]/1000000</f>
        <v>5.5076813014777288</v>
      </c>
    </row>
    <row r="338" spans="1:6" x14ac:dyDescent="0.3">
      <c r="A338" s="1">
        <v>31.867000000000001</v>
      </c>
      <c r="B338" s="1">
        <v>2.6482000000000001</v>
      </c>
      <c r="C338" s="4">
        <f>Tabela8[[#This Row],[Alongamento (mm/mm)]]/$I$2</f>
        <v>5.2964000000000004E-2</v>
      </c>
      <c r="D338" s="1">
        <v>239.16</v>
      </c>
      <c r="E338" s="4">
        <f>Tabela8[[#This Row],[Forτa(N)]]/$I$5</f>
        <v>5555065.1993143279</v>
      </c>
      <c r="F338" s="4">
        <f>Tabela8[[#This Row],[Tensão (Pa)]]/1000000</f>
        <v>5.5550651993143276</v>
      </c>
    </row>
    <row r="339" spans="1:6" x14ac:dyDescent="0.3">
      <c r="A339" s="1">
        <v>31.933</v>
      </c>
      <c r="B339" s="1">
        <v>2.6537999999999999</v>
      </c>
      <c r="C339" s="4">
        <f>Tabela8[[#This Row],[Alongamento (mm/mm)]]/$I$2</f>
        <v>5.3075999999999998E-2</v>
      </c>
      <c r="D339" s="1">
        <v>240.86</v>
      </c>
      <c r="E339" s="4">
        <f>Tabela8[[#This Row],[Forτa(N)]]/$I$5</f>
        <v>5594551.7808448281</v>
      </c>
      <c r="F339" s="4">
        <f>Tabela8[[#This Row],[Tensão (Pa)]]/1000000</f>
        <v>5.594551780844828</v>
      </c>
    </row>
    <row r="340" spans="1:6" x14ac:dyDescent="0.3">
      <c r="A340" s="1">
        <v>32</v>
      </c>
      <c r="B340" s="1">
        <v>2.6594000000000002</v>
      </c>
      <c r="C340" s="4">
        <f>Tabela8[[#This Row],[Alongamento (mm/mm)]]/$I$2</f>
        <v>5.3188000000000006E-2</v>
      </c>
      <c r="D340" s="1">
        <v>242.56</v>
      </c>
      <c r="E340" s="4">
        <f>Tabela8[[#This Row],[Forτa(N)]]/$I$5</f>
        <v>5634038.3623753274</v>
      </c>
      <c r="F340" s="4">
        <f>Tabela8[[#This Row],[Tensão (Pa)]]/1000000</f>
        <v>5.6340383623753274</v>
      </c>
    </row>
    <row r="341" spans="1:6" x14ac:dyDescent="0.3">
      <c r="A341" s="1">
        <v>32.082999999999998</v>
      </c>
      <c r="B341" s="1">
        <v>2.6663999999999999</v>
      </c>
      <c r="C341" s="4">
        <f>Tabela8[[#This Row],[Alongamento (mm/mm)]]/$I$2</f>
        <v>5.3328E-2</v>
      </c>
      <c r="D341" s="1">
        <v>244.6</v>
      </c>
      <c r="E341" s="4">
        <f>Tabela8[[#This Row],[Forτa(N)]]/$I$5</f>
        <v>5681422.2602119269</v>
      </c>
      <c r="F341" s="4">
        <f>Tabela8[[#This Row],[Tensão (Pa)]]/1000000</f>
        <v>5.6814222602119271</v>
      </c>
    </row>
    <row r="342" spans="1:6" x14ac:dyDescent="0.3">
      <c r="A342" s="1">
        <v>32.15</v>
      </c>
      <c r="B342" s="1">
        <v>2.6720000000000002</v>
      </c>
      <c r="C342" s="4">
        <f>Tabela8[[#This Row],[Alongamento (mm/mm)]]/$I$2</f>
        <v>5.3440000000000001E-2</v>
      </c>
      <c r="D342" s="1">
        <v>246.3</v>
      </c>
      <c r="E342" s="4">
        <f>Tabela8[[#This Row],[Forτa(N)]]/$I$5</f>
        <v>5720908.841742428</v>
      </c>
      <c r="F342" s="4">
        <f>Tabela8[[#This Row],[Tensão (Pa)]]/1000000</f>
        <v>5.7209088417424283</v>
      </c>
    </row>
    <row r="343" spans="1:6" x14ac:dyDescent="0.3">
      <c r="A343" s="1">
        <v>32.216999999999999</v>
      </c>
      <c r="B343" s="1">
        <v>2.6775000000000002</v>
      </c>
      <c r="C343" s="4">
        <f>Tabela8[[#This Row],[Alongamento (mm/mm)]]/$I$2</f>
        <v>5.3550000000000007E-2</v>
      </c>
      <c r="D343" s="1">
        <v>248</v>
      </c>
      <c r="E343" s="4">
        <f>Tabela8[[#This Row],[Forτa(N)]]/$I$5</f>
        <v>5760395.4232729273</v>
      </c>
      <c r="F343" s="4">
        <f>Tabela8[[#This Row],[Tensão (Pa)]]/1000000</f>
        <v>5.7603954232729269</v>
      </c>
    </row>
    <row r="344" spans="1:6" x14ac:dyDescent="0.3">
      <c r="A344" s="1">
        <v>32.283000000000001</v>
      </c>
      <c r="B344" s="1">
        <v>2.6829999999999998</v>
      </c>
      <c r="C344" s="4">
        <f>Tabela8[[#This Row],[Alongamento (mm/mm)]]/$I$2</f>
        <v>5.3659999999999999E-2</v>
      </c>
      <c r="D344" s="1">
        <v>249.71</v>
      </c>
      <c r="E344" s="4">
        <f>Tabela8[[#This Row],[Forτa(N)]]/$I$5</f>
        <v>5800114.2788124299</v>
      </c>
      <c r="F344" s="4">
        <f>Tabela8[[#This Row],[Tensão (Pa)]]/1000000</f>
        <v>5.8001142788124298</v>
      </c>
    </row>
    <row r="345" spans="1:6" x14ac:dyDescent="0.3">
      <c r="A345" s="1">
        <v>32.35</v>
      </c>
      <c r="B345" s="1">
        <v>2.6884999999999999</v>
      </c>
      <c r="C345" s="4">
        <f>Tabela8[[#This Row],[Alongamento (mm/mm)]]/$I$2</f>
        <v>5.3769999999999998E-2</v>
      </c>
      <c r="D345" s="1">
        <v>251.41</v>
      </c>
      <c r="E345" s="4">
        <f>Tabela8[[#This Row],[Forτa(N)]]/$I$5</f>
        <v>5839600.8603429301</v>
      </c>
      <c r="F345" s="4">
        <f>Tabela8[[#This Row],[Tensão (Pa)]]/1000000</f>
        <v>5.8396008603429301</v>
      </c>
    </row>
    <row r="346" spans="1:6" x14ac:dyDescent="0.3">
      <c r="A346" s="1">
        <v>32.417000000000002</v>
      </c>
      <c r="B346" s="1">
        <v>2.6941000000000002</v>
      </c>
      <c r="C346" s="4">
        <f>Tabela8[[#This Row],[Alongamento (mm/mm)]]/$I$2</f>
        <v>5.3882000000000006E-2</v>
      </c>
      <c r="D346" s="1">
        <v>253.11</v>
      </c>
      <c r="E346" s="4">
        <f>Tabela8[[#This Row],[Forτa(N)]]/$I$5</f>
        <v>5879087.4418734303</v>
      </c>
      <c r="F346" s="4">
        <f>Tabela8[[#This Row],[Tensão (Pa)]]/1000000</f>
        <v>5.8790874418734305</v>
      </c>
    </row>
    <row r="347" spans="1:6" x14ac:dyDescent="0.3">
      <c r="A347" s="1">
        <v>32.482999999999997</v>
      </c>
      <c r="B347" s="1">
        <v>2.6996000000000002</v>
      </c>
      <c r="C347" s="4">
        <f>Tabela8[[#This Row],[Alongamento (mm/mm)]]/$I$2</f>
        <v>5.3992000000000005E-2</v>
      </c>
      <c r="D347" s="1">
        <v>254.81</v>
      </c>
      <c r="E347" s="4">
        <f>Tabela8[[#This Row],[Forτa(N)]]/$I$5</f>
        <v>5918574.0234039295</v>
      </c>
      <c r="F347" s="4">
        <f>Tabela8[[#This Row],[Tensão (Pa)]]/1000000</f>
        <v>5.9185740234039299</v>
      </c>
    </row>
    <row r="348" spans="1:6" x14ac:dyDescent="0.3">
      <c r="A348" s="1">
        <v>32.549999999999997</v>
      </c>
      <c r="B348" s="1">
        <v>2.7052</v>
      </c>
      <c r="C348" s="4">
        <f>Tabela8[[#This Row],[Alongamento (mm/mm)]]/$I$2</f>
        <v>5.4103999999999999E-2</v>
      </c>
      <c r="D348" s="1">
        <v>256.51</v>
      </c>
      <c r="E348" s="4">
        <f>Tabela8[[#This Row],[Forτa(N)]]/$I$5</f>
        <v>5958060.6049344297</v>
      </c>
      <c r="F348" s="4">
        <f>Tabela8[[#This Row],[Tensão (Pa)]]/1000000</f>
        <v>5.9580606049344293</v>
      </c>
    </row>
    <row r="349" spans="1:6" x14ac:dyDescent="0.3">
      <c r="A349" s="1">
        <v>32.616999999999997</v>
      </c>
      <c r="B349" s="1">
        <v>2.7107999999999999</v>
      </c>
      <c r="C349" s="4">
        <f>Tabela8[[#This Row],[Alongamento (mm/mm)]]/$I$2</f>
        <v>5.4216E-2</v>
      </c>
      <c r="D349" s="1">
        <v>258.20999999999998</v>
      </c>
      <c r="E349" s="4">
        <f>Tabela8[[#This Row],[Forτa(N)]]/$I$5</f>
        <v>5997547.186464929</v>
      </c>
      <c r="F349" s="4">
        <f>Tabela8[[#This Row],[Tensão (Pa)]]/1000000</f>
        <v>5.9975471864649288</v>
      </c>
    </row>
    <row r="350" spans="1:6" x14ac:dyDescent="0.3">
      <c r="A350" s="1">
        <v>32.683</v>
      </c>
      <c r="B350" s="1">
        <v>2.7164000000000001</v>
      </c>
      <c r="C350" s="4">
        <f>Tabela8[[#This Row],[Alongamento (mm/mm)]]/$I$2</f>
        <v>5.4328000000000001E-2</v>
      </c>
      <c r="D350" s="1">
        <v>260.08</v>
      </c>
      <c r="E350" s="4">
        <f>Tabela8[[#This Row],[Forτa(N)]]/$I$5</f>
        <v>6040982.4261484789</v>
      </c>
      <c r="F350" s="4">
        <f>Tabela8[[#This Row],[Tensão (Pa)]]/1000000</f>
        <v>6.0409824261484788</v>
      </c>
    </row>
    <row r="351" spans="1:6" x14ac:dyDescent="0.3">
      <c r="A351" s="1">
        <v>32.75</v>
      </c>
      <c r="B351" s="1">
        <v>2.7219000000000002</v>
      </c>
      <c r="C351" s="4">
        <f>Tabela8[[#This Row],[Alongamento (mm/mm)]]/$I$2</f>
        <v>5.4438000000000007E-2</v>
      </c>
      <c r="D351" s="1">
        <v>261.77999999999997</v>
      </c>
      <c r="E351" s="4">
        <f>Tabela8[[#This Row],[Forτa(N)]]/$I$5</f>
        <v>6080469.0076789791</v>
      </c>
      <c r="F351" s="4">
        <f>Tabela8[[#This Row],[Tensão (Pa)]]/1000000</f>
        <v>6.0804690076789791</v>
      </c>
    </row>
    <row r="352" spans="1:6" x14ac:dyDescent="0.3">
      <c r="A352" s="1">
        <v>32.832999999999998</v>
      </c>
      <c r="B352" s="1">
        <v>2.7288000000000001</v>
      </c>
      <c r="C352" s="4">
        <f>Tabela8[[#This Row],[Alongamento (mm/mm)]]/$I$2</f>
        <v>5.4576E-2</v>
      </c>
      <c r="D352" s="1">
        <v>263.99</v>
      </c>
      <c r="E352" s="4">
        <f>Tabela8[[#This Row],[Forτa(N)]]/$I$5</f>
        <v>6131801.5636686292</v>
      </c>
      <c r="F352" s="4">
        <f>Tabela8[[#This Row],[Tensão (Pa)]]/1000000</f>
        <v>6.1318015636686294</v>
      </c>
    </row>
    <row r="353" spans="1:6" x14ac:dyDescent="0.3">
      <c r="A353" s="1">
        <v>32.917000000000002</v>
      </c>
      <c r="B353" s="1">
        <v>2.7357</v>
      </c>
      <c r="C353" s="4">
        <f>Tabela8[[#This Row],[Alongamento (mm/mm)]]/$I$2</f>
        <v>5.4713999999999999E-2</v>
      </c>
      <c r="D353" s="1">
        <v>266.02999999999997</v>
      </c>
      <c r="E353" s="4">
        <f>Tabela8[[#This Row],[Forτa(N)]]/$I$5</f>
        <v>6179185.4615052287</v>
      </c>
      <c r="F353" s="4">
        <f>Tabela8[[#This Row],[Tensão (Pa)]]/1000000</f>
        <v>6.1791854615052291</v>
      </c>
    </row>
    <row r="354" spans="1:6" x14ac:dyDescent="0.3">
      <c r="A354" s="1">
        <v>33</v>
      </c>
      <c r="B354" s="1">
        <v>2.7427999999999999</v>
      </c>
      <c r="C354" s="4">
        <f>Tabela8[[#This Row],[Alongamento (mm/mm)]]/$I$2</f>
        <v>5.4855999999999995E-2</v>
      </c>
      <c r="D354" s="1">
        <v>268.25</v>
      </c>
      <c r="E354" s="4">
        <f>Tabela8[[#This Row],[Forτa(N)]]/$I$5</f>
        <v>6230750.291503882</v>
      </c>
      <c r="F354" s="4">
        <f>Tabela8[[#This Row],[Tensão (Pa)]]/1000000</f>
        <v>6.2307502915038819</v>
      </c>
    </row>
    <row r="355" spans="1:6" x14ac:dyDescent="0.3">
      <c r="A355" s="1">
        <v>33.082999999999998</v>
      </c>
      <c r="B355" s="1">
        <v>2.7496999999999998</v>
      </c>
      <c r="C355" s="4">
        <f>Tabela8[[#This Row],[Alongamento (mm/mm)]]/$I$2</f>
        <v>5.4993999999999994E-2</v>
      </c>
      <c r="D355" s="1">
        <v>270.45999999999998</v>
      </c>
      <c r="E355" s="4">
        <f>Tabela8[[#This Row],[Forτa(N)]]/$I$5</f>
        <v>6282082.8474935312</v>
      </c>
      <c r="F355" s="4">
        <f>Tabela8[[#This Row],[Tensão (Pa)]]/1000000</f>
        <v>6.2820828474935313</v>
      </c>
    </row>
    <row r="356" spans="1:6" x14ac:dyDescent="0.3">
      <c r="A356" s="1">
        <v>33.167000000000002</v>
      </c>
      <c r="B356" s="1">
        <v>2.7566000000000002</v>
      </c>
      <c r="C356" s="4">
        <f>Tabela8[[#This Row],[Alongamento (mm/mm)]]/$I$2</f>
        <v>5.5132E-2</v>
      </c>
      <c r="D356" s="1">
        <v>272.5</v>
      </c>
      <c r="E356" s="4">
        <f>Tabela8[[#This Row],[Forτa(N)]]/$I$5</f>
        <v>6329466.7453301316</v>
      </c>
      <c r="F356" s="4">
        <f>Tabela8[[#This Row],[Tensão (Pa)]]/1000000</f>
        <v>6.3294667453301319</v>
      </c>
    </row>
    <row r="357" spans="1:6" x14ac:dyDescent="0.3">
      <c r="A357" s="1">
        <v>33.25</v>
      </c>
      <c r="B357" s="1">
        <v>2.7635999999999998</v>
      </c>
      <c r="C357" s="4">
        <f>Tabela8[[#This Row],[Alongamento (mm/mm)]]/$I$2</f>
        <v>5.5271999999999995E-2</v>
      </c>
      <c r="D357" s="1">
        <v>274.70999999999998</v>
      </c>
      <c r="E357" s="4">
        <f>Tabela8[[#This Row],[Forτa(N)]]/$I$5</f>
        <v>6380799.3013197808</v>
      </c>
      <c r="F357" s="4">
        <f>Tabela8[[#This Row],[Tensão (Pa)]]/1000000</f>
        <v>6.3807993013197803</v>
      </c>
    </row>
    <row r="358" spans="1:6" x14ac:dyDescent="0.3">
      <c r="A358" s="1">
        <v>33.332999999999998</v>
      </c>
      <c r="B358" s="1">
        <v>2.7705000000000002</v>
      </c>
      <c r="C358" s="4">
        <f>Tabela8[[#This Row],[Alongamento (mm/mm)]]/$I$2</f>
        <v>5.5410000000000001E-2</v>
      </c>
      <c r="D358" s="1">
        <v>276.92</v>
      </c>
      <c r="E358" s="4">
        <f>Tabela8[[#This Row],[Forτa(N)]]/$I$5</f>
        <v>6432131.8573094318</v>
      </c>
      <c r="F358" s="4">
        <f>Tabela8[[#This Row],[Tensão (Pa)]]/1000000</f>
        <v>6.4321318573094315</v>
      </c>
    </row>
    <row r="359" spans="1:6" x14ac:dyDescent="0.3">
      <c r="A359" s="1">
        <v>33.417000000000002</v>
      </c>
      <c r="B359" s="1">
        <v>2.7774000000000001</v>
      </c>
      <c r="C359" s="4">
        <f>Tabela8[[#This Row],[Alongamento (mm/mm)]]/$I$2</f>
        <v>5.5548E-2</v>
      </c>
      <c r="D359" s="1">
        <v>279.13</v>
      </c>
      <c r="E359" s="4">
        <f>Tabela8[[#This Row],[Forτa(N)]]/$I$5</f>
        <v>6483464.4132990809</v>
      </c>
      <c r="F359" s="4">
        <f>Tabela8[[#This Row],[Tensão (Pa)]]/1000000</f>
        <v>6.4834644132990809</v>
      </c>
    </row>
    <row r="360" spans="1:6" x14ac:dyDescent="0.3">
      <c r="A360" s="1">
        <v>33.5</v>
      </c>
      <c r="B360" s="1">
        <v>2.7845</v>
      </c>
      <c r="C360" s="4">
        <f>Tabela8[[#This Row],[Alongamento (mm/mm)]]/$I$2</f>
        <v>5.5689999999999996E-2</v>
      </c>
      <c r="D360" s="1">
        <v>281.33999999999997</v>
      </c>
      <c r="E360" s="4">
        <f>Tabela8[[#This Row],[Forτa(N)]]/$I$5</f>
        <v>6534796.969288731</v>
      </c>
      <c r="F360" s="4">
        <f>Tabela8[[#This Row],[Tensão (Pa)]]/1000000</f>
        <v>6.5347969692887311</v>
      </c>
    </row>
    <row r="361" spans="1:6" x14ac:dyDescent="0.3">
      <c r="A361" s="1">
        <v>33.582999999999998</v>
      </c>
      <c r="B361" s="1">
        <v>2.7913999999999999</v>
      </c>
      <c r="C361" s="4">
        <f>Tabela8[[#This Row],[Alongamento (mm/mm)]]/$I$2</f>
        <v>5.5827999999999996E-2</v>
      </c>
      <c r="D361" s="1">
        <v>283.38</v>
      </c>
      <c r="E361" s="4">
        <f>Tabela8[[#This Row],[Forτa(N)]]/$I$5</f>
        <v>6582180.8671253314</v>
      </c>
      <c r="F361" s="4">
        <f>Tabela8[[#This Row],[Tensão (Pa)]]/1000000</f>
        <v>6.5821808671253317</v>
      </c>
    </row>
    <row r="362" spans="1:6" x14ac:dyDescent="0.3">
      <c r="A362" s="1">
        <v>33.667000000000002</v>
      </c>
      <c r="B362" s="1">
        <v>2.7982999999999998</v>
      </c>
      <c r="C362" s="4">
        <f>Tabela8[[#This Row],[Alongamento (mm/mm)]]/$I$2</f>
        <v>5.5965999999999995E-2</v>
      </c>
      <c r="D362" s="1">
        <v>285.77</v>
      </c>
      <c r="E362" s="4">
        <f>Tabela8[[#This Row],[Forτa(N)]]/$I$5</f>
        <v>6637694.3552770335</v>
      </c>
      <c r="F362" s="4">
        <f>Tabela8[[#This Row],[Tensão (Pa)]]/1000000</f>
        <v>6.6376943552770333</v>
      </c>
    </row>
    <row r="363" spans="1:6" x14ac:dyDescent="0.3">
      <c r="A363" s="1">
        <v>33.75</v>
      </c>
      <c r="B363" s="1">
        <v>2.8052000000000001</v>
      </c>
      <c r="C363" s="4">
        <f>Tabela8[[#This Row],[Alongamento (mm/mm)]]/$I$2</f>
        <v>5.6104000000000001E-2</v>
      </c>
      <c r="D363" s="1">
        <v>287.98</v>
      </c>
      <c r="E363" s="4">
        <f>Tabela8[[#This Row],[Forτa(N)]]/$I$5</f>
        <v>6689026.9112666845</v>
      </c>
      <c r="F363" s="4">
        <f>Tabela8[[#This Row],[Tensão (Pa)]]/1000000</f>
        <v>6.6890269112666845</v>
      </c>
    </row>
    <row r="364" spans="1:6" x14ac:dyDescent="0.3">
      <c r="A364" s="1">
        <v>33.832999999999998</v>
      </c>
      <c r="B364" s="1">
        <v>2.8121999999999998</v>
      </c>
      <c r="C364" s="4">
        <f>Tabela8[[#This Row],[Alongamento (mm/mm)]]/$I$2</f>
        <v>5.6243999999999995E-2</v>
      </c>
      <c r="D364" s="1">
        <v>290.19</v>
      </c>
      <c r="E364" s="4">
        <f>Tabela8[[#This Row],[Forτa(N)]]/$I$5</f>
        <v>6740359.4672563337</v>
      </c>
      <c r="F364" s="4">
        <f>Tabela8[[#This Row],[Tensão (Pa)]]/1000000</f>
        <v>6.7403594672563338</v>
      </c>
    </row>
    <row r="365" spans="1:6" x14ac:dyDescent="0.3">
      <c r="A365" s="1">
        <v>33.917000000000002</v>
      </c>
      <c r="B365" s="1">
        <v>2.8191000000000002</v>
      </c>
      <c r="C365" s="4">
        <f>Tabela8[[#This Row],[Alongamento (mm/mm)]]/$I$2</f>
        <v>5.6382000000000002E-2</v>
      </c>
      <c r="D365" s="1">
        <v>292.39999999999998</v>
      </c>
      <c r="E365" s="4">
        <f>Tabela8[[#This Row],[Forτa(N)]]/$I$5</f>
        <v>6791692.0232459828</v>
      </c>
      <c r="F365" s="4">
        <f>Tabela8[[#This Row],[Tensão (Pa)]]/1000000</f>
        <v>6.7916920232459832</v>
      </c>
    </row>
    <row r="366" spans="1:6" x14ac:dyDescent="0.3">
      <c r="A366" s="1">
        <v>34</v>
      </c>
      <c r="B366" s="1">
        <v>2.8260999999999998</v>
      </c>
      <c r="C366" s="4">
        <f>Tabela8[[#This Row],[Alongamento (mm/mm)]]/$I$2</f>
        <v>5.6521999999999996E-2</v>
      </c>
      <c r="D366" s="1">
        <v>294.61</v>
      </c>
      <c r="E366" s="4">
        <f>Tabela8[[#This Row],[Forτa(N)]]/$I$5</f>
        <v>6843024.5792356338</v>
      </c>
      <c r="F366" s="4">
        <f>Tabela8[[#This Row],[Tensão (Pa)]]/1000000</f>
        <v>6.8430245792356335</v>
      </c>
    </row>
    <row r="367" spans="1:6" x14ac:dyDescent="0.3">
      <c r="A367" s="1">
        <v>34.082999999999998</v>
      </c>
      <c r="B367" s="1">
        <v>2.8331</v>
      </c>
      <c r="C367" s="4">
        <f>Tabela8[[#This Row],[Alongamento (mm/mm)]]/$I$2</f>
        <v>5.6661999999999997E-2</v>
      </c>
      <c r="D367" s="1">
        <v>296.99</v>
      </c>
      <c r="E367" s="4">
        <f>Tabela8[[#This Row],[Forτa(N)]]/$I$5</f>
        <v>6898305.7933783336</v>
      </c>
      <c r="F367" s="4">
        <f>Tabela8[[#This Row],[Tensão (Pa)]]/1000000</f>
        <v>6.8983057933783334</v>
      </c>
    </row>
    <row r="368" spans="1:6" x14ac:dyDescent="0.3">
      <c r="A368" s="1">
        <v>34.167000000000002</v>
      </c>
      <c r="B368" s="1">
        <v>2.8399000000000001</v>
      </c>
      <c r="C368" s="4">
        <f>Tabela8[[#This Row],[Alongamento (mm/mm)]]/$I$2</f>
        <v>5.6798000000000001E-2</v>
      </c>
      <c r="D368" s="1">
        <v>299.37</v>
      </c>
      <c r="E368" s="4">
        <f>Tabela8[[#This Row],[Forτa(N)]]/$I$5</f>
        <v>6953587.0075210333</v>
      </c>
      <c r="F368" s="4">
        <f>Tabela8[[#This Row],[Tensão (Pa)]]/1000000</f>
        <v>6.9535870075210333</v>
      </c>
    </row>
    <row r="369" spans="1:6" x14ac:dyDescent="0.3">
      <c r="A369" s="1">
        <v>34.25</v>
      </c>
      <c r="B369" s="1">
        <v>2.8469000000000002</v>
      </c>
      <c r="C369" s="4">
        <f>Tabela8[[#This Row],[Alongamento (mm/mm)]]/$I$2</f>
        <v>5.6938000000000002E-2</v>
      </c>
      <c r="D369" s="1">
        <v>301.76</v>
      </c>
      <c r="E369" s="4">
        <f>Tabela8[[#This Row],[Forτa(N)]]/$I$5</f>
        <v>7009100.4956727354</v>
      </c>
      <c r="F369" s="4">
        <f>Tabela8[[#This Row],[Tensão (Pa)]]/1000000</f>
        <v>7.009100495672735</v>
      </c>
    </row>
    <row r="370" spans="1:6" x14ac:dyDescent="0.3">
      <c r="A370" s="1">
        <v>34.332999999999998</v>
      </c>
      <c r="B370" s="1">
        <v>2.8538000000000001</v>
      </c>
      <c r="C370" s="4">
        <f>Tabela8[[#This Row],[Alongamento (mm/mm)]]/$I$2</f>
        <v>5.7076000000000002E-2</v>
      </c>
      <c r="D370" s="1">
        <v>303.97000000000003</v>
      </c>
      <c r="E370" s="4">
        <f>Tabela8[[#This Row],[Forτa(N)]]/$I$5</f>
        <v>7060433.0516623864</v>
      </c>
      <c r="F370" s="4">
        <f>Tabela8[[#This Row],[Tensão (Pa)]]/1000000</f>
        <v>7.0604330516623861</v>
      </c>
    </row>
    <row r="371" spans="1:6" x14ac:dyDescent="0.3">
      <c r="A371" s="1">
        <v>34.4</v>
      </c>
      <c r="B371" s="1">
        <v>2.8593999999999999</v>
      </c>
      <c r="C371" s="4">
        <f>Tabela8[[#This Row],[Alongamento (mm/mm)]]/$I$2</f>
        <v>5.7187999999999996E-2</v>
      </c>
      <c r="D371" s="1">
        <v>306.01</v>
      </c>
      <c r="E371" s="4">
        <f>Tabela8[[#This Row],[Forτa(N)]]/$I$5</f>
        <v>7107816.9494989859</v>
      </c>
      <c r="F371" s="4">
        <f>Tabela8[[#This Row],[Tensão (Pa)]]/1000000</f>
        <v>7.1078169494989858</v>
      </c>
    </row>
    <row r="372" spans="1:6" x14ac:dyDescent="0.3">
      <c r="A372" s="1">
        <v>34.482999999999997</v>
      </c>
      <c r="B372" s="1">
        <v>2.8664000000000001</v>
      </c>
      <c r="C372" s="4">
        <f>Tabela8[[#This Row],[Alongamento (mm/mm)]]/$I$2</f>
        <v>5.7328000000000004E-2</v>
      </c>
      <c r="D372" s="1">
        <v>308.39</v>
      </c>
      <c r="E372" s="4">
        <f>Tabela8[[#This Row],[Forτa(N)]]/$I$5</f>
        <v>7163098.1636416856</v>
      </c>
      <c r="F372" s="4">
        <f>Tabela8[[#This Row],[Tensão (Pa)]]/1000000</f>
        <v>7.1630981636416857</v>
      </c>
    </row>
    <row r="373" spans="1:6" x14ac:dyDescent="0.3">
      <c r="A373" s="1">
        <v>34.567</v>
      </c>
      <c r="B373" s="1">
        <v>2.8734000000000002</v>
      </c>
      <c r="C373" s="4">
        <f>Tabela8[[#This Row],[Alongamento (mm/mm)]]/$I$2</f>
        <v>5.7468000000000005E-2</v>
      </c>
      <c r="D373" s="1">
        <v>310.77</v>
      </c>
      <c r="E373" s="4">
        <f>Tabela8[[#This Row],[Forτa(N)]]/$I$5</f>
        <v>7218379.3777843853</v>
      </c>
      <c r="F373" s="4">
        <f>Tabela8[[#This Row],[Tensão (Pa)]]/1000000</f>
        <v>7.2183793777843857</v>
      </c>
    </row>
    <row r="374" spans="1:6" x14ac:dyDescent="0.3">
      <c r="A374" s="1">
        <v>34.65</v>
      </c>
      <c r="B374" s="1">
        <v>2.8801999999999999</v>
      </c>
      <c r="C374" s="4">
        <f>Tabela8[[#This Row],[Alongamento (mm/mm)]]/$I$2</f>
        <v>5.7603999999999995E-2</v>
      </c>
      <c r="D374" s="1">
        <v>313.14999999999998</v>
      </c>
      <c r="E374" s="4">
        <f>Tabela8[[#This Row],[Forτa(N)]]/$I$5</f>
        <v>7273660.5919270851</v>
      </c>
      <c r="F374" s="4">
        <f>Tabela8[[#This Row],[Tensão (Pa)]]/1000000</f>
        <v>7.2736605919270847</v>
      </c>
    </row>
    <row r="375" spans="1:6" x14ac:dyDescent="0.3">
      <c r="A375" s="1">
        <v>34.75</v>
      </c>
      <c r="B375" s="1">
        <v>2.8885999999999998</v>
      </c>
      <c r="C375" s="4">
        <f>Tabela8[[#This Row],[Alongamento (mm/mm)]]/$I$2</f>
        <v>5.7771999999999997E-2</v>
      </c>
      <c r="D375" s="1">
        <v>315.87</v>
      </c>
      <c r="E375" s="4">
        <f>Tabela8[[#This Row],[Forτa(N)]]/$I$5</f>
        <v>7336839.122375885</v>
      </c>
      <c r="F375" s="4">
        <f>Tabela8[[#This Row],[Tensão (Pa)]]/1000000</f>
        <v>7.3368391223758849</v>
      </c>
    </row>
    <row r="376" spans="1:6" x14ac:dyDescent="0.3">
      <c r="A376" s="1">
        <v>34.832999999999998</v>
      </c>
      <c r="B376" s="1">
        <v>2.8955000000000002</v>
      </c>
      <c r="C376" s="4">
        <f>Tabela8[[#This Row],[Alongamento (mm/mm)]]/$I$2</f>
        <v>5.7910000000000003E-2</v>
      </c>
      <c r="D376" s="1">
        <v>318.25</v>
      </c>
      <c r="E376" s="4">
        <f>Tabela8[[#This Row],[Forτa(N)]]/$I$5</f>
        <v>7392120.3365185848</v>
      </c>
      <c r="F376" s="4">
        <f>Tabela8[[#This Row],[Tensão (Pa)]]/1000000</f>
        <v>7.3921203365185848</v>
      </c>
    </row>
    <row r="377" spans="1:6" x14ac:dyDescent="0.3">
      <c r="A377" s="1">
        <v>34.917000000000002</v>
      </c>
      <c r="B377" s="1">
        <v>2.9024999999999999</v>
      </c>
      <c r="C377" s="4">
        <f>Tabela8[[#This Row],[Alongamento (mm/mm)]]/$I$2</f>
        <v>5.8049999999999997E-2</v>
      </c>
      <c r="D377" s="1">
        <v>320.64</v>
      </c>
      <c r="E377" s="4">
        <f>Tabela8[[#This Row],[Forτa(N)]]/$I$5</f>
        <v>7447633.8246702878</v>
      </c>
      <c r="F377" s="4">
        <f>Tabela8[[#This Row],[Tensão (Pa)]]/1000000</f>
        <v>7.4476338246702873</v>
      </c>
    </row>
    <row r="378" spans="1:6" x14ac:dyDescent="0.3">
      <c r="A378" s="1">
        <v>35</v>
      </c>
      <c r="B378" s="1">
        <v>2.9095</v>
      </c>
      <c r="C378" s="4">
        <f>Tabela8[[#This Row],[Alongamento (mm/mm)]]/$I$2</f>
        <v>5.8189999999999999E-2</v>
      </c>
      <c r="D378" s="1">
        <v>323.02</v>
      </c>
      <c r="E378" s="4">
        <f>Tabela8[[#This Row],[Forτa(N)]]/$I$5</f>
        <v>7502915.0388129875</v>
      </c>
      <c r="F378" s="4">
        <f>Tabela8[[#This Row],[Tensão (Pa)]]/1000000</f>
        <v>7.5029150388129873</v>
      </c>
    </row>
    <row r="379" spans="1:6" x14ac:dyDescent="0.3">
      <c r="A379" s="1">
        <v>35.082999999999998</v>
      </c>
      <c r="B379" s="1">
        <v>2.9163000000000001</v>
      </c>
      <c r="C379" s="4">
        <f>Tabela8[[#This Row],[Alongamento (mm/mm)]]/$I$2</f>
        <v>5.8326000000000003E-2</v>
      </c>
      <c r="D379" s="1">
        <v>325.39999999999998</v>
      </c>
      <c r="E379" s="4">
        <f>Tabela8[[#This Row],[Forτa(N)]]/$I$5</f>
        <v>7558196.2529556872</v>
      </c>
      <c r="F379" s="4">
        <f>Tabela8[[#This Row],[Tensão (Pa)]]/1000000</f>
        <v>7.5581962529556872</v>
      </c>
    </row>
    <row r="380" spans="1:6" x14ac:dyDescent="0.3">
      <c r="A380" s="1">
        <v>35.167000000000002</v>
      </c>
      <c r="B380" s="1">
        <v>2.9232999999999998</v>
      </c>
      <c r="C380" s="4">
        <f>Tabela8[[#This Row],[Alongamento (mm/mm)]]/$I$2</f>
        <v>5.8465999999999997E-2</v>
      </c>
      <c r="D380" s="1">
        <v>327.95</v>
      </c>
      <c r="E380" s="4">
        <f>Tabela8[[#This Row],[Forτa(N)]]/$I$5</f>
        <v>7617426.1252514375</v>
      </c>
      <c r="F380" s="4">
        <f>Tabela8[[#This Row],[Tensão (Pa)]]/1000000</f>
        <v>7.6174261252514377</v>
      </c>
    </row>
    <row r="381" spans="1:6" x14ac:dyDescent="0.3">
      <c r="A381" s="1">
        <v>35.25</v>
      </c>
      <c r="B381" s="1">
        <v>2.9302999999999999</v>
      </c>
      <c r="C381" s="4">
        <f>Tabela8[[#This Row],[Alongamento (mm/mm)]]/$I$2</f>
        <v>5.8605999999999998E-2</v>
      </c>
      <c r="D381" s="1">
        <v>330.33</v>
      </c>
      <c r="E381" s="4">
        <f>Tabela8[[#This Row],[Forτa(N)]]/$I$5</f>
        <v>7672707.3393941373</v>
      </c>
      <c r="F381" s="4">
        <f>Tabela8[[#This Row],[Tensão (Pa)]]/1000000</f>
        <v>7.6727073393941376</v>
      </c>
    </row>
    <row r="382" spans="1:6" x14ac:dyDescent="0.3">
      <c r="A382" s="1">
        <v>35.332999999999998</v>
      </c>
      <c r="B382" s="1">
        <v>2.9371999999999998</v>
      </c>
      <c r="C382" s="4">
        <f>Tabela8[[#This Row],[Alongamento (mm/mm)]]/$I$2</f>
        <v>5.8743999999999998E-2</v>
      </c>
      <c r="D382" s="1">
        <v>332.88</v>
      </c>
      <c r="E382" s="4">
        <f>Tabela8[[#This Row],[Forτa(N)]]/$I$5</f>
        <v>7731937.2116898876</v>
      </c>
      <c r="F382" s="4">
        <f>Tabela8[[#This Row],[Tensão (Pa)]]/1000000</f>
        <v>7.7319372116898872</v>
      </c>
    </row>
    <row r="383" spans="1:6" x14ac:dyDescent="0.3">
      <c r="A383" s="1">
        <v>35.417000000000002</v>
      </c>
      <c r="B383" s="1">
        <v>2.9441999999999999</v>
      </c>
      <c r="C383" s="4">
        <f>Tabela8[[#This Row],[Alongamento (mm/mm)]]/$I$2</f>
        <v>5.8883999999999999E-2</v>
      </c>
      <c r="D383" s="1">
        <v>335.43</v>
      </c>
      <c r="E383" s="4">
        <f>Tabela8[[#This Row],[Forτa(N)]]/$I$5</f>
        <v>7791167.0839856369</v>
      </c>
      <c r="F383" s="4">
        <f>Tabela8[[#This Row],[Tensão (Pa)]]/1000000</f>
        <v>7.7911670839856368</v>
      </c>
    </row>
    <row r="384" spans="1:6" x14ac:dyDescent="0.3">
      <c r="A384" s="1">
        <v>35.5</v>
      </c>
      <c r="B384" s="1">
        <v>2.9510999999999998</v>
      </c>
      <c r="C384" s="4">
        <f>Tabela8[[#This Row],[Alongamento (mm/mm)]]/$I$2</f>
        <v>5.9021999999999998E-2</v>
      </c>
      <c r="D384" s="1">
        <v>337.82</v>
      </c>
      <c r="E384" s="4">
        <f>Tabela8[[#This Row],[Forτa(N)]]/$I$5</f>
        <v>7846680.57213734</v>
      </c>
      <c r="F384" s="4">
        <f>Tabela8[[#This Row],[Tensão (Pa)]]/1000000</f>
        <v>7.8466805721373403</v>
      </c>
    </row>
    <row r="385" spans="1:6" x14ac:dyDescent="0.3">
      <c r="A385" s="1">
        <v>35.582999999999998</v>
      </c>
      <c r="B385" s="1">
        <v>2.9580000000000002</v>
      </c>
      <c r="C385" s="4">
        <f>Tabela8[[#This Row],[Alongamento (mm/mm)]]/$I$2</f>
        <v>5.9160000000000004E-2</v>
      </c>
      <c r="D385" s="1">
        <v>340.2</v>
      </c>
      <c r="E385" s="4">
        <f>Tabela8[[#This Row],[Forτa(N)]]/$I$5</f>
        <v>7901961.7862800397</v>
      </c>
      <c r="F385" s="4">
        <f>Tabela8[[#This Row],[Tensão (Pa)]]/1000000</f>
        <v>7.9019617862800393</v>
      </c>
    </row>
    <row r="386" spans="1:6" x14ac:dyDescent="0.3">
      <c r="A386" s="1">
        <v>35.667000000000002</v>
      </c>
      <c r="B386" s="1">
        <v>2.9649000000000001</v>
      </c>
      <c r="C386" s="4">
        <f>Tabela8[[#This Row],[Alongamento (mm/mm)]]/$I$2</f>
        <v>5.9298000000000003E-2</v>
      </c>
      <c r="D386" s="1">
        <v>342.75</v>
      </c>
      <c r="E386" s="4">
        <f>Tabela8[[#This Row],[Forτa(N)]]/$I$5</f>
        <v>7961191.65857579</v>
      </c>
      <c r="F386" s="4">
        <f>Tabela8[[#This Row],[Tensão (Pa)]]/1000000</f>
        <v>7.9611916585757898</v>
      </c>
    </row>
    <row r="387" spans="1:6" x14ac:dyDescent="0.3">
      <c r="A387" s="1">
        <v>35.75</v>
      </c>
      <c r="B387" s="1">
        <v>2.972</v>
      </c>
      <c r="C387" s="4">
        <f>Tabela8[[#This Row],[Alongamento (mm/mm)]]/$I$2</f>
        <v>5.944E-2</v>
      </c>
      <c r="D387" s="1">
        <v>345.13</v>
      </c>
      <c r="E387" s="4">
        <f>Tabela8[[#This Row],[Forτa(N)]]/$I$5</f>
        <v>8016472.8727184897</v>
      </c>
      <c r="F387" s="4">
        <f>Tabela8[[#This Row],[Tensão (Pa)]]/1000000</f>
        <v>8.0164728727184897</v>
      </c>
    </row>
    <row r="388" spans="1:6" x14ac:dyDescent="0.3">
      <c r="A388" s="1">
        <v>35.832999999999998</v>
      </c>
      <c r="B388" s="1">
        <v>2.9788000000000001</v>
      </c>
      <c r="C388" s="4">
        <f>Tabela8[[#This Row],[Alongamento (mm/mm)]]/$I$2</f>
        <v>5.9576000000000004E-2</v>
      </c>
      <c r="D388" s="1">
        <v>347.51</v>
      </c>
      <c r="E388" s="4">
        <f>Tabela8[[#This Row],[Forτa(N)]]/$I$5</f>
        <v>8071754.0868611895</v>
      </c>
      <c r="F388" s="4">
        <f>Tabela8[[#This Row],[Tensão (Pa)]]/1000000</f>
        <v>8.0717540868611888</v>
      </c>
    </row>
    <row r="389" spans="1:6" x14ac:dyDescent="0.3">
      <c r="A389" s="1">
        <v>35.917000000000002</v>
      </c>
      <c r="B389" s="1">
        <v>2.9857999999999998</v>
      </c>
      <c r="C389" s="4">
        <f>Tabela8[[#This Row],[Alongamento (mm/mm)]]/$I$2</f>
        <v>5.9715999999999998E-2</v>
      </c>
      <c r="D389" s="1">
        <v>349.89</v>
      </c>
      <c r="E389" s="4">
        <f>Tabela8[[#This Row],[Forτa(N)]]/$I$5</f>
        <v>8127035.3010038892</v>
      </c>
      <c r="F389" s="4">
        <f>Tabela8[[#This Row],[Tensão (Pa)]]/1000000</f>
        <v>8.1270353010038896</v>
      </c>
    </row>
    <row r="390" spans="1:6" x14ac:dyDescent="0.3">
      <c r="A390" s="1">
        <v>36.017000000000003</v>
      </c>
      <c r="B390" s="1">
        <v>2.9940000000000002</v>
      </c>
      <c r="C390" s="4">
        <f>Tabela8[[#This Row],[Alongamento (mm/mm)]]/$I$2</f>
        <v>5.9880000000000003E-2</v>
      </c>
      <c r="D390" s="1">
        <v>352.96</v>
      </c>
      <c r="E390" s="4">
        <f>Tabela8[[#This Row],[Forτa(N)]]/$I$5</f>
        <v>8198343.4217677917</v>
      </c>
      <c r="F390" s="4">
        <f>Tabela8[[#This Row],[Tensão (Pa)]]/1000000</f>
        <v>8.1983434217677917</v>
      </c>
    </row>
    <row r="391" spans="1:6" x14ac:dyDescent="0.3">
      <c r="A391" s="1">
        <v>36.116999999999997</v>
      </c>
      <c r="B391" s="1">
        <v>3.0024000000000002</v>
      </c>
      <c r="C391" s="4">
        <f>Tabela8[[#This Row],[Alongamento (mm/mm)]]/$I$2</f>
        <v>6.0048000000000004E-2</v>
      </c>
      <c r="D391" s="1">
        <v>355.85</v>
      </c>
      <c r="E391" s="4">
        <f>Tabela8[[#This Row],[Forτa(N)]]/$I$5</f>
        <v>8265470.6103696423</v>
      </c>
      <c r="F391" s="4">
        <f>Tabela8[[#This Row],[Tensão (Pa)]]/1000000</f>
        <v>8.2654706103696416</v>
      </c>
    </row>
    <row r="392" spans="1:6" x14ac:dyDescent="0.3">
      <c r="A392" s="1">
        <v>36.216999999999999</v>
      </c>
      <c r="B392" s="1">
        <v>3.0106999999999999</v>
      </c>
      <c r="C392" s="4">
        <f>Tabela8[[#This Row],[Alongamento (mm/mm)]]/$I$2</f>
        <v>6.0213999999999997E-2</v>
      </c>
      <c r="D392" s="1">
        <v>358.74</v>
      </c>
      <c r="E392" s="4">
        <f>Tabela8[[#This Row],[Forτa(N)]]/$I$5</f>
        <v>8332597.7989714919</v>
      </c>
      <c r="F392" s="4">
        <f>Tabela8[[#This Row],[Tensão (Pa)]]/1000000</f>
        <v>8.3325977989714914</v>
      </c>
    </row>
    <row r="393" spans="1:6" x14ac:dyDescent="0.3">
      <c r="A393" s="1">
        <v>36.317</v>
      </c>
      <c r="B393" s="1">
        <v>3.0190999999999999</v>
      </c>
      <c r="C393" s="4">
        <f>Tabela8[[#This Row],[Alongamento (mm/mm)]]/$I$2</f>
        <v>6.0381999999999998E-2</v>
      </c>
      <c r="D393" s="1">
        <v>361.8</v>
      </c>
      <c r="E393" s="4">
        <f>Tabela8[[#This Row],[Forτa(N)]]/$I$5</f>
        <v>8403673.645726392</v>
      </c>
      <c r="F393" s="4">
        <f>Tabela8[[#This Row],[Tensão (Pa)]]/1000000</f>
        <v>8.4036736457263927</v>
      </c>
    </row>
    <row r="394" spans="1:6" x14ac:dyDescent="0.3">
      <c r="A394" s="1">
        <v>36.417000000000002</v>
      </c>
      <c r="B394" s="1">
        <v>3.0274999999999999</v>
      </c>
      <c r="C394" s="4">
        <f>Tabela8[[#This Row],[Alongamento (mm/mm)]]/$I$2</f>
        <v>6.055E-2</v>
      </c>
      <c r="D394" s="1">
        <v>364.69</v>
      </c>
      <c r="E394" s="4">
        <f>Tabela8[[#This Row],[Forτa(N)]]/$I$5</f>
        <v>8470800.8343282416</v>
      </c>
      <c r="F394" s="4">
        <f>Tabela8[[#This Row],[Tensão (Pa)]]/1000000</f>
        <v>8.4708008343282408</v>
      </c>
    </row>
    <row r="395" spans="1:6" x14ac:dyDescent="0.3">
      <c r="A395" s="1">
        <v>36.517000000000003</v>
      </c>
      <c r="B395" s="1">
        <v>3.0356999999999998</v>
      </c>
      <c r="C395" s="4">
        <f>Tabela8[[#This Row],[Alongamento (mm/mm)]]/$I$2</f>
        <v>6.0713999999999997E-2</v>
      </c>
      <c r="D395" s="1">
        <v>367.75</v>
      </c>
      <c r="E395" s="4">
        <f>Tabela8[[#This Row],[Forτa(N)]]/$I$5</f>
        <v>8541876.6810831409</v>
      </c>
      <c r="F395" s="4">
        <f>Tabela8[[#This Row],[Tensão (Pa)]]/1000000</f>
        <v>8.5418766810831404</v>
      </c>
    </row>
    <row r="396" spans="1:6" x14ac:dyDescent="0.3">
      <c r="A396" s="1">
        <v>36.616999999999997</v>
      </c>
      <c r="B396" s="1">
        <v>3.0440999999999998</v>
      </c>
      <c r="C396" s="4">
        <f>Tabela8[[#This Row],[Alongamento (mm/mm)]]/$I$2</f>
        <v>6.0881999999999999E-2</v>
      </c>
      <c r="D396" s="1">
        <v>370.82</v>
      </c>
      <c r="E396" s="4">
        <f>Tabela8[[#This Row],[Forτa(N)]]/$I$5</f>
        <v>8613184.8018470444</v>
      </c>
      <c r="F396" s="4">
        <f>Tabela8[[#This Row],[Tensão (Pa)]]/1000000</f>
        <v>8.6131848018470443</v>
      </c>
    </row>
    <row r="397" spans="1:6" x14ac:dyDescent="0.3">
      <c r="A397" s="1">
        <v>36.716999999999999</v>
      </c>
      <c r="B397" s="1">
        <v>3.0525000000000002</v>
      </c>
      <c r="C397" s="4">
        <f>Tabela8[[#This Row],[Alongamento (mm/mm)]]/$I$2</f>
        <v>6.1050000000000007E-2</v>
      </c>
      <c r="D397" s="1">
        <v>373.88</v>
      </c>
      <c r="E397" s="4">
        <f>Tabela8[[#This Row],[Forτa(N)]]/$I$5</f>
        <v>8684260.6486019436</v>
      </c>
      <c r="F397" s="4">
        <f>Tabela8[[#This Row],[Tensão (Pa)]]/1000000</f>
        <v>8.6842606486019438</v>
      </c>
    </row>
    <row r="398" spans="1:6" x14ac:dyDescent="0.3">
      <c r="A398" s="1">
        <v>36.817</v>
      </c>
      <c r="B398" s="1">
        <v>3.0608</v>
      </c>
      <c r="C398" s="4">
        <f>Tabela8[[#This Row],[Alongamento (mm/mm)]]/$I$2</f>
        <v>6.1216E-2</v>
      </c>
      <c r="D398" s="1">
        <v>376.94</v>
      </c>
      <c r="E398" s="4">
        <f>Tabela8[[#This Row],[Forτa(N)]]/$I$5</f>
        <v>8755336.4953568429</v>
      </c>
      <c r="F398" s="4">
        <f>Tabela8[[#This Row],[Tensão (Pa)]]/1000000</f>
        <v>8.7553364953568433</v>
      </c>
    </row>
    <row r="399" spans="1:6" x14ac:dyDescent="0.3">
      <c r="A399" s="1">
        <v>36.917000000000002</v>
      </c>
      <c r="B399" s="1">
        <v>3.0691000000000002</v>
      </c>
      <c r="C399" s="4">
        <f>Tabela8[[#This Row],[Alongamento (mm/mm)]]/$I$2</f>
        <v>6.1382000000000006E-2</v>
      </c>
      <c r="D399" s="1">
        <v>380</v>
      </c>
      <c r="E399" s="4">
        <f>Tabela8[[#This Row],[Forτa(N)]]/$I$5</f>
        <v>8826412.342111744</v>
      </c>
      <c r="F399" s="4">
        <f>Tabela8[[#This Row],[Tensão (Pa)]]/1000000</f>
        <v>8.8264123421117446</v>
      </c>
    </row>
    <row r="400" spans="1:6" x14ac:dyDescent="0.3">
      <c r="A400" s="1">
        <v>37.017000000000003</v>
      </c>
      <c r="B400" s="1">
        <v>3.0773999999999999</v>
      </c>
      <c r="C400" s="4">
        <f>Tabela8[[#This Row],[Alongamento (mm/mm)]]/$I$2</f>
        <v>6.1547999999999999E-2</v>
      </c>
      <c r="D400" s="1">
        <v>383.06</v>
      </c>
      <c r="E400" s="4">
        <f>Tabela8[[#This Row],[Forτa(N)]]/$I$5</f>
        <v>8897488.1888666432</v>
      </c>
      <c r="F400" s="4">
        <f>Tabela8[[#This Row],[Tensão (Pa)]]/1000000</f>
        <v>8.8974881888666424</v>
      </c>
    </row>
    <row r="401" spans="1:6" x14ac:dyDescent="0.3">
      <c r="A401" s="1">
        <v>37.116999999999997</v>
      </c>
      <c r="B401" s="1">
        <v>3.0857999999999999</v>
      </c>
      <c r="C401" s="4">
        <f>Tabela8[[#This Row],[Alongamento (mm/mm)]]/$I$2</f>
        <v>6.1716E-2</v>
      </c>
      <c r="D401" s="1">
        <v>386.29</v>
      </c>
      <c r="E401" s="4">
        <f>Tabela8[[#This Row],[Forτa(N)]]/$I$5</f>
        <v>8972512.693774594</v>
      </c>
      <c r="F401" s="4">
        <f>Tabela8[[#This Row],[Tensão (Pa)]]/1000000</f>
        <v>8.9725126937745934</v>
      </c>
    </row>
    <row r="402" spans="1:6" x14ac:dyDescent="0.3">
      <c r="A402" s="1">
        <v>37.216999999999999</v>
      </c>
      <c r="B402" s="1">
        <v>3.0941000000000001</v>
      </c>
      <c r="C402" s="4">
        <f>Tabela8[[#This Row],[Alongamento (mm/mm)]]/$I$2</f>
        <v>6.1882E-2</v>
      </c>
      <c r="D402" s="1">
        <v>389.36</v>
      </c>
      <c r="E402" s="4">
        <f>Tabela8[[#This Row],[Forτa(N)]]/$I$5</f>
        <v>9043820.8145384956</v>
      </c>
      <c r="F402" s="4">
        <f>Tabela8[[#This Row],[Tensão (Pa)]]/1000000</f>
        <v>9.0438208145384955</v>
      </c>
    </row>
    <row r="403" spans="1:6" x14ac:dyDescent="0.3">
      <c r="A403" s="1">
        <v>37.317</v>
      </c>
      <c r="B403" s="1">
        <v>3.1023999999999998</v>
      </c>
      <c r="C403" s="4">
        <f>Tabela8[[#This Row],[Alongamento (mm/mm)]]/$I$2</f>
        <v>6.2047999999999999E-2</v>
      </c>
      <c r="D403" s="1">
        <v>392.42</v>
      </c>
      <c r="E403" s="4">
        <f>Tabela8[[#This Row],[Forτa(N)]]/$I$5</f>
        <v>9114896.6612933967</v>
      </c>
      <c r="F403" s="4">
        <f>Tabela8[[#This Row],[Tensão (Pa)]]/1000000</f>
        <v>9.1148966612933968</v>
      </c>
    </row>
    <row r="404" spans="1:6" x14ac:dyDescent="0.3">
      <c r="A404" s="1">
        <v>37.417000000000002</v>
      </c>
      <c r="B404" s="1">
        <v>3.1107999999999998</v>
      </c>
      <c r="C404" s="4">
        <f>Tabela8[[#This Row],[Alongamento (mm/mm)]]/$I$2</f>
        <v>6.2215999999999994E-2</v>
      </c>
      <c r="D404" s="1">
        <v>395.48</v>
      </c>
      <c r="E404" s="4">
        <f>Tabela8[[#This Row],[Forτa(N)]]/$I$5</f>
        <v>9185972.508048296</v>
      </c>
      <c r="F404" s="4">
        <f>Tabela8[[#This Row],[Tensão (Pa)]]/1000000</f>
        <v>9.1859725080482963</v>
      </c>
    </row>
    <row r="405" spans="1:6" x14ac:dyDescent="0.3">
      <c r="A405" s="1">
        <v>37.517000000000003</v>
      </c>
      <c r="B405" s="1">
        <v>3.1191</v>
      </c>
      <c r="C405" s="4">
        <f>Tabela8[[#This Row],[Alongamento (mm/mm)]]/$I$2</f>
        <v>6.2382E-2</v>
      </c>
      <c r="D405" s="1">
        <v>398.54</v>
      </c>
      <c r="E405" s="4">
        <f>Tabela8[[#This Row],[Forτa(N)]]/$I$5</f>
        <v>9257048.3548031952</v>
      </c>
      <c r="F405" s="4">
        <f>Tabela8[[#This Row],[Tensão (Pa)]]/1000000</f>
        <v>9.2570483548031959</v>
      </c>
    </row>
    <row r="406" spans="1:6" x14ac:dyDescent="0.3">
      <c r="A406" s="1">
        <v>37.616999999999997</v>
      </c>
      <c r="B406" s="1">
        <v>3.1274000000000002</v>
      </c>
      <c r="C406" s="4">
        <f>Tabela8[[#This Row],[Alongamento (mm/mm)]]/$I$2</f>
        <v>6.2548000000000006E-2</v>
      </c>
      <c r="D406" s="1">
        <v>401.77</v>
      </c>
      <c r="E406" s="4">
        <f>Tabela8[[#This Row],[Forτa(N)]]/$I$5</f>
        <v>9332072.8597111441</v>
      </c>
      <c r="F406" s="4">
        <f>Tabela8[[#This Row],[Tensão (Pa)]]/1000000</f>
        <v>9.3320728597111433</v>
      </c>
    </row>
    <row r="407" spans="1:6" x14ac:dyDescent="0.3">
      <c r="A407" s="1">
        <v>37.716999999999999</v>
      </c>
      <c r="B407" s="1">
        <v>3.1358000000000001</v>
      </c>
      <c r="C407" s="4">
        <f>Tabela8[[#This Row],[Alongamento (mm/mm)]]/$I$2</f>
        <v>6.2716000000000008E-2</v>
      </c>
      <c r="D407" s="1">
        <v>404.84</v>
      </c>
      <c r="E407" s="4">
        <f>Tabela8[[#This Row],[Forτa(N)]]/$I$5</f>
        <v>9403380.9804750476</v>
      </c>
      <c r="F407" s="4">
        <f>Tabela8[[#This Row],[Tensão (Pa)]]/1000000</f>
        <v>9.4033809804750472</v>
      </c>
    </row>
    <row r="408" spans="1:6" x14ac:dyDescent="0.3">
      <c r="A408" s="1">
        <v>37.817</v>
      </c>
      <c r="B408" s="1">
        <v>3.1440999999999999</v>
      </c>
      <c r="C408" s="4">
        <f>Tabela8[[#This Row],[Alongamento (mm/mm)]]/$I$2</f>
        <v>6.2881999999999993E-2</v>
      </c>
      <c r="D408" s="1">
        <v>408.07</v>
      </c>
      <c r="E408" s="4">
        <f>Tabela8[[#This Row],[Forτa(N)]]/$I$5</f>
        <v>9478405.4853829984</v>
      </c>
      <c r="F408" s="4">
        <f>Tabela8[[#This Row],[Tensão (Pa)]]/1000000</f>
        <v>9.4784054853829982</v>
      </c>
    </row>
    <row r="409" spans="1:6" x14ac:dyDescent="0.3">
      <c r="A409" s="1">
        <v>37.917000000000002</v>
      </c>
      <c r="B409" s="1">
        <v>3.1524999999999999</v>
      </c>
      <c r="C409" s="4">
        <f>Tabela8[[#This Row],[Alongamento (mm/mm)]]/$I$2</f>
        <v>6.3049999999999995E-2</v>
      </c>
      <c r="D409" s="1">
        <v>411.13</v>
      </c>
      <c r="E409" s="4">
        <f>Tabela8[[#This Row],[Forτa(N)]]/$I$5</f>
        <v>9549481.3321378976</v>
      </c>
      <c r="F409" s="4">
        <f>Tabela8[[#This Row],[Tensão (Pa)]]/1000000</f>
        <v>9.5494813321378977</v>
      </c>
    </row>
    <row r="410" spans="1:6" x14ac:dyDescent="0.3">
      <c r="A410" s="1">
        <v>38.017000000000003</v>
      </c>
      <c r="B410" s="1">
        <v>3.1608000000000001</v>
      </c>
      <c r="C410" s="4">
        <f>Tabela8[[#This Row],[Alongamento (mm/mm)]]/$I$2</f>
        <v>6.3215999999999994E-2</v>
      </c>
      <c r="D410" s="1">
        <v>414.36</v>
      </c>
      <c r="E410" s="4">
        <f>Tabela8[[#This Row],[Forτa(N)]]/$I$5</f>
        <v>9624505.8370458484</v>
      </c>
      <c r="F410" s="4">
        <f>Tabela8[[#This Row],[Tensão (Pa)]]/1000000</f>
        <v>9.6245058370458487</v>
      </c>
    </row>
    <row r="411" spans="1:6" x14ac:dyDescent="0.3">
      <c r="A411" s="1">
        <v>38.116999999999997</v>
      </c>
      <c r="B411" s="1">
        <v>3.1690999999999998</v>
      </c>
      <c r="C411" s="4">
        <f>Tabela8[[#This Row],[Alongamento (mm/mm)]]/$I$2</f>
        <v>6.3381999999999994E-2</v>
      </c>
      <c r="D411" s="1">
        <v>417.42</v>
      </c>
      <c r="E411" s="4">
        <f>Tabela8[[#This Row],[Forτa(N)]]/$I$5</f>
        <v>9695581.6838007476</v>
      </c>
      <c r="F411" s="4">
        <f>Tabela8[[#This Row],[Tensão (Pa)]]/1000000</f>
        <v>9.6955816838007483</v>
      </c>
    </row>
    <row r="412" spans="1:6" x14ac:dyDescent="0.3">
      <c r="A412" s="1">
        <v>38.216999999999999</v>
      </c>
      <c r="B412" s="1">
        <v>3.1775000000000002</v>
      </c>
      <c r="C412" s="4">
        <f>Tabela8[[#This Row],[Alongamento (mm/mm)]]/$I$2</f>
        <v>6.3550000000000009E-2</v>
      </c>
      <c r="D412" s="1">
        <v>420.65</v>
      </c>
      <c r="E412" s="4">
        <f>Tabela8[[#This Row],[Forτa(N)]]/$I$5</f>
        <v>9770606.1887086965</v>
      </c>
      <c r="F412" s="4">
        <f>Tabela8[[#This Row],[Tensão (Pa)]]/1000000</f>
        <v>9.7706061887086957</v>
      </c>
    </row>
    <row r="413" spans="1:6" x14ac:dyDescent="0.3">
      <c r="A413" s="1">
        <v>38.317</v>
      </c>
      <c r="B413" s="1">
        <v>3.1857000000000002</v>
      </c>
      <c r="C413" s="4">
        <f>Tabela8[[#This Row],[Alongamento (mm/mm)]]/$I$2</f>
        <v>6.3714000000000007E-2</v>
      </c>
      <c r="D413" s="1">
        <v>423.89</v>
      </c>
      <c r="E413" s="4">
        <f>Tabela8[[#This Row],[Forτa(N)]]/$I$5</f>
        <v>9845862.9676256496</v>
      </c>
      <c r="F413" s="4">
        <f>Tabela8[[#This Row],[Tensão (Pa)]]/1000000</f>
        <v>9.8458629676256493</v>
      </c>
    </row>
    <row r="414" spans="1:6" x14ac:dyDescent="0.3">
      <c r="A414" s="1">
        <v>38.417000000000002</v>
      </c>
      <c r="B414" s="1">
        <v>3.1941000000000002</v>
      </c>
      <c r="C414" s="4">
        <f>Tabela8[[#This Row],[Alongamento (mm/mm)]]/$I$2</f>
        <v>6.3882000000000008E-2</v>
      </c>
      <c r="D414" s="1">
        <v>427.12</v>
      </c>
      <c r="E414" s="4">
        <f>Tabela8[[#This Row],[Forτa(N)]]/$I$5</f>
        <v>9920887.4725336004</v>
      </c>
      <c r="F414" s="4">
        <f>Tabela8[[#This Row],[Tensão (Pa)]]/1000000</f>
        <v>9.9208874725336003</v>
      </c>
    </row>
    <row r="415" spans="1:6" x14ac:dyDescent="0.3">
      <c r="A415" s="1">
        <v>38.517000000000003</v>
      </c>
      <c r="B415" s="1">
        <v>3.2023999999999999</v>
      </c>
      <c r="C415" s="4">
        <f>Tabela8[[#This Row],[Alongamento (mm/mm)]]/$I$2</f>
        <v>6.4047999999999994E-2</v>
      </c>
      <c r="D415" s="1">
        <v>430.35</v>
      </c>
      <c r="E415" s="4">
        <f>Tabela8[[#This Row],[Forτa(N)]]/$I$5</f>
        <v>9995911.9774415493</v>
      </c>
      <c r="F415" s="4">
        <f>Tabela8[[#This Row],[Tensão (Pa)]]/1000000</f>
        <v>9.9959119774415495</v>
      </c>
    </row>
    <row r="416" spans="1:6" x14ac:dyDescent="0.3">
      <c r="A416" s="1">
        <v>38.616999999999997</v>
      </c>
      <c r="B416" s="1">
        <v>3.2107999999999999</v>
      </c>
      <c r="C416" s="4">
        <f>Tabela8[[#This Row],[Alongamento (mm/mm)]]/$I$2</f>
        <v>6.4215999999999995E-2</v>
      </c>
      <c r="D416" s="1">
        <v>433.75</v>
      </c>
      <c r="E416" s="4">
        <f>Tabela8[[#This Row],[Forτa(N)]]/$I$5</f>
        <v>10074885.14050255</v>
      </c>
      <c r="F416" s="4">
        <f>Tabela8[[#This Row],[Tensão (Pa)]]/1000000</f>
        <v>10.07488514050255</v>
      </c>
    </row>
    <row r="417" spans="1:6" x14ac:dyDescent="0.3">
      <c r="A417" s="1">
        <v>38.716999999999999</v>
      </c>
      <c r="B417" s="1">
        <v>3.2191999999999998</v>
      </c>
      <c r="C417" s="4">
        <f>Tabela8[[#This Row],[Alongamento (mm/mm)]]/$I$2</f>
        <v>6.4383999999999997E-2</v>
      </c>
      <c r="D417" s="1">
        <v>436.98</v>
      </c>
      <c r="E417" s="4">
        <f>Tabela8[[#This Row],[Forτa(N)]]/$I$5</f>
        <v>10149909.645410499</v>
      </c>
      <c r="F417" s="4">
        <f>Tabela8[[#This Row],[Tensão (Pa)]]/1000000</f>
        <v>10.149909645410499</v>
      </c>
    </row>
    <row r="418" spans="1:6" x14ac:dyDescent="0.3">
      <c r="A418" s="1">
        <v>38.817</v>
      </c>
      <c r="B418" s="1">
        <v>3.2273999999999998</v>
      </c>
      <c r="C418" s="4">
        <f>Tabela8[[#This Row],[Alongamento (mm/mm)]]/$I$2</f>
        <v>6.4547999999999994E-2</v>
      </c>
      <c r="D418" s="1">
        <v>440.39</v>
      </c>
      <c r="E418" s="4">
        <f>Tabela8[[#This Row],[Forτa(N)]]/$I$5</f>
        <v>10229115.082480501</v>
      </c>
      <c r="F418" s="4">
        <f>Tabela8[[#This Row],[Tensão (Pa)]]/1000000</f>
        <v>10.229115082480501</v>
      </c>
    </row>
    <row r="419" spans="1:6" x14ac:dyDescent="0.3">
      <c r="A419" s="1">
        <v>38.933</v>
      </c>
      <c r="B419" s="1">
        <v>3.2370999999999999</v>
      </c>
      <c r="C419" s="4">
        <f>Tabela8[[#This Row],[Alongamento (mm/mm)]]/$I$2</f>
        <v>6.4741999999999994E-2</v>
      </c>
      <c r="D419" s="1">
        <v>444.13</v>
      </c>
      <c r="E419" s="4">
        <f>Tabela8[[#This Row],[Forτa(N)]]/$I$5</f>
        <v>10315985.561847601</v>
      </c>
      <c r="F419" s="4">
        <f>Tabela8[[#This Row],[Tensão (Pa)]]/1000000</f>
        <v>10.315985561847601</v>
      </c>
    </row>
    <row r="420" spans="1:6" x14ac:dyDescent="0.3">
      <c r="A420" s="1">
        <v>39.033000000000001</v>
      </c>
      <c r="B420" s="1">
        <v>3.2454999999999998</v>
      </c>
      <c r="C420" s="4">
        <f>Tabela8[[#This Row],[Alongamento (mm/mm)]]/$I$2</f>
        <v>6.4909999999999995E-2</v>
      </c>
      <c r="D420" s="1">
        <v>447.53</v>
      </c>
      <c r="E420" s="4">
        <f>Tabela8[[#This Row],[Forτa(N)]]/$I$5</f>
        <v>10394958.724908601</v>
      </c>
      <c r="F420" s="4">
        <f>Tabela8[[#This Row],[Tensão (Pa)]]/1000000</f>
        <v>10.394958724908602</v>
      </c>
    </row>
    <row r="421" spans="1:6" x14ac:dyDescent="0.3">
      <c r="A421" s="1">
        <v>39.15</v>
      </c>
      <c r="B421" s="1">
        <v>3.2553000000000001</v>
      </c>
      <c r="C421" s="4">
        <f>Tabela8[[#This Row],[Alongamento (mm/mm)]]/$I$2</f>
        <v>6.5105999999999997E-2</v>
      </c>
      <c r="D421" s="1">
        <v>451.27</v>
      </c>
      <c r="E421" s="4">
        <f>Tabela8[[#This Row],[Forτa(N)]]/$I$5</f>
        <v>10481829.204275701</v>
      </c>
      <c r="F421" s="4">
        <f>Tabela8[[#This Row],[Tensão (Pa)]]/1000000</f>
        <v>10.481829204275702</v>
      </c>
    </row>
    <row r="422" spans="1:6" x14ac:dyDescent="0.3">
      <c r="A422" s="1">
        <v>39.25</v>
      </c>
      <c r="B422" s="1">
        <v>3.2635000000000001</v>
      </c>
      <c r="C422" s="4">
        <f>Tabela8[[#This Row],[Alongamento (mm/mm)]]/$I$2</f>
        <v>6.5269999999999995E-2</v>
      </c>
      <c r="D422" s="1">
        <v>454.67</v>
      </c>
      <c r="E422" s="4">
        <f>Tabela8[[#This Row],[Forτa(N)]]/$I$5</f>
        <v>10560802.367336702</v>
      </c>
      <c r="F422" s="4">
        <f>Tabela8[[#This Row],[Tensão (Pa)]]/1000000</f>
        <v>10.560802367336702</v>
      </c>
    </row>
    <row r="423" spans="1:6" x14ac:dyDescent="0.3">
      <c r="A423" s="1">
        <v>39.366999999999997</v>
      </c>
      <c r="B423" s="1">
        <v>3.2732000000000001</v>
      </c>
      <c r="C423" s="4">
        <f>Tabela8[[#This Row],[Alongamento (mm/mm)]]/$I$2</f>
        <v>6.5464000000000008E-2</v>
      </c>
      <c r="D423" s="1">
        <v>458.59</v>
      </c>
      <c r="E423" s="4">
        <f>Tabela8[[#This Row],[Forτa(N)]]/$I$5</f>
        <v>10651853.778865853</v>
      </c>
      <c r="F423" s="4">
        <f>Tabela8[[#This Row],[Tensão (Pa)]]/1000000</f>
        <v>10.651853778865853</v>
      </c>
    </row>
    <row r="424" spans="1:6" x14ac:dyDescent="0.3">
      <c r="A424" s="1">
        <v>39.466999999999999</v>
      </c>
      <c r="B424" s="1">
        <v>3.2816999999999998</v>
      </c>
      <c r="C424" s="4">
        <f>Tabela8[[#This Row],[Alongamento (mm/mm)]]/$I$2</f>
        <v>6.5633999999999998E-2</v>
      </c>
      <c r="D424" s="1">
        <v>461.99</v>
      </c>
      <c r="E424" s="4">
        <f>Tabela8[[#This Row],[Forτa(N)]]/$I$5</f>
        <v>10730826.941926854</v>
      </c>
      <c r="F424" s="4">
        <f>Tabela8[[#This Row],[Tensão (Pa)]]/1000000</f>
        <v>10.730826941926853</v>
      </c>
    </row>
    <row r="425" spans="1:6" x14ac:dyDescent="0.3">
      <c r="A425" s="1">
        <v>39.582999999999998</v>
      </c>
      <c r="B425" s="1">
        <v>3.2913999999999999</v>
      </c>
      <c r="C425" s="4">
        <f>Tabela8[[#This Row],[Alongamento (mm/mm)]]/$I$2</f>
        <v>6.5827999999999998E-2</v>
      </c>
      <c r="D425" s="1">
        <v>465.73</v>
      </c>
      <c r="E425" s="4">
        <f>Tabela8[[#This Row],[Forτa(N)]]/$I$5</f>
        <v>10817697.421293953</v>
      </c>
      <c r="F425" s="4">
        <f>Tabela8[[#This Row],[Tensão (Pa)]]/1000000</f>
        <v>10.817697421293953</v>
      </c>
    </row>
    <row r="426" spans="1:6" x14ac:dyDescent="0.3">
      <c r="A426" s="1">
        <v>39.683</v>
      </c>
      <c r="B426" s="1">
        <v>3.2997000000000001</v>
      </c>
      <c r="C426" s="4">
        <f>Tabela8[[#This Row],[Alongamento (mm/mm)]]/$I$2</f>
        <v>6.5993999999999997E-2</v>
      </c>
      <c r="D426" s="1">
        <v>469.13</v>
      </c>
      <c r="E426" s="4">
        <f>Tabela8[[#This Row],[Forτa(N)]]/$I$5</f>
        <v>10896670.584354954</v>
      </c>
      <c r="F426" s="4">
        <f>Tabela8[[#This Row],[Tensão (Pa)]]/1000000</f>
        <v>10.896670584354954</v>
      </c>
    </row>
    <row r="427" spans="1:6" x14ac:dyDescent="0.3">
      <c r="A427" s="1">
        <v>39.783000000000001</v>
      </c>
      <c r="B427" s="1">
        <v>3.3079999999999998</v>
      </c>
      <c r="C427" s="4">
        <f>Tabela8[[#This Row],[Alongamento (mm/mm)]]/$I$2</f>
        <v>6.6159999999999997E-2</v>
      </c>
      <c r="D427" s="1">
        <v>472.7</v>
      </c>
      <c r="E427" s="4">
        <f>Tabela8[[#This Row],[Forτa(N)]]/$I$5</f>
        <v>10979592.405569002</v>
      </c>
      <c r="F427" s="4">
        <f>Tabela8[[#This Row],[Tensão (Pa)]]/1000000</f>
        <v>10.979592405569003</v>
      </c>
    </row>
    <row r="428" spans="1:6" x14ac:dyDescent="0.3">
      <c r="A428" s="1">
        <v>39.883000000000003</v>
      </c>
      <c r="B428" s="1">
        <v>3.3163</v>
      </c>
      <c r="C428" s="4">
        <f>Tabela8[[#This Row],[Alongamento (mm/mm)]]/$I$2</f>
        <v>6.6325999999999996E-2</v>
      </c>
      <c r="D428" s="1">
        <v>476.11</v>
      </c>
      <c r="E428" s="4">
        <f>Tabela8[[#This Row],[Forτa(N)]]/$I$5</f>
        <v>11058797.842639007</v>
      </c>
      <c r="F428" s="4">
        <f>Tabela8[[#This Row],[Tensão (Pa)]]/1000000</f>
        <v>11.058797842639006</v>
      </c>
    </row>
    <row r="429" spans="1:6" x14ac:dyDescent="0.3">
      <c r="A429" s="1">
        <v>39.982999999999997</v>
      </c>
      <c r="B429" s="1">
        <v>3.3246000000000002</v>
      </c>
      <c r="C429" s="4">
        <f>Tabela8[[#This Row],[Alongamento (mm/mm)]]/$I$2</f>
        <v>6.6492000000000009E-2</v>
      </c>
      <c r="D429" s="1">
        <v>479.51</v>
      </c>
      <c r="E429" s="4">
        <f>Tabela8[[#This Row],[Forτa(N)]]/$I$5</f>
        <v>11137771.005700005</v>
      </c>
      <c r="F429" s="4">
        <f>Tabela8[[#This Row],[Tensão (Pa)]]/1000000</f>
        <v>11.137771005700005</v>
      </c>
    </row>
    <row r="430" spans="1:6" x14ac:dyDescent="0.3">
      <c r="A430" s="1">
        <v>40.1</v>
      </c>
      <c r="B430" s="1">
        <v>3.3344</v>
      </c>
      <c r="C430" s="4">
        <f>Tabela8[[#This Row],[Alongamento (mm/mm)]]/$I$2</f>
        <v>6.6687999999999997E-2</v>
      </c>
      <c r="D430" s="1">
        <v>483.59</v>
      </c>
      <c r="E430" s="4">
        <f>Tabela8[[#This Row],[Forτa(N)]]/$I$5</f>
        <v>11232538.801373204</v>
      </c>
      <c r="F430" s="4">
        <f>Tabela8[[#This Row],[Tensão (Pa)]]/1000000</f>
        <v>11.232538801373204</v>
      </c>
    </row>
    <row r="431" spans="1:6" x14ac:dyDescent="0.3">
      <c r="A431" s="1">
        <v>40.200000000000003</v>
      </c>
      <c r="B431" s="1">
        <v>3.3428</v>
      </c>
      <c r="C431" s="4">
        <f>Tabela8[[#This Row],[Alongamento (mm/mm)]]/$I$2</f>
        <v>6.6855999999999999E-2</v>
      </c>
      <c r="D431" s="1">
        <v>487.33</v>
      </c>
      <c r="E431" s="4">
        <f>Tabela8[[#This Row],[Forτa(N)]]/$I$5</f>
        <v>11319409.280740304</v>
      </c>
      <c r="F431" s="4">
        <f>Tabela8[[#This Row],[Tensão (Pa)]]/1000000</f>
        <v>11.319409280740304</v>
      </c>
    </row>
    <row r="432" spans="1:6" x14ac:dyDescent="0.3">
      <c r="A432" s="1">
        <v>40.317</v>
      </c>
      <c r="B432" s="1">
        <v>3.3525</v>
      </c>
      <c r="C432" s="4">
        <f>Tabela8[[#This Row],[Alongamento (mm/mm)]]/$I$2</f>
        <v>6.7049999999999998E-2</v>
      </c>
      <c r="D432" s="1">
        <v>491.42</v>
      </c>
      <c r="E432" s="4">
        <f>Tabela8[[#This Row],[Forτa(N)]]/$I$5</f>
        <v>11414409.350422509</v>
      </c>
      <c r="F432" s="4">
        <f>Tabela8[[#This Row],[Tensão (Pa)]]/1000000</f>
        <v>11.41440935042251</v>
      </c>
    </row>
    <row r="433" spans="1:6" x14ac:dyDescent="0.3">
      <c r="A433" s="1">
        <v>40.433</v>
      </c>
      <c r="B433" s="1">
        <v>3.3622000000000001</v>
      </c>
      <c r="C433" s="4">
        <f>Tabela8[[#This Row],[Alongamento (mm/mm)]]/$I$2</f>
        <v>6.7243999999999998E-2</v>
      </c>
      <c r="D433" s="1">
        <v>495.5</v>
      </c>
      <c r="E433" s="4">
        <f>Tabela8[[#This Row],[Forτa(N)]]/$I$5</f>
        <v>11509177.146095708</v>
      </c>
      <c r="F433" s="4">
        <f>Tabela8[[#This Row],[Tensão (Pa)]]/1000000</f>
        <v>11.509177146095707</v>
      </c>
    </row>
    <row r="434" spans="1:6" x14ac:dyDescent="0.3">
      <c r="A434" s="1">
        <v>40.549999999999997</v>
      </c>
      <c r="B434" s="1">
        <v>3.3719000000000001</v>
      </c>
      <c r="C434" s="4">
        <f>Tabela8[[#This Row],[Alongamento (mm/mm)]]/$I$2</f>
        <v>6.7437999999999998E-2</v>
      </c>
      <c r="D434" s="1">
        <v>499.58</v>
      </c>
      <c r="E434" s="4">
        <f>Tabela8[[#This Row],[Forτa(N)]]/$I$5</f>
        <v>11603944.941768907</v>
      </c>
      <c r="F434" s="4">
        <f>Tabela8[[#This Row],[Tensão (Pa)]]/1000000</f>
        <v>11.603944941768907</v>
      </c>
    </row>
    <row r="435" spans="1:6" x14ac:dyDescent="0.3">
      <c r="A435" s="1">
        <v>40.667000000000002</v>
      </c>
      <c r="B435" s="1">
        <v>3.3815</v>
      </c>
      <c r="C435" s="4">
        <f>Tabela8[[#This Row],[Alongamento (mm/mm)]]/$I$2</f>
        <v>6.7629999999999996E-2</v>
      </c>
      <c r="D435" s="1">
        <v>503.83</v>
      </c>
      <c r="E435" s="4">
        <f>Tabela8[[#This Row],[Forτa(N)]]/$I$5</f>
        <v>11702661.395595158</v>
      </c>
      <c r="F435" s="4">
        <f>Tabela8[[#This Row],[Tensão (Pa)]]/1000000</f>
        <v>11.702661395595158</v>
      </c>
    </row>
    <row r="436" spans="1:6" x14ac:dyDescent="0.3">
      <c r="A436" s="1">
        <v>40.783000000000001</v>
      </c>
      <c r="B436" s="1">
        <v>3.3913000000000002</v>
      </c>
      <c r="C436" s="4">
        <f>Tabela8[[#This Row],[Alongamento (mm/mm)]]/$I$2</f>
        <v>6.7825999999999997E-2</v>
      </c>
      <c r="D436" s="1">
        <v>508.09</v>
      </c>
      <c r="E436" s="4">
        <f>Tabela8[[#This Row],[Forτa(N)]]/$I$5</f>
        <v>11801610.123430409</v>
      </c>
      <c r="F436" s="4">
        <f>Tabela8[[#This Row],[Tensão (Pa)]]/1000000</f>
        <v>11.801610123430409</v>
      </c>
    </row>
    <row r="437" spans="1:6" x14ac:dyDescent="0.3">
      <c r="A437" s="1">
        <v>40.9</v>
      </c>
      <c r="B437" s="1">
        <v>3.4011</v>
      </c>
      <c r="C437" s="4">
        <f>Tabela8[[#This Row],[Alongamento (mm/mm)]]/$I$2</f>
        <v>6.8021999999999999E-2</v>
      </c>
      <c r="D437" s="1">
        <v>512.16999999999996</v>
      </c>
      <c r="E437" s="4">
        <f>Tabela8[[#This Row],[Forτa(N)]]/$I$5</f>
        <v>11896377.919103609</v>
      </c>
      <c r="F437" s="4">
        <f>Tabela8[[#This Row],[Tensão (Pa)]]/1000000</f>
        <v>11.896377919103609</v>
      </c>
    </row>
    <row r="438" spans="1:6" x14ac:dyDescent="0.3">
      <c r="A438" s="1">
        <v>41</v>
      </c>
      <c r="B438" s="1">
        <v>3.4095</v>
      </c>
      <c r="C438" s="4">
        <f>Tabela8[[#This Row],[Alongamento (mm/mm)]]/$I$2</f>
        <v>6.8190000000000001E-2</v>
      </c>
      <c r="D438" s="1">
        <v>515.91</v>
      </c>
      <c r="E438" s="4">
        <f>Tabela8[[#This Row],[Forτa(N)]]/$I$5</f>
        <v>11983248.398470709</v>
      </c>
      <c r="F438" s="4">
        <f>Tabela8[[#This Row],[Tensão (Pa)]]/1000000</f>
        <v>11.983248398470709</v>
      </c>
    </row>
    <row r="439" spans="1:6" x14ac:dyDescent="0.3">
      <c r="A439" s="1">
        <v>41.116999999999997</v>
      </c>
      <c r="B439" s="1">
        <v>3.4190999999999998</v>
      </c>
      <c r="C439" s="4">
        <f>Tabela8[[#This Row],[Alongamento (mm/mm)]]/$I$2</f>
        <v>6.8381999999999998E-2</v>
      </c>
      <c r="D439" s="1">
        <v>520.16</v>
      </c>
      <c r="E439" s="4">
        <f>Tabela8[[#This Row],[Forτa(N)]]/$I$5</f>
        <v>12081964.852296958</v>
      </c>
      <c r="F439" s="4">
        <f>Tabela8[[#This Row],[Tensão (Pa)]]/1000000</f>
        <v>12.081964852296958</v>
      </c>
    </row>
    <row r="440" spans="1:6" x14ac:dyDescent="0.3">
      <c r="A440" s="1">
        <v>41.216999999999999</v>
      </c>
      <c r="B440" s="1">
        <v>3.4274</v>
      </c>
      <c r="C440" s="4">
        <f>Tabela8[[#This Row],[Alongamento (mm/mm)]]/$I$2</f>
        <v>6.8547999999999998E-2</v>
      </c>
      <c r="D440" s="1">
        <v>523.9</v>
      </c>
      <c r="E440" s="4">
        <f>Tabela8[[#This Row],[Forτa(N)]]/$I$5</f>
        <v>12168835.331664057</v>
      </c>
      <c r="F440" s="4">
        <f>Tabela8[[#This Row],[Tensão (Pa)]]/1000000</f>
        <v>12.168835331664058</v>
      </c>
    </row>
    <row r="441" spans="1:6" x14ac:dyDescent="0.3">
      <c r="A441" s="1">
        <v>41.332999999999998</v>
      </c>
      <c r="B441" s="1">
        <v>3.4371999999999998</v>
      </c>
      <c r="C441" s="4">
        <f>Tabela8[[#This Row],[Alongamento (mm/mm)]]/$I$2</f>
        <v>6.8744E-2</v>
      </c>
      <c r="D441" s="1">
        <v>528.16</v>
      </c>
      <c r="E441" s="4">
        <f>Tabela8[[#This Row],[Forτa(N)]]/$I$5</f>
        <v>12267784.05949931</v>
      </c>
      <c r="F441" s="4">
        <f>Tabela8[[#This Row],[Tensão (Pa)]]/1000000</f>
        <v>12.267784059499311</v>
      </c>
    </row>
    <row r="442" spans="1:6" x14ac:dyDescent="0.3">
      <c r="A442" s="1">
        <v>41.45</v>
      </c>
      <c r="B442" s="1">
        <v>3.4470000000000001</v>
      </c>
      <c r="C442" s="4">
        <f>Tabela8[[#This Row],[Alongamento (mm/mm)]]/$I$2</f>
        <v>6.8940000000000001E-2</v>
      </c>
      <c r="D442" s="1">
        <v>532.41</v>
      </c>
      <c r="E442" s="4">
        <f>Tabela8[[#This Row],[Forτa(N)]]/$I$5</f>
        <v>12366500.513325561</v>
      </c>
      <c r="F442" s="4">
        <f>Tabela8[[#This Row],[Tensão (Pa)]]/1000000</f>
        <v>12.36650051332556</v>
      </c>
    </row>
    <row r="443" spans="1:6" x14ac:dyDescent="0.3">
      <c r="A443" s="1">
        <v>41.567</v>
      </c>
      <c r="B443" s="1">
        <v>3.4565999999999999</v>
      </c>
      <c r="C443" s="4">
        <f>Tabela8[[#This Row],[Alongamento (mm/mm)]]/$I$2</f>
        <v>6.9131999999999999E-2</v>
      </c>
      <c r="D443" s="1">
        <v>536.66</v>
      </c>
      <c r="E443" s="4">
        <f>Tabela8[[#This Row],[Forτa(N)]]/$I$5</f>
        <v>12465216.967151809</v>
      </c>
      <c r="F443" s="4">
        <f>Tabela8[[#This Row],[Tensão (Pa)]]/1000000</f>
        <v>12.465216967151809</v>
      </c>
    </row>
    <row r="444" spans="1:6" x14ac:dyDescent="0.3">
      <c r="A444" s="1">
        <v>41.683</v>
      </c>
      <c r="B444" s="1">
        <v>3.4662999999999999</v>
      </c>
      <c r="C444" s="4">
        <f>Tabela8[[#This Row],[Alongamento (mm/mm)]]/$I$2</f>
        <v>6.9325999999999999E-2</v>
      </c>
      <c r="D444" s="1">
        <v>540.91</v>
      </c>
      <c r="E444" s="4">
        <f>Tabela8[[#This Row],[Forτa(N)]]/$I$5</f>
        <v>12563933.42097806</v>
      </c>
      <c r="F444" s="4">
        <f>Tabela8[[#This Row],[Tensão (Pa)]]/1000000</f>
        <v>12.56393342097806</v>
      </c>
    </row>
    <row r="445" spans="1:6" x14ac:dyDescent="0.3">
      <c r="A445" s="1">
        <v>41.8</v>
      </c>
      <c r="B445" s="1">
        <v>3.476</v>
      </c>
      <c r="C445" s="4">
        <f>Tabela8[[#This Row],[Alongamento (mm/mm)]]/$I$2</f>
        <v>6.9519999999999998E-2</v>
      </c>
      <c r="D445" s="1">
        <v>545.16999999999996</v>
      </c>
      <c r="E445" s="4">
        <f>Tabela8[[#This Row],[Forτa(N)]]/$I$5</f>
        <v>12662882.148813313</v>
      </c>
      <c r="F445" s="4">
        <f>Tabela8[[#This Row],[Tensão (Pa)]]/1000000</f>
        <v>12.662882148813313</v>
      </c>
    </row>
    <row r="446" spans="1:6" x14ac:dyDescent="0.3">
      <c r="A446" s="1">
        <v>41.917000000000002</v>
      </c>
      <c r="B446" s="1">
        <v>3.4857999999999998</v>
      </c>
      <c r="C446" s="4">
        <f>Tabela8[[#This Row],[Alongamento (mm/mm)]]/$I$2</f>
        <v>6.9716E-2</v>
      </c>
      <c r="D446" s="1">
        <v>549.41999999999996</v>
      </c>
      <c r="E446" s="4">
        <f>Tabela8[[#This Row],[Forτa(N)]]/$I$5</f>
        <v>12761598.602639562</v>
      </c>
      <c r="F446" s="4">
        <f>Tabela8[[#This Row],[Tensão (Pa)]]/1000000</f>
        <v>12.761598602639561</v>
      </c>
    </row>
    <row r="447" spans="1:6" x14ac:dyDescent="0.3">
      <c r="A447" s="1">
        <v>42.033000000000001</v>
      </c>
      <c r="B447" s="1">
        <v>3.4954000000000001</v>
      </c>
      <c r="C447" s="4">
        <f>Tabela8[[#This Row],[Alongamento (mm/mm)]]/$I$2</f>
        <v>6.9907999999999998E-2</v>
      </c>
      <c r="D447" s="1">
        <v>553.66999999999996</v>
      </c>
      <c r="E447" s="4">
        <f>Tabela8[[#This Row],[Forτa(N)]]/$I$5</f>
        <v>12860315.056465812</v>
      </c>
      <c r="F447" s="4">
        <f>Tabela8[[#This Row],[Tensão (Pa)]]/1000000</f>
        <v>12.860315056465812</v>
      </c>
    </row>
    <row r="448" spans="1:6" x14ac:dyDescent="0.3">
      <c r="A448" s="1">
        <v>42.15</v>
      </c>
      <c r="B448" s="1">
        <v>3.5051999999999999</v>
      </c>
      <c r="C448" s="4">
        <f>Tabela8[[#This Row],[Alongamento (mm/mm)]]/$I$2</f>
        <v>7.0104E-2</v>
      </c>
      <c r="D448" s="1">
        <v>557.91999999999996</v>
      </c>
      <c r="E448" s="4">
        <f>Tabela8[[#This Row],[Forτa(N)]]/$I$5</f>
        <v>12959031.510292063</v>
      </c>
      <c r="F448" s="4">
        <f>Tabela8[[#This Row],[Tensão (Pa)]]/1000000</f>
        <v>12.959031510292062</v>
      </c>
    </row>
    <row r="449" spans="1:6" x14ac:dyDescent="0.3">
      <c r="A449" s="1">
        <v>42.267000000000003</v>
      </c>
      <c r="B449" s="1">
        <v>3.5150000000000001</v>
      </c>
      <c r="C449" s="4">
        <f>Tabela8[[#This Row],[Alongamento (mm/mm)]]/$I$2</f>
        <v>7.0300000000000001E-2</v>
      </c>
      <c r="D449" s="1">
        <v>562.17999999999995</v>
      </c>
      <c r="E449" s="4">
        <f>Tabela8[[#This Row],[Forτa(N)]]/$I$5</f>
        <v>13057980.238127314</v>
      </c>
      <c r="F449" s="4">
        <f>Tabela8[[#This Row],[Tensão (Pa)]]/1000000</f>
        <v>13.057980238127314</v>
      </c>
    </row>
    <row r="450" spans="1:6" x14ac:dyDescent="0.3">
      <c r="A450" s="1">
        <v>42.383000000000003</v>
      </c>
      <c r="B450" s="1">
        <v>3.5247999999999999</v>
      </c>
      <c r="C450" s="4">
        <f>Tabela8[[#This Row],[Alongamento (mm/mm)]]/$I$2</f>
        <v>7.0496000000000003E-2</v>
      </c>
      <c r="D450" s="1">
        <v>566.42999999999995</v>
      </c>
      <c r="E450" s="4">
        <f>Tabela8[[#This Row],[Forτa(N)]]/$I$5</f>
        <v>13156696.691953564</v>
      </c>
      <c r="F450" s="4">
        <f>Tabela8[[#This Row],[Tensão (Pa)]]/1000000</f>
        <v>13.156696691953565</v>
      </c>
    </row>
    <row r="451" spans="1:6" x14ac:dyDescent="0.3">
      <c r="A451" s="1">
        <v>42.5</v>
      </c>
      <c r="B451" s="1">
        <v>3.5344000000000002</v>
      </c>
      <c r="C451" s="4">
        <f>Tabela8[[#This Row],[Alongamento (mm/mm)]]/$I$2</f>
        <v>7.0688000000000001E-2</v>
      </c>
      <c r="D451" s="1">
        <v>570.85</v>
      </c>
      <c r="E451" s="4">
        <f>Tabela8[[#This Row],[Forτa(N)]]/$I$5</f>
        <v>13259361.803932866</v>
      </c>
      <c r="F451" s="4">
        <f>Tabela8[[#This Row],[Tensão (Pa)]]/1000000</f>
        <v>13.259361803932865</v>
      </c>
    </row>
    <row r="452" spans="1:6" x14ac:dyDescent="0.3">
      <c r="A452" s="1">
        <v>42.633000000000003</v>
      </c>
      <c r="B452" s="1">
        <v>3.5455000000000001</v>
      </c>
      <c r="C452" s="4">
        <f>Tabela8[[#This Row],[Alongamento (mm/mm)]]/$I$2</f>
        <v>7.0910000000000001E-2</v>
      </c>
      <c r="D452" s="1">
        <v>575.61</v>
      </c>
      <c r="E452" s="4">
        <f>Tabela8[[#This Row],[Forτa(N)]]/$I$5</f>
        <v>13369924.232218266</v>
      </c>
      <c r="F452" s="4">
        <f>Tabela8[[#This Row],[Tensão (Pa)]]/1000000</f>
        <v>13.369924232218265</v>
      </c>
    </row>
    <row r="453" spans="1:6" x14ac:dyDescent="0.3">
      <c r="A453" s="1">
        <v>42.75</v>
      </c>
      <c r="B453" s="1">
        <v>3.5552999999999999</v>
      </c>
      <c r="C453" s="4">
        <f>Tabela8[[#This Row],[Alongamento (mm/mm)]]/$I$2</f>
        <v>7.1106000000000003E-2</v>
      </c>
      <c r="D453" s="1">
        <v>580.04</v>
      </c>
      <c r="E453" s="4">
        <f>Tabela8[[#This Row],[Forτa(N)]]/$I$5</f>
        <v>13472821.618206566</v>
      </c>
      <c r="F453" s="4">
        <f>Tabela8[[#This Row],[Tensão (Pa)]]/1000000</f>
        <v>13.472821618206567</v>
      </c>
    </row>
    <row r="454" spans="1:6" x14ac:dyDescent="0.3">
      <c r="A454" s="1">
        <v>42.883000000000003</v>
      </c>
      <c r="B454" s="1">
        <v>3.5663999999999998</v>
      </c>
      <c r="C454" s="4">
        <f>Tabela8[[#This Row],[Alongamento (mm/mm)]]/$I$2</f>
        <v>7.1328000000000003E-2</v>
      </c>
      <c r="D454" s="1">
        <v>584.97</v>
      </c>
      <c r="E454" s="4">
        <f>Tabela8[[#This Row],[Forτa(N)]]/$I$5</f>
        <v>13587332.704645017</v>
      </c>
      <c r="F454" s="4">
        <f>Tabela8[[#This Row],[Tensão (Pa)]]/1000000</f>
        <v>13.587332704645018</v>
      </c>
    </row>
    <row r="455" spans="1:6" x14ac:dyDescent="0.3">
      <c r="A455" s="1">
        <v>43.017000000000003</v>
      </c>
      <c r="B455" s="1">
        <v>3.5773999999999999</v>
      </c>
      <c r="C455" s="4">
        <f>Tabela8[[#This Row],[Alongamento (mm/mm)]]/$I$2</f>
        <v>7.1548E-2</v>
      </c>
      <c r="D455" s="1">
        <v>589.9</v>
      </c>
      <c r="E455" s="4">
        <f>Tabela8[[#This Row],[Forτa(N)]]/$I$5</f>
        <v>13701843.791083466</v>
      </c>
      <c r="F455" s="4">
        <f>Tabela8[[#This Row],[Tensão (Pa)]]/1000000</f>
        <v>13.701843791083466</v>
      </c>
    </row>
    <row r="456" spans="1:6" x14ac:dyDescent="0.3">
      <c r="A456" s="1">
        <v>43.133000000000003</v>
      </c>
      <c r="B456" s="1">
        <v>3.5872000000000002</v>
      </c>
      <c r="C456" s="4">
        <f>Tabela8[[#This Row],[Alongamento (mm/mm)]]/$I$2</f>
        <v>7.1744000000000002E-2</v>
      </c>
      <c r="D456" s="1">
        <v>594.33000000000004</v>
      </c>
      <c r="E456" s="4">
        <f>Tabela8[[#This Row],[Forτa(N)]]/$I$5</f>
        <v>13804741.177071771</v>
      </c>
      <c r="F456" s="4">
        <f>Tabela8[[#This Row],[Tensão (Pa)]]/1000000</f>
        <v>13.804741177071771</v>
      </c>
    </row>
    <row r="457" spans="1:6" x14ac:dyDescent="0.3">
      <c r="A457" s="1">
        <v>43.25</v>
      </c>
      <c r="B457" s="1">
        <v>3.5969000000000002</v>
      </c>
      <c r="C457" s="4">
        <f>Tabela8[[#This Row],[Alongamento (mm/mm)]]/$I$2</f>
        <v>7.1938000000000002E-2</v>
      </c>
      <c r="D457" s="1">
        <v>598.75</v>
      </c>
      <c r="E457" s="4">
        <f>Tabela8[[#This Row],[Forτa(N)]]/$I$5</f>
        <v>13907406.289051069</v>
      </c>
      <c r="F457" s="4">
        <f>Tabela8[[#This Row],[Tensão (Pa)]]/1000000</f>
        <v>13.907406289051069</v>
      </c>
    </row>
    <row r="458" spans="1:6" x14ac:dyDescent="0.3">
      <c r="A458" s="1">
        <v>43.383000000000003</v>
      </c>
      <c r="B458" s="1">
        <v>3.6080000000000001</v>
      </c>
      <c r="C458" s="4">
        <f>Tabela8[[#This Row],[Alongamento (mm/mm)]]/$I$2</f>
        <v>7.2160000000000002E-2</v>
      </c>
      <c r="D458" s="1">
        <v>603.67999999999995</v>
      </c>
      <c r="E458" s="4">
        <f>Tabela8[[#This Row],[Forτa(N)]]/$I$5</f>
        <v>14021917.375489518</v>
      </c>
      <c r="F458" s="4">
        <f>Tabela8[[#This Row],[Tensão (Pa)]]/1000000</f>
        <v>14.021917375489519</v>
      </c>
    </row>
    <row r="459" spans="1:6" x14ac:dyDescent="0.3">
      <c r="A459" s="1">
        <v>43.5</v>
      </c>
      <c r="B459" s="1">
        <v>3.6177000000000001</v>
      </c>
      <c r="C459" s="4">
        <f>Tabela8[[#This Row],[Alongamento (mm/mm)]]/$I$2</f>
        <v>7.2354000000000002E-2</v>
      </c>
      <c r="D459" s="1">
        <v>608.1</v>
      </c>
      <c r="E459" s="4">
        <f>Tabela8[[#This Row],[Forτa(N)]]/$I$5</f>
        <v>14124582.48746882</v>
      </c>
      <c r="F459" s="4">
        <f>Tabela8[[#This Row],[Tensão (Pa)]]/1000000</f>
        <v>14.124582487468819</v>
      </c>
    </row>
    <row r="460" spans="1:6" x14ac:dyDescent="0.3">
      <c r="A460" s="1">
        <v>43.616999999999997</v>
      </c>
      <c r="B460" s="1">
        <v>3.6274999999999999</v>
      </c>
      <c r="C460" s="4">
        <f>Tabela8[[#This Row],[Alongamento (mm/mm)]]/$I$2</f>
        <v>7.2550000000000003E-2</v>
      </c>
      <c r="D460" s="1">
        <v>612.53</v>
      </c>
      <c r="E460" s="4">
        <f>Tabela8[[#This Row],[Forτa(N)]]/$I$5</f>
        <v>14227479.873457121</v>
      </c>
      <c r="F460" s="4">
        <f>Tabela8[[#This Row],[Tensão (Pa)]]/1000000</f>
        <v>14.227479873457121</v>
      </c>
    </row>
    <row r="461" spans="1:6" x14ac:dyDescent="0.3">
      <c r="A461" s="1">
        <v>43.75</v>
      </c>
      <c r="B461" s="1">
        <v>3.6385999999999998</v>
      </c>
      <c r="C461" s="4">
        <f>Tabela8[[#This Row],[Alongamento (mm/mm)]]/$I$2</f>
        <v>7.2772000000000003E-2</v>
      </c>
      <c r="D461" s="1">
        <v>617.63</v>
      </c>
      <c r="E461" s="4">
        <f>Tabela8[[#This Row],[Forτa(N)]]/$I$5</f>
        <v>14345939.618048621</v>
      </c>
      <c r="F461" s="4">
        <f>Tabela8[[#This Row],[Tensão (Pa)]]/1000000</f>
        <v>14.345939618048622</v>
      </c>
    </row>
    <row r="462" spans="1:6" x14ac:dyDescent="0.3">
      <c r="A462" s="1">
        <v>43.883000000000003</v>
      </c>
      <c r="B462" s="1">
        <v>3.6496</v>
      </c>
      <c r="C462" s="4">
        <f>Tabela8[[#This Row],[Alongamento (mm/mm)]]/$I$2</f>
        <v>7.2992000000000001E-2</v>
      </c>
      <c r="D462" s="1">
        <v>622.73</v>
      </c>
      <c r="E462" s="4">
        <f>Tabela8[[#This Row],[Forτa(N)]]/$I$5</f>
        <v>14464399.362640122</v>
      </c>
      <c r="F462" s="4">
        <f>Tabela8[[#This Row],[Tensão (Pa)]]/1000000</f>
        <v>14.464399362640123</v>
      </c>
    </row>
    <row r="463" spans="1:6" x14ac:dyDescent="0.3">
      <c r="A463" s="1">
        <v>44.017000000000003</v>
      </c>
      <c r="B463" s="1">
        <v>3.6606999999999998</v>
      </c>
      <c r="C463" s="4">
        <f>Tabela8[[#This Row],[Alongamento (mm/mm)]]/$I$2</f>
        <v>7.3214000000000001E-2</v>
      </c>
      <c r="D463" s="1">
        <v>627.83000000000004</v>
      </c>
      <c r="E463" s="4">
        <f>Tabela8[[#This Row],[Forτa(N)]]/$I$5</f>
        <v>14582859.107231623</v>
      </c>
      <c r="F463" s="4">
        <f>Tabela8[[#This Row],[Tensão (Pa)]]/1000000</f>
        <v>14.582859107231622</v>
      </c>
    </row>
    <row r="464" spans="1:6" x14ac:dyDescent="0.3">
      <c r="A464" s="1">
        <v>44.15</v>
      </c>
      <c r="B464" s="1">
        <v>3.6718999999999999</v>
      </c>
      <c r="C464" s="4">
        <f>Tabela8[[#This Row],[Alongamento (mm/mm)]]/$I$2</f>
        <v>7.3438000000000003E-2</v>
      </c>
      <c r="D464" s="1">
        <v>632.94000000000005</v>
      </c>
      <c r="E464" s="4">
        <f>Tabela8[[#This Row],[Forτa(N)]]/$I$5</f>
        <v>14701551.125832124</v>
      </c>
      <c r="F464" s="4">
        <f>Tabela8[[#This Row],[Tensão (Pa)]]/1000000</f>
        <v>14.701551125832124</v>
      </c>
    </row>
    <row r="465" spans="1:6" x14ac:dyDescent="0.3">
      <c r="A465" s="1">
        <v>44.283000000000001</v>
      </c>
      <c r="B465" s="1">
        <v>3.6829999999999998</v>
      </c>
      <c r="C465" s="4">
        <f>Tabela8[[#This Row],[Alongamento (mm/mm)]]/$I$2</f>
        <v>7.3660000000000003E-2</v>
      </c>
      <c r="D465" s="1">
        <v>638.21</v>
      </c>
      <c r="E465" s="4">
        <f>Tabela8[[#This Row],[Forτa(N)]]/$I$5</f>
        <v>14823959.528576674</v>
      </c>
      <c r="F465" s="4">
        <f>Tabela8[[#This Row],[Tensão (Pa)]]/1000000</f>
        <v>14.823959528576674</v>
      </c>
    </row>
    <row r="466" spans="1:6" x14ac:dyDescent="0.3">
      <c r="A466" s="1">
        <v>44.417000000000002</v>
      </c>
      <c r="B466" s="1">
        <v>3.6941000000000002</v>
      </c>
      <c r="C466" s="4">
        <f>Tabela8[[#This Row],[Alongamento (mm/mm)]]/$I$2</f>
        <v>7.3882000000000003E-2</v>
      </c>
      <c r="D466" s="1">
        <v>643.48</v>
      </c>
      <c r="E466" s="4">
        <f>Tabela8[[#This Row],[Forτa(N)]]/$I$5</f>
        <v>14946367.931321222</v>
      </c>
      <c r="F466" s="4">
        <f>Tabela8[[#This Row],[Tensão (Pa)]]/1000000</f>
        <v>14.946367931321223</v>
      </c>
    </row>
    <row r="467" spans="1:6" x14ac:dyDescent="0.3">
      <c r="A467" s="1">
        <v>44.55</v>
      </c>
      <c r="B467" s="1">
        <v>3.7052999999999998</v>
      </c>
      <c r="C467" s="4">
        <f>Tabela8[[#This Row],[Alongamento (mm/mm)]]/$I$2</f>
        <v>7.4105999999999991E-2</v>
      </c>
      <c r="D467" s="1">
        <v>648.76</v>
      </c>
      <c r="E467" s="4">
        <f>Tabela8[[#This Row],[Forτa(N)]]/$I$5</f>
        <v>15069008.608074775</v>
      </c>
      <c r="F467" s="4">
        <f>Tabela8[[#This Row],[Tensão (Pa)]]/1000000</f>
        <v>15.069008608074775</v>
      </c>
    </row>
    <row r="468" spans="1:6" x14ac:dyDescent="0.3">
      <c r="A468" s="1">
        <v>44.683</v>
      </c>
      <c r="B468" s="1">
        <v>3.7164000000000001</v>
      </c>
      <c r="C468" s="4">
        <f>Tabela8[[#This Row],[Alongamento (mm/mm)]]/$I$2</f>
        <v>7.4328000000000005E-2</v>
      </c>
      <c r="D468" s="1">
        <v>654.03</v>
      </c>
      <c r="E468" s="4">
        <f>Tabela8[[#This Row],[Forτa(N)]]/$I$5</f>
        <v>15191417.010819325</v>
      </c>
      <c r="F468" s="4">
        <f>Tabela8[[#This Row],[Tensão (Pa)]]/1000000</f>
        <v>15.191417010819325</v>
      </c>
    </row>
    <row r="469" spans="1:6" x14ac:dyDescent="0.3">
      <c r="A469" s="1">
        <v>44.817</v>
      </c>
      <c r="B469" s="1">
        <v>3.7273999999999998</v>
      </c>
      <c r="C469" s="4">
        <f>Tabela8[[#This Row],[Alongamento (mm/mm)]]/$I$2</f>
        <v>7.4548000000000003E-2</v>
      </c>
      <c r="D469" s="1">
        <v>659.13</v>
      </c>
      <c r="E469" s="4">
        <f>Tabela8[[#This Row],[Forτa(N)]]/$I$5</f>
        <v>15309876.755410824</v>
      </c>
      <c r="F469" s="4">
        <f>Tabela8[[#This Row],[Tensão (Pa)]]/1000000</f>
        <v>15.309876755410825</v>
      </c>
    </row>
    <row r="470" spans="1:6" x14ac:dyDescent="0.3">
      <c r="A470" s="1">
        <v>44.95</v>
      </c>
      <c r="B470" s="1">
        <v>3.7385000000000002</v>
      </c>
      <c r="C470" s="4">
        <f>Tabela8[[#This Row],[Alongamento (mm/mm)]]/$I$2</f>
        <v>7.4770000000000003E-2</v>
      </c>
      <c r="D470" s="1">
        <v>664.41</v>
      </c>
      <c r="E470" s="4">
        <f>Tabela8[[#This Row],[Forτa(N)]]/$I$5</f>
        <v>15432517.432164377</v>
      </c>
      <c r="F470" s="4">
        <f>Tabela8[[#This Row],[Tensão (Pa)]]/1000000</f>
        <v>15.432517432164376</v>
      </c>
    </row>
    <row r="471" spans="1:6" x14ac:dyDescent="0.3">
      <c r="A471" s="1">
        <v>45.082999999999998</v>
      </c>
      <c r="B471" s="1">
        <v>3.7496999999999998</v>
      </c>
      <c r="C471" s="4">
        <f>Tabela8[[#This Row],[Alongamento (mm/mm)]]/$I$2</f>
        <v>7.4993999999999991E-2</v>
      </c>
      <c r="D471" s="1">
        <v>669.68</v>
      </c>
      <c r="E471" s="4">
        <f>Tabela8[[#This Row],[Forτa(N)]]/$I$5</f>
        <v>15554925.834908927</v>
      </c>
      <c r="F471" s="4">
        <f>Tabela8[[#This Row],[Tensão (Pa)]]/1000000</f>
        <v>15.554925834908927</v>
      </c>
    </row>
    <row r="472" spans="1:6" x14ac:dyDescent="0.3">
      <c r="A472" s="1">
        <v>45.216999999999999</v>
      </c>
      <c r="B472" s="1">
        <v>3.7608000000000001</v>
      </c>
      <c r="C472" s="4">
        <f>Tabela8[[#This Row],[Alongamento (mm/mm)]]/$I$2</f>
        <v>7.5216000000000005E-2</v>
      </c>
      <c r="D472" s="1">
        <v>674.95</v>
      </c>
      <c r="E472" s="4">
        <f>Tabela8[[#This Row],[Forτa(N)]]/$I$5</f>
        <v>15677334.237653477</v>
      </c>
      <c r="F472" s="4">
        <f>Tabela8[[#This Row],[Tensão (Pa)]]/1000000</f>
        <v>15.677334237653477</v>
      </c>
    </row>
    <row r="473" spans="1:6" x14ac:dyDescent="0.3">
      <c r="A473" s="1">
        <v>45.35</v>
      </c>
      <c r="B473" s="1">
        <v>3.7719</v>
      </c>
      <c r="C473" s="4">
        <f>Tabela8[[#This Row],[Alongamento (mm/mm)]]/$I$2</f>
        <v>7.5438000000000005E-2</v>
      </c>
      <c r="D473" s="1">
        <v>680.23</v>
      </c>
      <c r="E473" s="4">
        <f>Tabela8[[#This Row],[Forτa(N)]]/$I$5</f>
        <v>15799974.91440703</v>
      </c>
      <c r="F473" s="4">
        <f>Tabela8[[#This Row],[Tensão (Pa)]]/1000000</f>
        <v>15.799974914407029</v>
      </c>
    </row>
    <row r="474" spans="1:6" x14ac:dyDescent="0.3">
      <c r="A474" s="1">
        <v>45.482999999999997</v>
      </c>
      <c r="B474" s="1">
        <v>3.7829999999999999</v>
      </c>
      <c r="C474" s="4">
        <f>Tabela8[[#This Row],[Alongamento (mm/mm)]]/$I$2</f>
        <v>7.5660000000000005E-2</v>
      </c>
      <c r="D474" s="1">
        <v>685.5</v>
      </c>
      <c r="E474" s="4">
        <f>Tabela8[[#This Row],[Forτa(N)]]/$I$5</f>
        <v>15922383.31715158</v>
      </c>
      <c r="F474" s="4">
        <f>Tabela8[[#This Row],[Tensão (Pa)]]/1000000</f>
        <v>15.92238331715158</v>
      </c>
    </row>
    <row r="475" spans="1:6" x14ac:dyDescent="0.3">
      <c r="A475" s="1">
        <v>45.616999999999997</v>
      </c>
      <c r="B475" s="1">
        <v>3.7942</v>
      </c>
      <c r="C475" s="4">
        <f>Tabela8[[#This Row],[Alongamento (mm/mm)]]/$I$2</f>
        <v>7.5884000000000007E-2</v>
      </c>
      <c r="D475" s="1">
        <v>690.6</v>
      </c>
      <c r="E475" s="4">
        <f>Tabela8[[#This Row],[Forτa(N)]]/$I$5</f>
        <v>16040843.061743079</v>
      </c>
      <c r="F475" s="4">
        <f>Tabela8[[#This Row],[Tensão (Pa)]]/1000000</f>
        <v>16.040843061743079</v>
      </c>
    </row>
    <row r="476" spans="1:6" x14ac:dyDescent="0.3">
      <c r="A476" s="1">
        <v>45.75</v>
      </c>
      <c r="B476" s="1">
        <v>3.8052000000000001</v>
      </c>
      <c r="C476" s="4">
        <f>Tabela8[[#This Row],[Alongamento (mm/mm)]]/$I$2</f>
        <v>7.6104000000000005E-2</v>
      </c>
      <c r="D476" s="1">
        <v>696.04</v>
      </c>
      <c r="E476" s="4">
        <f>Tabela8[[#This Row],[Forτa(N)]]/$I$5</f>
        <v>16167200.122640679</v>
      </c>
      <c r="F476" s="4">
        <f>Tabela8[[#This Row],[Tensão (Pa)]]/1000000</f>
        <v>16.167200122640679</v>
      </c>
    </row>
    <row r="477" spans="1:6" x14ac:dyDescent="0.3">
      <c r="A477" s="1">
        <v>45.883000000000003</v>
      </c>
      <c r="B477" s="1">
        <v>3.8163</v>
      </c>
      <c r="C477" s="4">
        <f>Tabela8[[#This Row],[Alongamento (mm/mm)]]/$I$2</f>
        <v>7.6326000000000005E-2</v>
      </c>
      <c r="D477" s="1">
        <v>701.49</v>
      </c>
      <c r="E477" s="4">
        <f>Tabela8[[#This Row],[Forτa(N)]]/$I$5</f>
        <v>16293789.457547281</v>
      </c>
      <c r="F477" s="4">
        <f>Tabela8[[#This Row],[Tensão (Pa)]]/1000000</f>
        <v>16.29378945754728</v>
      </c>
    </row>
    <row r="478" spans="1:6" x14ac:dyDescent="0.3">
      <c r="A478" s="1">
        <v>46.017000000000003</v>
      </c>
      <c r="B478" s="1">
        <v>3.8275000000000001</v>
      </c>
      <c r="C478" s="4">
        <f>Tabela8[[#This Row],[Alongamento (mm/mm)]]/$I$2</f>
        <v>7.6550000000000007E-2</v>
      </c>
      <c r="D478" s="1">
        <v>706.93</v>
      </c>
      <c r="E478" s="4">
        <f>Tabela8[[#This Row],[Forτa(N)]]/$I$5</f>
        <v>16420146.518444879</v>
      </c>
      <c r="F478" s="4">
        <f>Tabela8[[#This Row],[Tensão (Pa)]]/1000000</f>
        <v>16.420146518444881</v>
      </c>
    </row>
    <row r="479" spans="1:6" x14ac:dyDescent="0.3">
      <c r="A479" s="1">
        <v>46.15</v>
      </c>
      <c r="B479" s="1">
        <v>3.8384999999999998</v>
      </c>
      <c r="C479" s="4">
        <f>Tabela8[[#This Row],[Alongamento (mm/mm)]]/$I$2</f>
        <v>7.6769999999999991E-2</v>
      </c>
      <c r="D479" s="1">
        <v>712.37</v>
      </c>
      <c r="E479" s="4">
        <f>Tabela8[[#This Row],[Forτa(N)]]/$I$5</f>
        <v>16546503.579342481</v>
      </c>
      <c r="F479" s="4">
        <f>Tabela8[[#This Row],[Tensão (Pa)]]/1000000</f>
        <v>16.546503579342481</v>
      </c>
    </row>
    <row r="480" spans="1:6" x14ac:dyDescent="0.3">
      <c r="A480" s="1">
        <v>46.283000000000001</v>
      </c>
      <c r="B480" s="1">
        <v>3.8496999999999999</v>
      </c>
      <c r="C480" s="4">
        <f>Tabela8[[#This Row],[Alongamento (mm/mm)]]/$I$2</f>
        <v>7.6993999999999993E-2</v>
      </c>
      <c r="D480" s="1">
        <v>717.82</v>
      </c>
      <c r="E480" s="4">
        <f>Tabela8[[#This Row],[Forτa(N)]]/$I$5</f>
        <v>16673092.914249085</v>
      </c>
      <c r="F480" s="4">
        <f>Tabela8[[#This Row],[Tensão (Pa)]]/1000000</f>
        <v>16.673092914249086</v>
      </c>
    </row>
    <row r="481" spans="1:6" x14ac:dyDescent="0.3">
      <c r="A481" s="1">
        <v>46.417000000000002</v>
      </c>
      <c r="B481" s="1">
        <v>3.8607999999999998</v>
      </c>
      <c r="C481" s="4">
        <f>Tabela8[[#This Row],[Alongamento (mm/mm)]]/$I$2</f>
        <v>7.7215999999999993E-2</v>
      </c>
      <c r="D481" s="1">
        <v>723.26</v>
      </c>
      <c r="E481" s="4">
        <f>Tabela8[[#This Row],[Forτa(N)]]/$I$5</f>
        <v>16799449.975146681</v>
      </c>
      <c r="F481" s="4">
        <f>Tabela8[[#This Row],[Tensão (Pa)]]/1000000</f>
        <v>16.799449975146683</v>
      </c>
    </row>
    <row r="482" spans="1:6" x14ac:dyDescent="0.3">
      <c r="A482" s="1">
        <v>46.55</v>
      </c>
      <c r="B482" s="1">
        <v>3.8719000000000001</v>
      </c>
      <c r="C482" s="4">
        <f>Tabela8[[#This Row],[Alongamento (mm/mm)]]/$I$2</f>
        <v>7.7438000000000007E-2</v>
      </c>
      <c r="D482" s="1">
        <v>728.87</v>
      </c>
      <c r="E482" s="4">
        <f>Tabela8[[#This Row],[Forτa(N)]]/$I$5</f>
        <v>16929755.694197334</v>
      </c>
      <c r="F482" s="4">
        <f>Tabela8[[#This Row],[Tensão (Pa)]]/1000000</f>
        <v>16.929755694197333</v>
      </c>
    </row>
    <row r="483" spans="1:6" x14ac:dyDescent="0.3">
      <c r="A483" s="1">
        <v>46.683</v>
      </c>
      <c r="B483" s="1">
        <v>3.8828999999999998</v>
      </c>
      <c r="C483" s="4">
        <f>Tabela8[[#This Row],[Alongamento (mm/mm)]]/$I$2</f>
        <v>7.7657999999999991E-2</v>
      </c>
      <c r="D483" s="1">
        <v>734.32</v>
      </c>
      <c r="E483" s="4">
        <f>Tabela8[[#This Row],[Forτa(N)]]/$I$5</f>
        <v>17056345.029103935</v>
      </c>
      <c r="F483" s="4">
        <f>Tabela8[[#This Row],[Tensão (Pa)]]/1000000</f>
        <v>17.056345029103934</v>
      </c>
    </row>
    <row r="484" spans="1:6" x14ac:dyDescent="0.3">
      <c r="A484" s="1">
        <v>46.817</v>
      </c>
      <c r="B484" s="1">
        <v>3.8940999999999999</v>
      </c>
      <c r="C484" s="4">
        <f>Tabela8[[#This Row],[Alongamento (mm/mm)]]/$I$2</f>
        <v>7.7881999999999993E-2</v>
      </c>
      <c r="D484" s="1">
        <v>739.76</v>
      </c>
      <c r="E484" s="4">
        <f>Tabela8[[#This Row],[Forτa(N)]]/$I$5</f>
        <v>17182702.090001535</v>
      </c>
      <c r="F484" s="4">
        <f>Tabela8[[#This Row],[Tensão (Pa)]]/1000000</f>
        <v>17.182702090001534</v>
      </c>
    </row>
    <row r="485" spans="1:6" x14ac:dyDescent="0.3">
      <c r="A485" s="1">
        <v>46.95</v>
      </c>
      <c r="B485" s="1">
        <v>3.9053</v>
      </c>
      <c r="C485" s="4">
        <f>Tabela8[[#This Row],[Alongamento (mm/mm)]]/$I$2</f>
        <v>7.8105999999999995E-2</v>
      </c>
      <c r="D485" s="1">
        <v>745.37</v>
      </c>
      <c r="E485" s="4">
        <f>Tabela8[[#This Row],[Forτa(N)]]/$I$5</f>
        <v>17313007.809052184</v>
      </c>
      <c r="F485" s="4">
        <f>Tabela8[[#This Row],[Tensão (Pa)]]/1000000</f>
        <v>17.313007809052184</v>
      </c>
    </row>
    <row r="486" spans="1:6" x14ac:dyDescent="0.3">
      <c r="A486" s="1">
        <v>47.1</v>
      </c>
      <c r="B486" s="1">
        <v>3.9177</v>
      </c>
      <c r="C486" s="4">
        <f>Tabela8[[#This Row],[Alongamento (mm/mm)]]/$I$2</f>
        <v>7.8353999999999993E-2</v>
      </c>
      <c r="D486" s="1">
        <v>751.5</v>
      </c>
      <c r="E486" s="4">
        <f>Tabela8[[#This Row],[Forτa(N)]]/$I$5</f>
        <v>17455391.776570987</v>
      </c>
      <c r="F486" s="4">
        <f>Tabela8[[#This Row],[Tensão (Pa)]]/1000000</f>
        <v>17.455391776570988</v>
      </c>
    </row>
    <row r="487" spans="1:6" x14ac:dyDescent="0.3">
      <c r="A487" s="1">
        <v>47.25</v>
      </c>
      <c r="B487" s="1">
        <v>3.9302000000000001</v>
      </c>
      <c r="C487" s="4">
        <f>Tabela8[[#This Row],[Alongamento (mm/mm)]]/$I$2</f>
        <v>7.8604000000000007E-2</v>
      </c>
      <c r="D487" s="1">
        <v>757.79</v>
      </c>
      <c r="E487" s="4">
        <f>Tabela8[[#This Row],[Forτa(N)]]/$I$5</f>
        <v>17601492.128233835</v>
      </c>
      <c r="F487" s="4">
        <f>Tabela8[[#This Row],[Tensão (Pa)]]/1000000</f>
        <v>17.601492128233836</v>
      </c>
    </row>
    <row r="488" spans="1:6" x14ac:dyDescent="0.3">
      <c r="A488" s="1">
        <v>47.4</v>
      </c>
      <c r="B488" s="1">
        <v>3.9428000000000001</v>
      </c>
      <c r="C488" s="4">
        <f>Tabela8[[#This Row],[Alongamento (mm/mm)]]/$I$2</f>
        <v>7.8855999999999996E-2</v>
      </c>
      <c r="D488" s="1">
        <v>764.08</v>
      </c>
      <c r="E488" s="4">
        <f>Tabela8[[#This Row],[Forτa(N)]]/$I$5</f>
        <v>17747592.479896687</v>
      </c>
      <c r="F488" s="4">
        <f>Tabela8[[#This Row],[Tensão (Pa)]]/1000000</f>
        <v>17.747592479896689</v>
      </c>
    </row>
    <row r="489" spans="1:6" x14ac:dyDescent="0.3">
      <c r="A489" s="1">
        <v>47.533000000000001</v>
      </c>
      <c r="B489" s="1">
        <v>3.9538000000000002</v>
      </c>
      <c r="C489" s="4">
        <f>Tabela8[[#This Row],[Alongamento (mm/mm)]]/$I$2</f>
        <v>7.9076000000000007E-2</v>
      </c>
      <c r="D489" s="1">
        <v>769.87</v>
      </c>
      <c r="E489" s="4">
        <f>Tabela8[[#This Row],[Forτa(N)]]/$I$5</f>
        <v>17882079.13110939</v>
      </c>
      <c r="F489" s="4">
        <f>Tabela8[[#This Row],[Tensão (Pa)]]/1000000</f>
        <v>17.882079131109389</v>
      </c>
    </row>
    <row r="490" spans="1:6" x14ac:dyDescent="0.3">
      <c r="A490" s="1">
        <v>47.683</v>
      </c>
      <c r="B490" s="1">
        <v>3.9662999999999999</v>
      </c>
      <c r="C490" s="4">
        <f>Tabela8[[#This Row],[Alongamento (mm/mm)]]/$I$2</f>
        <v>7.9325999999999994E-2</v>
      </c>
      <c r="D490" s="1">
        <v>776.16</v>
      </c>
      <c r="E490" s="4">
        <f>Tabela8[[#This Row],[Forτa(N)]]/$I$5</f>
        <v>18028179.482772239</v>
      </c>
      <c r="F490" s="4">
        <f>Tabela8[[#This Row],[Tensão (Pa)]]/1000000</f>
        <v>18.028179482772238</v>
      </c>
    </row>
    <row r="491" spans="1:6" x14ac:dyDescent="0.3">
      <c r="A491" s="1">
        <v>47.817</v>
      </c>
      <c r="B491" s="1">
        <v>3.9775</v>
      </c>
      <c r="C491" s="4">
        <f>Tabela8[[#This Row],[Alongamento (mm/mm)]]/$I$2</f>
        <v>7.9549999999999996E-2</v>
      </c>
      <c r="D491" s="1">
        <v>781.94</v>
      </c>
      <c r="E491" s="4">
        <f>Tabela8[[#This Row],[Forτa(N)]]/$I$5</f>
        <v>18162433.859975941</v>
      </c>
      <c r="F491" s="4">
        <f>Tabela8[[#This Row],[Tensão (Pa)]]/1000000</f>
        <v>18.162433859975941</v>
      </c>
    </row>
    <row r="492" spans="1:6" x14ac:dyDescent="0.3">
      <c r="A492" s="1">
        <v>47.966999999999999</v>
      </c>
      <c r="B492" s="1">
        <v>3.99</v>
      </c>
      <c r="C492" s="4">
        <f>Tabela8[[#This Row],[Alongamento (mm/mm)]]/$I$2</f>
        <v>7.980000000000001E-2</v>
      </c>
      <c r="D492" s="1">
        <v>788.07</v>
      </c>
      <c r="E492" s="4">
        <f>Tabela8[[#This Row],[Forτa(N)]]/$I$5</f>
        <v>18304817.82749474</v>
      </c>
      <c r="F492" s="4">
        <f>Tabela8[[#This Row],[Tensão (Pa)]]/1000000</f>
        <v>18.304817827494741</v>
      </c>
    </row>
    <row r="493" spans="1:6" x14ac:dyDescent="0.3">
      <c r="A493" s="1">
        <v>48.116999999999997</v>
      </c>
      <c r="B493" s="1">
        <v>4.0023999999999997</v>
      </c>
      <c r="C493" s="4">
        <f>Tabela8[[#This Row],[Alongamento (mm/mm)]]/$I$2</f>
        <v>8.0047999999999994E-2</v>
      </c>
      <c r="D493" s="1">
        <v>794.36</v>
      </c>
      <c r="E493" s="4">
        <f>Tabela8[[#This Row],[Forτa(N)]]/$I$5</f>
        <v>18450918.179157592</v>
      </c>
      <c r="F493" s="4">
        <f>Tabela8[[#This Row],[Tensão (Pa)]]/1000000</f>
        <v>18.450918179157593</v>
      </c>
    </row>
    <row r="494" spans="1:6" x14ac:dyDescent="0.3">
      <c r="A494" s="1">
        <v>48.267000000000003</v>
      </c>
      <c r="B494" s="1">
        <v>4.0149999999999997</v>
      </c>
      <c r="C494" s="4">
        <f>Tabela8[[#This Row],[Alongamento (mm/mm)]]/$I$2</f>
        <v>8.0299999999999996E-2</v>
      </c>
      <c r="D494" s="1">
        <v>800.66</v>
      </c>
      <c r="E494" s="4">
        <f>Tabela8[[#This Row],[Forτa(N)]]/$I$5</f>
        <v>18597250.804829441</v>
      </c>
      <c r="F494" s="4">
        <f>Tabela8[[#This Row],[Tensão (Pa)]]/1000000</f>
        <v>18.597250804829439</v>
      </c>
    </row>
    <row r="495" spans="1:6" x14ac:dyDescent="0.3">
      <c r="A495" s="1">
        <v>48.417000000000002</v>
      </c>
      <c r="B495" s="1">
        <v>4.0274999999999999</v>
      </c>
      <c r="C495" s="4">
        <f>Tabela8[[#This Row],[Alongamento (mm/mm)]]/$I$2</f>
        <v>8.0549999999999997E-2</v>
      </c>
      <c r="D495" s="1">
        <v>807.12</v>
      </c>
      <c r="E495" s="4">
        <f>Tabela8[[#This Row],[Forτa(N)]]/$I$5</f>
        <v>18747299.814645343</v>
      </c>
      <c r="F495" s="4">
        <f>Tabela8[[#This Row],[Tensão (Pa)]]/1000000</f>
        <v>18.747299814645341</v>
      </c>
    </row>
    <row r="496" spans="1:6" x14ac:dyDescent="0.3">
      <c r="A496" s="1">
        <v>48.567</v>
      </c>
      <c r="B496" s="1">
        <v>4.0399000000000003</v>
      </c>
      <c r="C496" s="4">
        <f>Tabela8[[#This Row],[Alongamento (mm/mm)]]/$I$2</f>
        <v>8.0798000000000009E-2</v>
      </c>
      <c r="D496" s="1">
        <v>813.41</v>
      </c>
      <c r="E496" s="4">
        <f>Tabela8[[#This Row],[Forτa(N)]]/$I$5</f>
        <v>18893400.166308191</v>
      </c>
      <c r="F496" s="4">
        <f>Tabela8[[#This Row],[Tensão (Pa)]]/1000000</f>
        <v>18.89340016630819</v>
      </c>
    </row>
    <row r="497" spans="1:6" x14ac:dyDescent="0.3">
      <c r="A497" s="1">
        <v>48.716999999999999</v>
      </c>
      <c r="B497" s="1">
        <v>4.0525000000000002</v>
      </c>
      <c r="C497" s="4">
        <f>Tabela8[[#This Row],[Alongamento (mm/mm)]]/$I$2</f>
        <v>8.1050000000000011E-2</v>
      </c>
      <c r="D497" s="1">
        <v>819.71</v>
      </c>
      <c r="E497" s="4">
        <f>Tabela8[[#This Row],[Forτa(N)]]/$I$5</f>
        <v>19039732.791980047</v>
      </c>
      <c r="F497" s="4">
        <f>Tabela8[[#This Row],[Tensão (Pa)]]/1000000</f>
        <v>19.039732791980047</v>
      </c>
    </row>
    <row r="498" spans="1:6" x14ac:dyDescent="0.3">
      <c r="A498" s="1">
        <v>48.866999999999997</v>
      </c>
      <c r="B498" s="1">
        <v>4.0648999999999997</v>
      </c>
      <c r="C498" s="4">
        <f>Tabela8[[#This Row],[Alongamento (mm/mm)]]/$I$2</f>
        <v>8.1297999999999995E-2</v>
      </c>
      <c r="D498" s="1">
        <v>826.17</v>
      </c>
      <c r="E498" s="4">
        <f>Tabela8[[#This Row],[Forτa(N)]]/$I$5</f>
        <v>19189781.801795945</v>
      </c>
      <c r="F498" s="4">
        <f>Tabela8[[#This Row],[Tensão (Pa)]]/1000000</f>
        <v>19.189781801795945</v>
      </c>
    </row>
    <row r="499" spans="1:6" x14ac:dyDescent="0.3">
      <c r="A499" s="1">
        <v>49.017000000000003</v>
      </c>
      <c r="B499" s="1">
        <v>4.0773999999999999</v>
      </c>
      <c r="C499" s="4">
        <f>Tabela8[[#This Row],[Alongamento (mm/mm)]]/$I$2</f>
        <v>8.1547999999999995E-2</v>
      </c>
      <c r="D499" s="1">
        <v>832.63</v>
      </c>
      <c r="E499" s="4">
        <f>Tabela8[[#This Row],[Forτa(N)]]/$I$5</f>
        <v>19339830.811611846</v>
      </c>
      <c r="F499" s="4">
        <f>Tabela8[[#This Row],[Tensão (Pa)]]/1000000</f>
        <v>19.339830811611847</v>
      </c>
    </row>
    <row r="500" spans="1:6" x14ac:dyDescent="0.3">
      <c r="A500" s="1">
        <v>49.183</v>
      </c>
      <c r="B500" s="1">
        <v>4.0914000000000001</v>
      </c>
      <c r="C500" s="4">
        <f>Tabela8[[#This Row],[Alongamento (mm/mm)]]/$I$2</f>
        <v>8.1827999999999998E-2</v>
      </c>
      <c r="D500" s="1">
        <v>839.61</v>
      </c>
      <c r="E500" s="4">
        <f>Tabela8[[#This Row],[Forτa(N)]]/$I$5</f>
        <v>19501958.069895897</v>
      </c>
      <c r="F500" s="4">
        <f>Tabela8[[#This Row],[Tensão (Pa)]]/1000000</f>
        <v>19.501958069895895</v>
      </c>
    </row>
    <row r="501" spans="1:6" x14ac:dyDescent="0.3">
      <c r="A501" s="1">
        <v>49.35</v>
      </c>
      <c r="B501" s="1">
        <v>4.1052</v>
      </c>
      <c r="C501" s="4">
        <f>Tabela8[[#This Row],[Alongamento (mm/mm)]]/$I$2</f>
        <v>8.2103999999999996E-2</v>
      </c>
      <c r="D501" s="1">
        <v>846.58</v>
      </c>
      <c r="E501" s="4">
        <f>Tabela8[[#This Row],[Forτa(N)]]/$I$5</f>
        <v>19663853.054170948</v>
      </c>
      <c r="F501" s="4">
        <f>Tabela8[[#This Row],[Tensão (Pa)]]/1000000</f>
        <v>19.663853054170946</v>
      </c>
    </row>
    <row r="502" spans="1:6" x14ac:dyDescent="0.3">
      <c r="A502" s="1">
        <v>49.517000000000003</v>
      </c>
      <c r="B502" s="1">
        <v>4.1191000000000004</v>
      </c>
      <c r="C502" s="4">
        <f>Tabela8[[#This Row],[Alongamento (mm/mm)]]/$I$2</f>
        <v>8.2382000000000011E-2</v>
      </c>
      <c r="D502" s="1">
        <v>853.73</v>
      </c>
      <c r="E502" s="4">
        <f>Tabela8[[#This Row],[Forτa(N)]]/$I$5</f>
        <v>19829928.970608048</v>
      </c>
      <c r="F502" s="4">
        <f>Tabela8[[#This Row],[Tensão (Pa)]]/1000000</f>
        <v>19.829928970608048</v>
      </c>
    </row>
    <row r="503" spans="1:6" x14ac:dyDescent="0.3">
      <c r="A503" s="1">
        <v>49.683</v>
      </c>
      <c r="B503" s="1">
        <v>4.133</v>
      </c>
      <c r="C503" s="4">
        <f>Tabela8[[#This Row],[Alongamento (mm/mm)]]/$I$2</f>
        <v>8.2659999999999997E-2</v>
      </c>
      <c r="D503" s="1">
        <v>860.7</v>
      </c>
      <c r="E503" s="4">
        <f>Tabela8[[#This Row],[Forτa(N)]]/$I$5</f>
        <v>19991823.954883099</v>
      </c>
      <c r="F503" s="4">
        <f>Tabela8[[#This Row],[Tensão (Pa)]]/1000000</f>
        <v>19.991823954883099</v>
      </c>
    </row>
    <row r="504" spans="1:6" x14ac:dyDescent="0.3">
      <c r="A504" s="1">
        <v>49.832999999999998</v>
      </c>
      <c r="B504" s="1">
        <v>4.1455000000000002</v>
      </c>
      <c r="C504" s="4">
        <f>Tabela8[[#This Row],[Alongamento (mm/mm)]]/$I$2</f>
        <v>8.2909999999999998E-2</v>
      </c>
      <c r="D504" s="1">
        <v>867.16</v>
      </c>
      <c r="E504" s="4">
        <f>Tabela8[[#This Row],[Forτa(N)]]/$I$5</f>
        <v>20141872.964698996</v>
      </c>
      <c r="F504" s="4">
        <f>Tabela8[[#This Row],[Tensão (Pa)]]/1000000</f>
        <v>20.141872964698997</v>
      </c>
    </row>
    <row r="505" spans="1:6" x14ac:dyDescent="0.3">
      <c r="A505" s="1">
        <v>50</v>
      </c>
      <c r="B505" s="1">
        <v>4.1593999999999998</v>
      </c>
      <c r="C505" s="4">
        <f>Tabela8[[#This Row],[Alongamento (mm/mm)]]/$I$2</f>
        <v>8.3187999999999998E-2</v>
      </c>
      <c r="D505" s="1">
        <v>874.31</v>
      </c>
      <c r="E505" s="4">
        <f>Tabela8[[#This Row],[Forτa(N)]]/$I$5</f>
        <v>20307948.881136101</v>
      </c>
      <c r="F505" s="4">
        <f>Tabela8[[#This Row],[Tensão (Pa)]]/1000000</f>
        <v>20.307948881136102</v>
      </c>
    </row>
    <row r="506" spans="1:6" x14ac:dyDescent="0.3">
      <c r="A506" s="1">
        <v>50.167000000000002</v>
      </c>
      <c r="B506" s="1">
        <v>4.1731999999999996</v>
      </c>
      <c r="C506" s="4">
        <f>Tabela8[[#This Row],[Alongamento (mm/mm)]]/$I$2</f>
        <v>8.3463999999999997E-2</v>
      </c>
      <c r="D506" s="1">
        <v>881.45</v>
      </c>
      <c r="E506" s="4">
        <f>Tabela8[[#This Row],[Forτa(N)]]/$I$5</f>
        <v>20473792.523564201</v>
      </c>
      <c r="F506" s="4">
        <f>Tabela8[[#This Row],[Tensão (Pa)]]/1000000</f>
        <v>20.4737925235642</v>
      </c>
    </row>
    <row r="507" spans="1:6" x14ac:dyDescent="0.3">
      <c r="A507" s="1">
        <v>50.332999999999998</v>
      </c>
      <c r="B507" s="1">
        <v>4.1871</v>
      </c>
      <c r="C507" s="4">
        <f>Tabela8[[#This Row],[Alongamento (mm/mm)]]/$I$2</f>
        <v>8.3741999999999997E-2</v>
      </c>
      <c r="D507" s="1">
        <v>888.6</v>
      </c>
      <c r="E507" s="4">
        <f>Tabela8[[#This Row],[Forτa(N)]]/$I$5</f>
        <v>20639868.440001305</v>
      </c>
      <c r="F507" s="4">
        <f>Tabela8[[#This Row],[Tensão (Pa)]]/1000000</f>
        <v>20.639868440001305</v>
      </c>
    </row>
    <row r="508" spans="1:6" x14ac:dyDescent="0.3">
      <c r="A508" s="1">
        <v>50.5</v>
      </c>
      <c r="B508" s="1">
        <v>4.2011000000000003</v>
      </c>
      <c r="C508" s="4">
        <f>Tabela8[[#This Row],[Alongamento (mm/mm)]]/$I$2</f>
        <v>8.4021999999999999E-2</v>
      </c>
      <c r="D508" s="1">
        <v>895.74</v>
      </c>
      <c r="E508" s="4">
        <f>Tabela8[[#This Row],[Forτa(N)]]/$I$5</f>
        <v>20805712.082429402</v>
      </c>
      <c r="F508" s="4">
        <f>Tabela8[[#This Row],[Tensão (Pa)]]/1000000</f>
        <v>20.805712082429402</v>
      </c>
    </row>
    <row r="509" spans="1:6" x14ac:dyDescent="0.3">
      <c r="A509" s="1">
        <v>50.667000000000002</v>
      </c>
      <c r="B509" s="1">
        <v>4.2149999999999999</v>
      </c>
      <c r="C509" s="4">
        <f>Tabela8[[#This Row],[Alongamento (mm/mm)]]/$I$2</f>
        <v>8.43E-2</v>
      </c>
      <c r="D509" s="1">
        <v>902.88</v>
      </c>
      <c r="E509" s="4">
        <f>Tabela8[[#This Row],[Forτa(N)]]/$I$5</f>
        <v>20971555.724857502</v>
      </c>
      <c r="F509" s="4">
        <f>Tabela8[[#This Row],[Tensão (Pa)]]/1000000</f>
        <v>20.971555724857502</v>
      </c>
    </row>
    <row r="510" spans="1:6" x14ac:dyDescent="0.3">
      <c r="A510" s="1">
        <v>50.832999999999998</v>
      </c>
      <c r="B510" s="1">
        <v>4.2287999999999997</v>
      </c>
      <c r="C510" s="4">
        <f>Tabela8[[#This Row],[Alongamento (mm/mm)]]/$I$2</f>
        <v>8.4575999999999998E-2</v>
      </c>
      <c r="D510" s="1">
        <v>910.03</v>
      </c>
      <c r="E510" s="4">
        <f>Tabela8[[#This Row],[Forτa(N)]]/$I$5</f>
        <v>21137631.641294606</v>
      </c>
      <c r="F510" s="4">
        <f>Tabela8[[#This Row],[Tensão (Pa)]]/1000000</f>
        <v>21.137631641294607</v>
      </c>
    </row>
    <row r="511" spans="1:6" x14ac:dyDescent="0.3">
      <c r="A511" s="1">
        <v>51</v>
      </c>
      <c r="B511" s="1">
        <v>4.2427000000000001</v>
      </c>
      <c r="C511" s="4">
        <f>Tabela8[[#This Row],[Alongamento (mm/mm)]]/$I$2</f>
        <v>8.4853999999999999E-2</v>
      </c>
      <c r="D511" s="1">
        <v>917.17</v>
      </c>
      <c r="E511" s="4">
        <f>Tabela8[[#This Row],[Forτa(N)]]/$I$5</f>
        <v>21303475.283722702</v>
      </c>
      <c r="F511" s="4">
        <f>Tabela8[[#This Row],[Tensão (Pa)]]/1000000</f>
        <v>21.303475283722701</v>
      </c>
    </row>
    <row r="512" spans="1:6" x14ac:dyDescent="0.3">
      <c r="A512" s="1">
        <v>51.167000000000002</v>
      </c>
      <c r="B512" s="1">
        <v>4.2567000000000004</v>
      </c>
      <c r="C512" s="4">
        <f>Tabela8[[#This Row],[Alongamento (mm/mm)]]/$I$2</f>
        <v>8.5134000000000001E-2</v>
      </c>
      <c r="D512" s="1">
        <v>924.32</v>
      </c>
      <c r="E512" s="4">
        <f>Tabela8[[#This Row],[Forτa(N)]]/$I$5</f>
        <v>21469551.200159807</v>
      </c>
      <c r="F512" s="4">
        <f>Tabela8[[#This Row],[Tensão (Pa)]]/1000000</f>
        <v>21.469551200159806</v>
      </c>
    </row>
    <row r="513" spans="1:6" x14ac:dyDescent="0.3">
      <c r="A513" s="1">
        <v>51.35</v>
      </c>
      <c r="B513" s="1">
        <v>4.2718999999999996</v>
      </c>
      <c r="C513" s="4">
        <f>Tabela8[[#This Row],[Alongamento (mm/mm)]]/$I$2</f>
        <v>8.5437999999999986E-2</v>
      </c>
      <c r="D513" s="1">
        <v>932.14</v>
      </c>
      <c r="E513" s="4">
        <f>Tabela8[[#This Row],[Forτa(N)]]/$I$5</f>
        <v>21651189.475200105</v>
      </c>
      <c r="F513" s="4">
        <f>Tabela8[[#This Row],[Tensão (Pa)]]/1000000</f>
        <v>21.651189475200106</v>
      </c>
    </row>
    <row r="514" spans="1:6" x14ac:dyDescent="0.3">
      <c r="A514" s="1">
        <v>51.533000000000001</v>
      </c>
      <c r="B514" s="1">
        <v>4.2872000000000003</v>
      </c>
      <c r="C514" s="4">
        <f>Tabela8[[#This Row],[Alongamento (mm/mm)]]/$I$2</f>
        <v>8.5744000000000001E-2</v>
      </c>
      <c r="D514" s="1">
        <v>939.8</v>
      </c>
      <c r="E514" s="4">
        <f>Tabela8[[#This Row],[Forτa(N)]]/$I$5</f>
        <v>21829111.366096359</v>
      </c>
      <c r="F514" s="4">
        <f>Tabela8[[#This Row],[Tensão (Pa)]]/1000000</f>
        <v>21.82911136609636</v>
      </c>
    </row>
    <row r="515" spans="1:6" x14ac:dyDescent="0.3">
      <c r="A515" s="1">
        <v>51.716999999999999</v>
      </c>
      <c r="B515" s="1">
        <v>4.3023999999999996</v>
      </c>
      <c r="C515" s="4">
        <f>Tabela8[[#This Row],[Alongamento (mm/mm)]]/$I$2</f>
        <v>8.6047999999999986E-2</v>
      </c>
      <c r="D515" s="1">
        <v>947.45</v>
      </c>
      <c r="E515" s="4">
        <f>Tabela8[[#This Row],[Forτa(N)]]/$I$5</f>
        <v>22006800.982983612</v>
      </c>
      <c r="F515" s="4">
        <f>Tabela8[[#This Row],[Tensão (Pa)]]/1000000</f>
        <v>22.006800982983613</v>
      </c>
    </row>
    <row r="516" spans="1:6" x14ac:dyDescent="0.3">
      <c r="A516" s="1">
        <v>51.883000000000003</v>
      </c>
      <c r="B516" s="1">
        <v>4.3163999999999998</v>
      </c>
      <c r="C516" s="4">
        <f>Tabela8[[#This Row],[Alongamento (mm/mm)]]/$I$2</f>
        <v>8.6328000000000002E-2</v>
      </c>
      <c r="D516" s="1">
        <v>954.76</v>
      </c>
      <c r="E516" s="4">
        <f>Tabela8[[#This Row],[Forτa(N)]]/$I$5</f>
        <v>22176593.283564758</v>
      </c>
      <c r="F516" s="4">
        <f>Tabela8[[#This Row],[Tensão (Pa)]]/1000000</f>
        <v>22.176593283564756</v>
      </c>
    </row>
    <row r="517" spans="1:6" x14ac:dyDescent="0.3">
      <c r="A517" s="1">
        <v>52.05</v>
      </c>
      <c r="B517" s="1">
        <v>4.3303000000000003</v>
      </c>
      <c r="C517" s="4">
        <f>Tabela8[[#This Row],[Alongamento (mm/mm)]]/$I$2</f>
        <v>8.6606000000000002E-2</v>
      </c>
      <c r="D517" s="1">
        <v>962.42</v>
      </c>
      <c r="E517" s="4">
        <f>Tabela8[[#This Row],[Forτa(N)]]/$I$5</f>
        <v>22354515.174461011</v>
      </c>
      <c r="F517" s="4">
        <f>Tabela8[[#This Row],[Tensão (Pa)]]/1000000</f>
        <v>22.35451517446101</v>
      </c>
    </row>
    <row r="518" spans="1:6" x14ac:dyDescent="0.3">
      <c r="A518" s="1">
        <v>52.216999999999999</v>
      </c>
      <c r="B518" s="1">
        <v>4.3440000000000003</v>
      </c>
      <c r="C518" s="4">
        <f>Tabela8[[#This Row],[Alongamento (mm/mm)]]/$I$2</f>
        <v>8.6880000000000013E-2</v>
      </c>
      <c r="D518" s="1">
        <v>970.07</v>
      </c>
      <c r="E518" s="4">
        <f>Tabela8[[#This Row],[Forτa(N)]]/$I$5</f>
        <v>22532204.79134826</v>
      </c>
      <c r="F518" s="4">
        <f>Tabela8[[#This Row],[Tensão (Pa)]]/1000000</f>
        <v>22.53220479134826</v>
      </c>
    </row>
    <row r="519" spans="1:6" x14ac:dyDescent="0.3">
      <c r="A519" s="1">
        <v>52.4</v>
      </c>
      <c r="B519" s="1">
        <v>4.3593000000000002</v>
      </c>
      <c r="C519" s="4">
        <f>Tabela8[[#This Row],[Alongamento (mm/mm)]]/$I$2</f>
        <v>8.7186E-2</v>
      </c>
      <c r="D519" s="1">
        <v>978.07</v>
      </c>
      <c r="E519" s="4">
        <f>Tabela8[[#This Row],[Forτa(N)]]/$I$5</f>
        <v>22718023.998550612</v>
      </c>
      <c r="F519" s="4">
        <f>Tabela8[[#This Row],[Tensão (Pa)]]/1000000</f>
        <v>22.718023998550613</v>
      </c>
    </row>
    <row r="520" spans="1:6" x14ac:dyDescent="0.3">
      <c r="A520" s="1">
        <v>52.567</v>
      </c>
      <c r="B520" s="1">
        <v>4.3733000000000004</v>
      </c>
      <c r="C520" s="4">
        <f>Tabela8[[#This Row],[Alongamento (mm/mm)]]/$I$2</f>
        <v>8.7466000000000002E-2</v>
      </c>
      <c r="D520" s="1">
        <v>985.55</v>
      </c>
      <c r="E520" s="4">
        <f>Tabela8[[#This Row],[Forτa(N)]]/$I$5</f>
        <v>22891764.957284812</v>
      </c>
      <c r="F520" s="4">
        <f>Tabela8[[#This Row],[Tensão (Pa)]]/1000000</f>
        <v>22.891764957284813</v>
      </c>
    </row>
    <row r="521" spans="1:6" x14ac:dyDescent="0.3">
      <c r="A521" s="1">
        <v>52.75</v>
      </c>
      <c r="B521" s="1">
        <v>4.3884999999999996</v>
      </c>
      <c r="C521" s="4">
        <f>Tabela8[[#This Row],[Alongamento (mm/mm)]]/$I$2</f>
        <v>8.7769999999999987E-2</v>
      </c>
      <c r="D521" s="1">
        <v>993.55</v>
      </c>
      <c r="E521" s="4">
        <f>Tabela8[[#This Row],[Forτa(N)]]/$I$5</f>
        <v>23077584.164487164</v>
      </c>
      <c r="F521" s="4">
        <f>Tabela8[[#This Row],[Tensão (Pa)]]/1000000</f>
        <v>23.077584164487163</v>
      </c>
    </row>
    <row r="522" spans="1:6" x14ac:dyDescent="0.3">
      <c r="A522" s="1">
        <v>52.917000000000002</v>
      </c>
      <c r="B522" s="1">
        <v>4.4024999999999999</v>
      </c>
      <c r="C522" s="4">
        <f>Tabela8[[#This Row],[Alongamento (mm/mm)]]/$I$2</f>
        <v>8.8050000000000003E-2</v>
      </c>
      <c r="D522" s="1">
        <v>1001</v>
      </c>
      <c r="E522" s="4">
        <f>Tabela8[[#This Row],[Forτa(N)]]/$I$5</f>
        <v>23250628.301194355</v>
      </c>
      <c r="F522" s="4">
        <f>Tabela8[[#This Row],[Tensão (Pa)]]/1000000</f>
        <v>23.250628301194354</v>
      </c>
    </row>
    <row r="523" spans="1:6" x14ac:dyDescent="0.3">
      <c r="A523" s="1">
        <v>53.082999999999998</v>
      </c>
      <c r="B523" s="1">
        <v>4.4162999999999997</v>
      </c>
      <c r="C523" s="4">
        <f>Tabela8[[#This Row],[Alongamento (mm/mm)]]/$I$2</f>
        <v>8.8325999999999988E-2</v>
      </c>
      <c r="D523" s="1">
        <v>1008.5</v>
      </c>
      <c r="E523" s="4">
        <f>Tabela8[[#This Row],[Forτa(N)]]/$I$5</f>
        <v>23424833.807946563</v>
      </c>
      <c r="F523" s="4">
        <f>Tabela8[[#This Row],[Tensão (Pa)]]/1000000</f>
        <v>23.424833807946563</v>
      </c>
    </row>
    <row r="524" spans="1:6" x14ac:dyDescent="0.3">
      <c r="A524" s="1">
        <v>53.267000000000003</v>
      </c>
      <c r="B524" s="1">
        <v>4.4316000000000004</v>
      </c>
      <c r="C524" s="4">
        <f>Tabela8[[#This Row],[Alongamento (mm/mm)]]/$I$2</f>
        <v>8.8632000000000002E-2</v>
      </c>
      <c r="D524" s="1">
        <v>1016.7</v>
      </c>
      <c r="E524" s="4">
        <f>Tabela8[[#This Row],[Forτa(N)]]/$I$5</f>
        <v>23615298.495328974</v>
      </c>
      <c r="F524" s="4">
        <f>Tabela8[[#This Row],[Tensão (Pa)]]/1000000</f>
        <v>23.615298495328975</v>
      </c>
    </row>
    <row r="525" spans="1:6" x14ac:dyDescent="0.3">
      <c r="A525" s="1">
        <v>53.45</v>
      </c>
      <c r="B525" s="1">
        <v>4.4469000000000003</v>
      </c>
      <c r="C525" s="4">
        <f>Tabela8[[#This Row],[Alongamento (mm/mm)]]/$I$2</f>
        <v>8.8938000000000003E-2</v>
      </c>
      <c r="D525" s="1">
        <v>1024.8</v>
      </c>
      <c r="E525" s="4">
        <f>Tabela8[[#This Row],[Forτa(N)]]/$I$5</f>
        <v>23803440.442621354</v>
      </c>
      <c r="F525" s="4">
        <f>Tabela8[[#This Row],[Tensão (Pa)]]/1000000</f>
        <v>23.803440442621355</v>
      </c>
    </row>
    <row r="526" spans="1:6" x14ac:dyDescent="0.3">
      <c r="A526" s="1">
        <v>53.633000000000003</v>
      </c>
      <c r="B526" s="1">
        <v>4.4622000000000002</v>
      </c>
      <c r="C526" s="4">
        <f>Tabela8[[#This Row],[Alongamento (mm/mm)]]/$I$2</f>
        <v>8.9244000000000004E-2</v>
      </c>
      <c r="D526" s="1">
        <v>1033</v>
      </c>
      <c r="E526" s="4">
        <f>Tabela8[[#This Row],[Forτa(N)]]/$I$5</f>
        <v>23993905.130003765</v>
      </c>
      <c r="F526" s="4">
        <f>Tabela8[[#This Row],[Tensão (Pa)]]/1000000</f>
        <v>23.993905130003764</v>
      </c>
    </row>
    <row r="527" spans="1:6" x14ac:dyDescent="0.3">
      <c r="A527" s="1">
        <v>53.817</v>
      </c>
      <c r="B527" s="1">
        <v>4.4774000000000003</v>
      </c>
      <c r="C527" s="4">
        <f>Tabela8[[#This Row],[Alongamento (mm/mm)]]/$I$2</f>
        <v>8.9548000000000003E-2</v>
      </c>
      <c r="D527" s="1">
        <v>1041.2</v>
      </c>
      <c r="E527" s="4">
        <f>Tabela8[[#This Row],[Forτa(N)]]/$I$5</f>
        <v>24184369.817386176</v>
      </c>
      <c r="F527" s="4">
        <f>Tabela8[[#This Row],[Tensão (Pa)]]/1000000</f>
        <v>24.184369817386177</v>
      </c>
    </row>
    <row r="528" spans="1:6" x14ac:dyDescent="0.3">
      <c r="A528" s="1">
        <v>54</v>
      </c>
      <c r="B528" s="1">
        <v>4.4927000000000001</v>
      </c>
      <c r="C528" s="4">
        <f>Tabela8[[#This Row],[Alongamento (mm/mm)]]/$I$2</f>
        <v>8.9854000000000003E-2</v>
      </c>
      <c r="D528" s="1">
        <v>1049.2</v>
      </c>
      <c r="E528" s="4">
        <f>Tabela8[[#This Row],[Forτa(N)]]/$I$5</f>
        <v>24370189.024588529</v>
      </c>
      <c r="F528" s="4">
        <f>Tabela8[[#This Row],[Tensão (Pa)]]/1000000</f>
        <v>24.37018902458853</v>
      </c>
    </row>
    <row r="529" spans="1:6" x14ac:dyDescent="0.3">
      <c r="A529" s="1">
        <v>54.183</v>
      </c>
      <c r="B529" s="1">
        <v>4.508</v>
      </c>
      <c r="C529" s="4">
        <f>Tabela8[[#This Row],[Alongamento (mm/mm)]]/$I$2</f>
        <v>9.0160000000000004E-2</v>
      </c>
      <c r="D529" s="1">
        <v>1057.3</v>
      </c>
      <c r="E529" s="4">
        <f>Tabela8[[#This Row],[Forτa(N)]]/$I$5</f>
        <v>24558330.971880909</v>
      </c>
      <c r="F529" s="4">
        <f>Tabela8[[#This Row],[Tensão (Pa)]]/1000000</f>
        <v>24.55833097188091</v>
      </c>
    </row>
    <row r="530" spans="1:6" x14ac:dyDescent="0.3">
      <c r="A530" s="1">
        <v>54.366999999999997</v>
      </c>
      <c r="B530" s="1">
        <v>4.5232999999999999</v>
      </c>
      <c r="C530" s="4">
        <f>Tabela8[[#This Row],[Alongamento (mm/mm)]]/$I$2</f>
        <v>9.0465999999999991E-2</v>
      </c>
      <c r="D530" s="1">
        <v>1065.5</v>
      </c>
      <c r="E530" s="4">
        <f>Tabela8[[#This Row],[Forτa(N)]]/$I$5</f>
        <v>24748795.659263324</v>
      </c>
      <c r="F530" s="4">
        <f>Tabela8[[#This Row],[Tensão (Pa)]]/1000000</f>
        <v>24.748795659263322</v>
      </c>
    </row>
    <row r="531" spans="1:6" x14ac:dyDescent="0.3">
      <c r="A531" s="1">
        <v>54.567</v>
      </c>
      <c r="B531" s="1">
        <v>4.5399000000000003</v>
      </c>
      <c r="C531" s="4">
        <f>Tabela8[[#This Row],[Alongamento (mm/mm)]]/$I$2</f>
        <v>9.0798000000000004E-2</v>
      </c>
      <c r="D531" s="1">
        <v>1074.3</v>
      </c>
      <c r="E531" s="4">
        <f>Tabela8[[#This Row],[Forτa(N)]]/$I$5</f>
        <v>24953196.787185911</v>
      </c>
      <c r="F531" s="4">
        <f>Tabela8[[#This Row],[Tensão (Pa)]]/1000000</f>
        <v>24.953196787185909</v>
      </c>
    </row>
    <row r="532" spans="1:6" x14ac:dyDescent="0.3">
      <c r="A532" s="1">
        <v>54.75</v>
      </c>
      <c r="B532" s="1">
        <v>4.5552000000000001</v>
      </c>
      <c r="C532" s="4">
        <f>Tabela8[[#This Row],[Alongamento (mm/mm)]]/$I$2</f>
        <v>9.1104000000000004E-2</v>
      </c>
      <c r="D532" s="1">
        <v>1082.5</v>
      </c>
      <c r="E532" s="4">
        <f>Tabela8[[#This Row],[Forτa(N)]]/$I$5</f>
        <v>25143661.474568322</v>
      </c>
      <c r="F532" s="4">
        <f>Tabela8[[#This Row],[Tensão (Pa)]]/1000000</f>
        <v>25.143661474568322</v>
      </c>
    </row>
    <row r="533" spans="1:6" x14ac:dyDescent="0.3">
      <c r="A533" s="1">
        <v>54.95</v>
      </c>
      <c r="B533" s="1">
        <v>4.5719000000000003</v>
      </c>
      <c r="C533" s="4">
        <f>Tabela8[[#This Row],[Alongamento (mm/mm)]]/$I$2</f>
        <v>9.1438000000000005E-2</v>
      </c>
      <c r="D533" s="1">
        <v>1091.2</v>
      </c>
      <c r="E533" s="4">
        <f>Tabela8[[#This Row],[Forτa(N)]]/$I$5</f>
        <v>25345739.862400882</v>
      </c>
      <c r="F533" s="4">
        <f>Tabela8[[#This Row],[Tensão (Pa)]]/1000000</f>
        <v>25.345739862400883</v>
      </c>
    </row>
    <row r="534" spans="1:6" x14ac:dyDescent="0.3">
      <c r="A534" s="1">
        <v>55.15</v>
      </c>
      <c r="B534" s="1">
        <v>4.5885999999999996</v>
      </c>
      <c r="C534" s="4">
        <f>Tabela8[[#This Row],[Alongamento (mm/mm)]]/$I$2</f>
        <v>9.1771999999999992E-2</v>
      </c>
      <c r="D534" s="1">
        <v>1099.9000000000001</v>
      </c>
      <c r="E534" s="4">
        <f>Tabela8[[#This Row],[Forτa(N)]]/$I$5</f>
        <v>25547818.250233442</v>
      </c>
      <c r="F534" s="4">
        <f>Tabela8[[#This Row],[Tensão (Pa)]]/1000000</f>
        <v>25.547818250233441</v>
      </c>
    </row>
    <row r="535" spans="1:6" x14ac:dyDescent="0.3">
      <c r="A535" s="1">
        <v>55.35</v>
      </c>
      <c r="B535" s="1">
        <v>4.6052999999999997</v>
      </c>
      <c r="C535" s="4">
        <f>Tabela8[[#This Row],[Alongamento (mm/mm)]]/$I$2</f>
        <v>9.2105999999999993E-2</v>
      </c>
      <c r="D535" s="1">
        <v>1108.5</v>
      </c>
      <c r="E535" s="4">
        <f>Tabela8[[#This Row],[Forτa(N)]]/$I$5</f>
        <v>25747573.897975966</v>
      </c>
      <c r="F535" s="4">
        <f>Tabela8[[#This Row],[Tensão (Pa)]]/1000000</f>
        <v>25.747573897975965</v>
      </c>
    </row>
    <row r="536" spans="1:6" x14ac:dyDescent="0.3">
      <c r="A536" s="1">
        <v>55.55</v>
      </c>
      <c r="B536" s="1">
        <v>4.6218000000000004</v>
      </c>
      <c r="C536" s="4">
        <f>Tabela8[[#This Row],[Alongamento (mm/mm)]]/$I$2</f>
        <v>9.2436000000000004E-2</v>
      </c>
      <c r="D536" s="1">
        <v>1117.4000000000001</v>
      </c>
      <c r="E536" s="4">
        <f>Tabela8[[#This Row],[Forτa(N)]]/$I$5</f>
        <v>25954297.765988588</v>
      </c>
      <c r="F536" s="4">
        <f>Tabela8[[#This Row],[Tensão (Pa)]]/1000000</f>
        <v>25.954297765988589</v>
      </c>
    </row>
    <row r="537" spans="1:6" x14ac:dyDescent="0.3">
      <c r="A537" s="1">
        <v>55.75</v>
      </c>
      <c r="B537" s="1">
        <v>4.6384999999999996</v>
      </c>
      <c r="C537" s="4">
        <f>Tabela8[[#This Row],[Alongamento (mm/mm)]]/$I$2</f>
        <v>9.2769999999999991E-2</v>
      </c>
      <c r="D537" s="1">
        <v>1126.2</v>
      </c>
      <c r="E537" s="4">
        <f>Tabela8[[#This Row],[Forτa(N)]]/$I$5</f>
        <v>26158698.893911172</v>
      </c>
      <c r="F537" s="4">
        <f>Tabela8[[#This Row],[Tensão (Pa)]]/1000000</f>
        <v>26.158698893911172</v>
      </c>
    </row>
    <row r="538" spans="1:6" x14ac:dyDescent="0.3">
      <c r="A538" s="1">
        <v>55.95</v>
      </c>
      <c r="B538" s="1">
        <v>4.6553000000000004</v>
      </c>
      <c r="C538" s="4">
        <f>Tabela8[[#This Row],[Alongamento (mm/mm)]]/$I$2</f>
        <v>9.3106000000000008E-2</v>
      </c>
      <c r="D538" s="1">
        <v>1134.9000000000001</v>
      </c>
      <c r="E538" s="4">
        <f>Tabela8[[#This Row],[Forτa(N)]]/$I$5</f>
        <v>26360777.281743731</v>
      </c>
      <c r="F538" s="4">
        <f>Tabela8[[#This Row],[Tensão (Pa)]]/1000000</f>
        <v>26.360777281743733</v>
      </c>
    </row>
    <row r="539" spans="1:6" x14ac:dyDescent="0.3">
      <c r="A539" s="1">
        <v>56.167000000000002</v>
      </c>
      <c r="B539" s="1">
        <v>4.6733000000000002</v>
      </c>
      <c r="C539" s="4">
        <f>Tabela8[[#This Row],[Alongamento (mm/mm)]]/$I$2</f>
        <v>9.3466000000000007E-2</v>
      </c>
      <c r="D539" s="1">
        <v>1144.4000000000001</v>
      </c>
      <c r="E539" s="4">
        <f>Tabela8[[#This Row],[Forτa(N)]]/$I$5</f>
        <v>26581437.590296526</v>
      </c>
      <c r="F539" s="4">
        <f>Tabela8[[#This Row],[Tensão (Pa)]]/1000000</f>
        <v>26.581437590296524</v>
      </c>
    </row>
    <row r="540" spans="1:6" x14ac:dyDescent="0.3">
      <c r="A540" s="1">
        <v>56.366999999999997</v>
      </c>
      <c r="B540" s="1">
        <v>4.6898999999999997</v>
      </c>
      <c r="C540" s="4">
        <f>Tabela8[[#This Row],[Alongamento (mm/mm)]]/$I$2</f>
        <v>9.3797999999999992E-2</v>
      </c>
      <c r="D540" s="1">
        <v>1153.3</v>
      </c>
      <c r="E540" s="4">
        <f>Tabela8[[#This Row],[Forτa(N)]]/$I$5</f>
        <v>26788161.45830914</v>
      </c>
      <c r="F540" s="4">
        <f>Tabela8[[#This Row],[Tensão (Pa)]]/1000000</f>
        <v>26.788161458309141</v>
      </c>
    </row>
    <row r="541" spans="1:6" x14ac:dyDescent="0.3">
      <c r="A541" s="1">
        <v>56.567</v>
      </c>
      <c r="B541" s="1">
        <v>4.7065999999999999</v>
      </c>
      <c r="C541" s="4">
        <f>Tabela8[[#This Row],[Alongamento (mm/mm)]]/$I$2</f>
        <v>9.4131999999999993E-2</v>
      </c>
      <c r="D541" s="1">
        <v>1162.3</v>
      </c>
      <c r="E541" s="4">
        <f>Tabela8[[#This Row],[Forτa(N)]]/$I$5</f>
        <v>26997208.066411786</v>
      </c>
      <c r="F541" s="4">
        <f>Tabela8[[#This Row],[Tensão (Pa)]]/1000000</f>
        <v>26.997208066411787</v>
      </c>
    </row>
    <row r="542" spans="1:6" x14ac:dyDescent="0.3">
      <c r="A542" s="1">
        <v>56.767000000000003</v>
      </c>
      <c r="B542" s="1">
        <v>4.7233000000000001</v>
      </c>
      <c r="C542" s="4">
        <f>Tabela8[[#This Row],[Alongamento (mm/mm)]]/$I$2</f>
        <v>9.4465999999999994E-2</v>
      </c>
      <c r="D542" s="1">
        <v>1171.0999999999999</v>
      </c>
      <c r="E542" s="4">
        <f>Tabela8[[#This Row],[Forτa(N)]]/$I$5</f>
        <v>27201609.194334373</v>
      </c>
      <c r="F542" s="4">
        <f>Tabela8[[#This Row],[Tensão (Pa)]]/1000000</f>
        <v>27.201609194334374</v>
      </c>
    </row>
    <row r="543" spans="1:6" x14ac:dyDescent="0.3">
      <c r="A543" s="1">
        <v>56.966999999999999</v>
      </c>
      <c r="B543" s="1">
        <v>4.74</v>
      </c>
      <c r="C543" s="4">
        <f>Tabela8[[#This Row],[Alongamento (mm/mm)]]/$I$2</f>
        <v>9.4800000000000009E-2</v>
      </c>
      <c r="D543" s="1">
        <v>1180</v>
      </c>
      <c r="E543" s="4">
        <f>Tabela8[[#This Row],[Forτa(N)]]/$I$5</f>
        <v>27408333.062346991</v>
      </c>
      <c r="F543" s="4">
        <f>Tabela8[[#This Row],[Tensão (Pa)]]/1000000</f>
        <v>27.408333062346991</v>
      </c>
    </row>
    <row r="544" spans="1:6" x14ac:dyDescent="0.3">
      <c r="A544" s="1">
        <v>57.183</v>
      </c>
      <c r="B544" s="1">
        <v>4.758</v>
      </c>
      <c r="C544" s="4">
        <f>Tabela8[[#This Row],[Alongamento (mm/mm)]]/$I$2</f>
        <v>9.5159999999999995E-2</v>
      </c>
      <c r="D544" s="1">
        <v>1189.5</v>
      </c>
      <c r="E544" s="4">
        <f>Tabela8[[#This Row],[Forτa(N)]]/$I$5</f>
        <v>27628993.370899785</v>
      </c>
      <c r="F544" s="4">
        <f>Tabela8[[#This Row],[Tensão (Pa)]]/1000000</f>
        <v>27.628993370899785</v>
      </c>
    </row>
    <row r="545" spans="1:6" x14ac:dyDescent="0.3">
      <c r="A545" s="1">
        <v>57.4</v>
      </c>
      <c r="B545" s="1">
        <v>4.7760999999999996</v>
      </c>
      <c r="C545" s="4">
        <f>Tabela8[[#This Row],[Alongamento (mm/mm)]]/$I$2</f>
        <v>9.5521999999999996E-2</v>
      </c>
      <c r="D545" s="1">
        <v>1198.9000000000001</v>
      </c>
      <c r="E545" s="4">
        <f>Tabela8[[#This Row],[Forτa(N)]]/$I$5</f>
        <v>27847330.939362552</v>
      </c>
      <c r="F545" s="4">
        <f>Tabela8[[#This Row],[Tensão (Pa)]]/1000000</f>
        <v>27.847330939362553</v>
      </c>
    </row>
    <row r="546" spans="1:6" x14ac:dyDescent="0.3">
      <c r="A546" s="1">
        <v>57.616999999999997</v>
      </c>
      <c r="B546" s="1">
        <v>4.7942</v>
      </c>
      <c r="C546" s="4">
        <f>Tabela8[[#This Row],[Alongamento (mm/mm)]]/$I$2</f>
        <v>9.5883999999999997E-2</v>
      </c>
      <c r="D546" s="1">
        <v>1208.5999999999999</v>
      </c>
      <c r="E546" s="4">
        <f>Tabela8[[#This Row],[Forτa(N)]]/$I$5</f>
        <v>28072636.728095401</v>
      </c>
      <c r="F546" s="4">
        <f>Tabela8[[#This Row],[Tensão (Pa)]]/1000000</f>
        <v>28.0726367280954</v>
      </c>
    </row>
    <row r="547" spans="1:6" x14ac:dyDescent="0.3">
      <c r="A547" s="1">
        <v>57.832999999999998</v>
      </c>
      <c r="B547" s="1">
        <v>4.8121999999999998</v>
      </c>
      <c r="C547" s="4">
        <f>Tabela8[[#This Row],[Alongamento (mm/mm)]]/$I$2</f>
        <v>9.6243999999999996E-2</v>
      </c>
      <c r="D547" s="1">
        <v>1218.4000000000001</v>
      </c>
      <c r="E547" s="4">
        <f>Tabela8[[#This Row],[Forτa(N)]]/$I$5</f>
        <v>28300265.256918285</v>
      </c>
      <c r="F547" s="4">
        <f>Tabela8[[#This Row],[Tensão (Pa)]]/1000000</f>
        <v>28.300265256918284</v>
      </c>
    </row>
    <row r="548" spans="1:6" x14ac:dyDescent="0.3">
      <c r="A548" s="1">
        <v>58.05</v>
      </c>
      <c r="B548" s="1">
        <v>4.8303000000000003</v>
      </c>
      <c r="C548" s="4">
        <f>Tabela8[[#This Row],[Alongamento (mm/mm)]]/$I$2</f>
        <v>9.6606000000000011E-2</v>
      </c>
      <c r="D548" s="1">
        <v>1228.0999999999999</v>
      </c>
      <c r="E548" s="4">
        <f>Tabela8[[#This Row],[Forτa(N)]]/$I$5</f>
        <v>28525571.045651134</v>
      </c>
      <c r="F548" s="4">
        <f>Tabela8[[#This Row],[Tensão (Pa)]]/1000000</f>
        <v>28.525571045651134</v>
      </c>
    </row>
    <row r="549" spans="1:6" x14ac:dyDescent="0.3">
      <c r="A549" s="1">
        <v>58.267000000000003</v>
      </c>
      <c r="B549" s="1">
        <v>4.8483000000000001</v>
      </c>
      <c r="C549" s="4">
        <f>Tabela8[[#This Row],[Alongamento (mm/mm)]]/$I$2</f>
        <v>9.6965999999999997E-2</v>
      </c>
      <c r="D549" s="1">
        <v>1237.5999999999999</v>
      </c>
      <c r="E549" s="4">
        <f>Tabela8[[#This Row],[Forτa(N)]]/$I$5</f>
        <v>28746231.354203928</v>
      </c>
      <c r="F549" s="4">
        <f>Tabela8[[#This Row],[Tensão (Pa)]]/1000000</f>
        <v>28.746231354203928</v>
      </c>
    </row>
    <row r="550" spans="1:6" x14ac:dyDescent="0.3">
      <c r="A550" s="1">
        <v>58.482999999999997</v>
      </c>
      <c r="B550" s="1">
        <v>4.8662999999999998</v>
      </c>
      <c r="C550" s="4">
        <f>Tabela8[[#This Row],[Alongamento (mm/mm)]]/$I$2</f>
        <v>9.7325999999999996E-2</v>
      </c>
      <c r="D550" s="1">
        <v>1247.3</v>
      </c>
      <c r="E550" s="4">
        <f>Tabela8[[#This Row],[Forτa(N)]]/$I$5</f>
        <v>28971537.142936781</v>
      </c>
      <c r="F550" s="4">
        <f>Tabela8[[#This Row],[Tensão (Pa)]]/1000000</f>
        <v>28.971537142936782</v>
      </c>
    </row>
    <row r="551" spans="1:6" x14ac:dyDescent="0.3">
      <c r="A551" s="1">
        <v>58.7</v>
      </c>
      <c r="B551" s="1">
        <v>4.8844000000000003</v>
      </c>
      <c r="C551" s="4">
        <f>Tabela8[[#This Row],[Alongamento (mm/mm)]]/$I$2</f>
        <v>9.7688000000000011E-2</v>
      </c>
      <c r="D551" s="1">
        <v>1257.2</v>
      </c>
      <c r="E551" s="4">
        <f>Tabela8[[#This Row],[Forτa(N)]]/$I$5</f>
        <v>29201488.411849696</v>
      </c>
      <c r="F551" s="4">
        <f>Tabela8[[#This Row],[Tensão (Pa)]]/1000000</f>
        <v>29.201488411849695</v>
      </c>
    </row>
    <row r="552" spans="1:6" x14ac:dyDescent="0.3">
      <c r="A552" s="1">
        <v>58.917000000000002</v>
      </c>
      <c r="B552" s="1">
        <v>4.9024000000000001</v>
      </c>
      <c r="C552" s="4">
        <f>Tabela8[[#This Row],[Alongamento (mm/mm)]]/$I$2</f>
        <v>9.8047999999999996E-2</v>
      </c>
      <c r="D552" s="1">
        <v>1267.2</v>
      </c>
      <c r="E552" s="4">
        <f>Tabela8[[#This Row],[Forτa(N)]]/$I$5</f>
        <v>29433762.420852635</v>
      </c>
      <c r="F552" s="4">
        <f>Tabela8[[#This Row],[Tensão (Pa)]]/1000000</f>
        <v>29.433762420852634</v>
      </c>
    </row>
    <row r="553" spans="1:6" x14ac:dyDescent="0.3">
      <c r="A553" s="1">
        <v>59.133000000000003</v>
      </c>
      <c r="B553" s="1">
        <v>4.9204999999999997</v>
      </c>
      <c r="C553" s="4">
        <f>Tabela8[[#This Row],[Alongamento (mm/mm)]]/$I$2</f>
        <v>9.8409999999999997E-2</v>
      </c>
      <c r="D553" s="1">
        <v>1277.3</v>
      </c>
      <c r="E553" s="4">
        <f>Tabela8[[#This Row],[Forτa(N)]]/$I$5</f>
        <v>29668359.169945605</v>
      </c>
      <c r="F553" s="4">
        <f>Tabela8[[#This Row],[Tensão (Pa)]]/1000000</f>
        <v>29.668359169945607</v>
      </c>
    </row>
    <row r="554" spans="1:6" x14ac:dyDescent="0.3">
      <c r="A554" s="1">
        <v>59.35</v>
      </c>
      <c r="B554" s="1">
        <v>4.9386000000000001</v>
      </c>
      <c r="C554" s="4">
        <f>Tabela8[[#This Row],[Alongamento (mm/mm)]]/$I$2</f>
        <v>9.8771999999999999E-2</v>
      </c>
      <c r="D554" s="1">
        <v>1287.0999999999999</v>
      </c>
      <c r="E554" s="4">
        <f>Tabela8[[#This Row],[Forτa(N)]]/$I$5</f>
        <v>29895987.698768485</v>
      </c>
      <c r="F554" s="4">
        <f>Tabela8[[#This Row],[Tensão (Pa)]]/1000000</f>
        <v>29.895987698768486</v>
      </c>
    </row>
    <row r="555" spans="1:6" x14ac:dyDescent="0.3">
      <c r="A555" s="1">
        <v>59.567</v>
      </c>
      <c r="B555" s="1">
        <v>4.9565999999999999</v>
      </c>
      <c r="C555" s="4">
        <f>Tabela8[[#This Row],[Alongamento (mm/mm)]]/$I$2</f>
        <v>9.9131999999999998E-2</v>
      </c>
      <c r="D555" s="1">
        <v>1297.2</v>
      </c>
      <c r="E555" s="4">
        <f>Tabela8[[#This Row],[Forτa(N)]]/$I$5</f>
        <v>30130584.447861459</v>
      </c>
      <c r="F555" s="4">
        <f>Tabela8[[#This Row],[Tensão (Pa)]]/1000000</f>
        <v>30.130584447861459</v>
      </c>
    </row>
    <row r="556" spans="1:6" x14ac:dyDescent="0.3">
      <c r="A556" s="1">
        <v>59.783000000000001</v>
      </c>
      <c r="B556" s="1">
        <v>4.9747000000000003</v>
      </c>
      <c r="C556" s="4">
        <f>Tabela8[[#This Row],[Alongamento (mm/mm)]]/$I$2</f>
        <v>9.9494000000000013E-2</v>
      </c>
      <c r="D556" s="1">
        <v>1307</v>
      </c>
      <c r="E556" s="4">
        <f>Tabela8[[#This Row],[Forτa(N)]]/$I$5</f>
        <v>30358212.976684339</v>
      </c>
      <c r="F556" s="4">
        <f>Tabela8[[#This Row],[Tensão (Pa)]]/1000000</f>
        <v>30.358212976684339</v>
      </c>
    </row>
    <row r="557" spans="1:6" x14ac:dyDescent="0.3">
      <c r="A557" s="1">
        <v>60.017000000000003</v>
      </c>
      <c r="B557" s="1">
        <v>4.9941000000000004</v>
      </c>
      <c r="C557" s="4">
        <f>Tabela8[[#This Row],[Alongamento (mm/mm)]]/$I$2</f>
        <v>9.9882000000000012E-2</v>
      </c>
      <c r="D557" s="1">
        <v>1317.9</v>
      </c>
      <c r="E557" s="4">
        <f>Tabela8[[#This Row],[Forτa(N)]]/$I$5</f>
        <v>30611391.646497548</v>
      </c>
      <c r="F557" s="4">
        <f>Tabela8[[#This Row],[Tensão (Pa)]]/1000000</f>
        <v>30.611391646497548</v>
      </c>
    </row>
    <row r="558" spans="1:6" x14ac:dyDescent="0.3">
      <c r="A558" s="1">
        <v>60.25</v>
      </c>
      <c r="B558" s="1">
        <v>5.0136000000000003</v>
      </c>
      <c r="C558" s="4">
        <f>Tabela8[[#This Row],[Alongamento (mm/mm)]]/$I$2</f>
        <v>0.100272</v>
      </c>
      <c r="D558" s="1">
        <v>1328.6</v>
      </c>
      <c r="E558" s="4">
        <f>Tabela8[[#This Row],[Forτa(N)]]/$I$5</f>
        <v>30859924.83613069</v>
      </c>
      <c r="F558" s="4">
        <f>Tabela8[[#This Row],[Tensão (Pa)]]/1000000</f>
        <v>30.859924836130691</v>
      </c>
    </row>
    <row r="559" spans="1:6" x14ac:dyDescent="0.3">
      <c r="A559" s="1">
        <v>60.482999999999997</v>
      </c>
      <c r="B559" s="1">
        <v>5.0330000000000004</v>
      </c>
      <c r="C559" s="4">
        <f>Tabela8[[#This Row],[Alongamento (mm/mm)]]/$I$2</f>
        <v>0.10066000000000001</v>
      </c>
      <c r="D559" s="1">
        <v>1339.2</v>
      </c>
      <c r="E559" s="4">
        <f>Tabela8[[#This Row],[Forτa(N)]]/$I$5</f>
        <v>31106135.285673808</v>
      </c>
      <c r="F559" s="4">
        <f>Tabela8[[#This Row],[Tensão (Pa)]]/1000000</f>
        <v>31.106135285673808</v>
      </c>
    </row>
    <row r="560" spans="1:6" x14ac:dyDescent="0.3">
      <c r="A560" s="1">
        <v>60.716999999999999</v>
      </c>
      <c r="B560" s="1">
        <v>5.0523999999999996</v>
      </c>
      <c r="C560" s="4">
        <f>Tabela8[[#This Row],[Alongamento (mm/mm)]]/$I$2</f>
        <v>0.10104799999999999</v>
      </c>
      <c r="D560" s="1">
        <v>1349.7</v>
      </c>
      <c r="E560" s="4">
        <f>Tabela8[[#This Row],[Forτa(N)]]/$I$5</f>
        <v>31350022.995126896</v>
      </c>
      <c r="F560" s="4">
        <f>Tabela8[[#This Row],[Tensão (Pa)]]/1000000</f>
        <v>31.350022995126896</v>
      </c>
    </row>
    <row r="561" spans="1:6" x14ac:dyDescent="0.3">
      <c r="A561" s="1">
        <v>60.95</v>
      </c>
      <c r="B561" s="1">
        <v>5.0717999999999996</v>
      </c>
      <c r="C561" s="4">
        <f>Tabela8[[#This Row],[Alongamento (mm/mm)]]/$I$2</f>
        <v>0.101436</v>
      </c>
      <c r="D561" s="1">
        <v>1360.3</v>
      </c>
      <c r="E561" s="4">
        <f>Tabela8[[#This Row],[Forτa(N)]]/$I$5</f>
        <v>31596233.44467001</v>
      </c>
      <c r="F561" s="4">
        <f>Tabela8[[#This Row],[Tensão (Pa)]]/1000000</f>
        <v>31.596233444670009</v>
      </c>
    </row>
    <row r="562" spans="1:6" x14ac:dyDescent="0.3">
      <c r="A562" s="1">
        <v>61.183</v>
      </c>
      <c r="B562" s="1">
        <v>5.0914000000000001</v>
      </c>
      <c r="C562" s="4">
        <f>Tabela8[[#This Row],[Alongamento (mm/mm)]]/$I$2</f>
        <v>0.101828</v>
      </c>
      <c r="D562" s="1">
        <v>1370.8</v>
      </c>
      <c r="E562" s="4">
        <f>Tabela8[[#This Row],[Forτa(N)]]/$I$5</f>
        <v>31840121.154123098</v>
      </c>
      <c r="F562" s="4">
        <f>Tabela8[[#This Row],[Tensão (Pa)]]/1000000</f>
        <v>31.840121154123096</v>
      </c>
    </row>
    <row r="563" spans="1:6" x14ac:dyDescent="0.3">
      <c r="A563" s="1">
        <v>61.417000000000002</v>
      </c>
      <c r="B563" s="1">
        <v>5.1108000000000002</v>
      </c>
      <c r="C563" s="4">
        <f>Tabela8[[#This Row],[Alongamento (mm/mm)]]/$I$2</f>
        <v>0.102216</v>
      </c>
      <c r="D563" s="1">
        <v>1381.4</v>
      </c>
      <c r="E563" s="4">
        <f>Tabela8[[#This Row],[Forτa(N)]]/$I$5</f>
        <v>32086331.60366622</v>
      </c>
      <c r="F563" s="4">
        <f>Tabela8[[#This Row],[Tensão (Pa)]]/1000000</f>
        <v>32.086331603666217</v>
      </c>
    </row>
    <row r="564" spans="1:6" x14ac:dyDescent="0.3">
      <c r="A564" s="1">
        <v>61.667000000000002</v>
      </c>
      <c r="B564" s="1">
        <v>5.1317000000000004</v>
      </c>
      <c r="C564" s="4">
        <f>Tabela8[[#This Row],[Alongamento (mm/mm)]]/$I$2</f>
        <v>0.102634</v>
      </c>
      <c r="D564" s="1">
        <v>1392.6</v>
      </c>
      <c r="E564" s="4">
        <f>Tabela8[[#This Row],[Forτa(N)]]/$I$5</f>
        <v>32346478.493749507</v>
      </c>
      <c r="F564" s="4">
        <f>Tabela8[[#This Row],[Tensão (Pa)]]/1000000</f>
        <v>32.346478493749508</v>
      </c>
    </row>
    <row r="565" spans="1:6" x14ac:dyDescent="0.3">
      <c r="A565" s="1">
        <v>61.9</v>
      </c>
      <c r="B565" s="1">
        <v>5.1509999999999998</v>
      </c>
      <c r="C565" s="4">
        <f>Tabela8[[#This Row],[Alongamento (mm/mm)]]/$I$2</f>
        <v>0.10302</v>
      </c>
      <c r="D565" s="1">
        <v>1403.1</v>
      </c>
      <c r="E565" s="4">
        <f>Tabela8[[#This Row],[Forτa(N)]]/$I$5</f>
        <v>32590366.203202594</v>
      </c>
      <c r="F565" s="4">
        <f>Tabela8[[#This Row],[Tensão (Pa)]]/1000000</f>
        <v>32.590366203202592</v>
      </c>
    </row>
    <row r="566" spans="1:6" x14ac:dyDescent="0.3">
      <c r="A566" s="1">
        <v>62.15</v>
      </c>
      <c r="B566" s="1">
        <v>5.1718999999999999</v>
      </c>
      <c r="C566" s="4">
        <f>Tabela8[[#This Row],[Alongamento (mm/mm)]]/$I$2</f>
        <v>0.103438</v>
      </c>
      <c r="D566" s="1">
        <v>1414.4</v>
      </c>
      <c r="E566" s="4">
        <f>Tabela8[[#This Row],[Forτa(N)]]/$I$5</f>
        <v>32852835.833375923</v>
      </c>
      <c r="F566" s="4">
        <f>Tabela8[[#This Row],[Tensão (Pa)]]/1000000</f>
        <v>32.85283583337592</v>
      </c>
    </row>
    <row r="567" spans="1:6" x14ac:dyDescent="0.3">
      <c r="A567" s="1">
        <v>62.4</v>
      </c>
      <c r="B567" s="1">
        <v>5.1927000000000003</v>
      </c>
      <c r="C567" s="4">
        <f>Tabela8[[#This Row],[Alongamento (mm/mm)]]/$I$2</f>
        <v>0.103854</v>
      </c>
      <c r="D567" s="1">
        <v>1425.6</v>
      </c>
      <c r="E567" s="4">
        <f>Tabela8[[#This Row],[Forτa(N)]]/$I$5</f>
        <v>33112982.72345921</v>
      </c>
      <c r="F567" s="4">
        <f>Tabela8[[#This Row],[Tensão (Pa)]]/1000000</f>
        <v>33.112982723459211</v>
      </c>
    </row>
    <row r="568" spans="1:6" x14ac:dyDescent="0.3">
      <c r="A568" s="1">
        <v>62.65</v>
      </c>
      <c r="B568" s="1">
        <v>5.2135999999999996</v>
      </c>
      <c r="C568" s="4">
        <f>Tabela8[[#This Row],[Alongamento (mm/mm)]]/$I$2</f>
        <v>0.10427199999999999</v>
      </c>
      <c r="D568" s="1">
        <v>1437</v>
      </c>
      <c r="E568" s="4">
        <f>Tabela8[[#This Row],[Forτa(N)]]/$I$5</f>
        <v>33377775.093722567</v>
      </c>
      <c r="F568" s="4">
        <f>Tabela8[[#This Row],[Tensão (Pa)]]/1000000</f>
        <v>33.377775093722569</v>
      </c>
    </row>
    <row r="569" spans="1:6" x14ac:dyDescent="0.3">
      <c r="A569" s="1">
        <v>62.917000000000002</v>
      </c>
      <c r="B569" s="1">
        <v>5.2358000000000002</v>
      </c>
      <c r="C569" s="4">
        <f>Tabela8[[#This Row],[Alongamento (mm/mm)]]/$I$2</f>
        <v>0.104716</v>
      </c>
      <c r="D569" s="1">
        <v>1448.7</v>
      </c>
      <c r="E569" s="4">
        <f>Tabela8[[#This Row],[Forτa(N)]]/$I$5</f>
        <v>33649535.68425601</v>
      </c>
      <c r="F569" s="4">
        <f>Tabela8[[#This Row],[Tensão (Pa)]]/1000000</f>
        <v>33.649535684256008</v>
      </c>
    </row>
    <row r="570" spans="1:6" x14ac:dyDescent="0.3">
      <c r="A570" s="1">
        <v>63.167000000000002</v>
      </c>
      <c r="B570" s="1">
        <v>5.2567000000000004</v>
      </c>
      <c r="C570" s="4">
        <f>Tabela8[[#This Row],[Alongamento (mm/mm)]]/$I$2</f>
        <v>0.10513400000000001</v>
      </c>
      <c r="D570" s="1">
        <v>1460</v>
      </c>
      <c r="E570" s="4">
        <f>Tabela8[[#This Row],[Forτa(N)]]/$I$5</f>
        <v>33912005.314429328</v>
      </c>
      <c r="F570" s="4">
        <f>Tabela8[[#This Row],[Tensão (Pa)]]/1000000</f>
        <v>33.912005314429329</v>
      </c>
    </row>
    <row r="571" spans="1:6" x14ac:dyDescent="0.3">
      <c r="A571" s="1">
        <v>63.417000000000002</v>
      </c>
      <c r="B571" s="1">
        <v>5.2774999999999999</v>
      </c>
      <c r="C571" s="4">
        <f>Tabela8[[#This Row],[Alongamento (mm/mm)]]/$I$2</f>
        <v>0.10554999999999999</v>
      </c>
      <c r="D571" s="1">
        <v>1471.2</v>
      </c>
      <c r="E571" s="4">
        <f>Tabela8[[#This Row],[Forτa(N)]]/$I$5</f>
        <v>34172152.204512626</v>
      </c>
      <c r="F571" s="4">
        <f>Tabela8[[#This Row],[Tensão (Pa)]]/1000000</f>
        <v>34.172152204512628</v>
      </c>
    </row>
    <row r="572" spans="1:6" x14ac:dyDescent="0.3">
      <c r="A572" s="1">
        <v>63.683</v>
      </c>
      <c r="B572" s="1">
        <v>5.2996999999999996</v>
      </c>
      <c r="C572" s="4">
        <f>Tabela8[[#This Row],[Alongamento (mm/mm)]]/$I$2</f>
        <v>0.10599399999999999</v>
      </c>
      <c r="D572" s="1">
        <v>1482.9</v>
      </c>
      <c r="E572" s="4">
        <f>Tabela8[[#This Row],[Forτa(N)]]/$I$5</f>
        <v>34443912.795046069</v>
      </c>
      <c r="F572" s="4">
        <f>Tabela8[[#This Row],[Tensão (Pa)]]/1000000</f>
        <v>34.443912795046067</v>
      </c>
    </row>
    <row r="573" spans="1:6" x14ac:dyDescent="0.3">
      <c r="A573" s="1">
        <v>63.95</v>
      </c>
      <c r="B573" s="1">
        <v>5.3219000000000003</v>
      </c>
      <c r="C573" s="4">
        <f>Tabela8[[#This Row],[Alongamento (mm/mm)]]/$I$2</f>
        <v>0.106438</v>
      </c>
      <c r="D573" s="1">
        <v>1494.8</v>
      </c>
      <c r="E573" s="4">
        <f>Tabela8[[#This Row],[Forτa(N)]]/$I$5</f>
        <v>34720318.865759559</v>
      </c>
      <c r="F573" s="4">
        <f>Tabela8[[#This Row],[Tensão (Pa)]]/1000000</f>
        <v>34.720318865759559</v>
      </c>
    </row>
    <row r="574" spans="1:6" x14ac:dyDescent="0.3">
      <c r="A574" s="1">
        <v>64.216999999999999</v>
      </c>
      <c r="B574" s="1">
        <v>5.3441000000000001</v>
      </c>
      <c r="C574" s="4">
        <f>Tabela8[[#This Row],[Alongamento (mm/mm)]]/$I$2</f>
        <v>0.106882</v>
      </c>
      <c r="D574" s="1">
        <v>1506.9</v>
      </c>
      <c r="E574" s="4">
        <f>Tabela8[[#This Row],[Forτa(N)]]/$I$5</f>
        <v>35001370.416653126</v>
      </c>
      <c r="F574" s="4">
        <f>Tabela8[[#This Row],[Tensão (Pa)]]/1000000</f>
        <v>35.001370416653124</v>
      </c>
    </row>
    <row r="575" spans="1:6" x14ac:dyDescent="0.3">
      <c r="A575" s="1">
        <v>64.466999999999999</v>
      </c>
      <c r="B575" s="1">
        <v>5.3650000000000002</v>
      </c>
      <c r="C575" s="4">
        <f>Tabela8[[#This Row],[Alongamento (mm/mm)]]/$I$2</f>
        <v>0.10730000000000001</v>
      </c>
      <c r="D575" s="1">
        <v>1518.5</v>
      </c>
      <c r="E575" s="4">
        <f>Tabela8[[#This Row],[Forτa(N)]]/$I$5</f>
        <v>35270808.267096534</v>
      </c>
      <c r="F575" s="4">
        <f>Tabela8[[#This Row],[Tensão (Pa)]]/1000000</f>
        <v>35.270808267096534</v>
      </c>
    </row>
    <row r="576" spans="1:6" x14ac:dyDescent="0.3">
      <c r="A576" s="1">
        <v>64.733000000000004</v>
      </c>
      <c r="B576" s="1">
        <v>5.3872</v>
      </c>
      <c r="C576" s="4">
        <f>Tabela8[[#This Row],[Alongamento (mm/mm)]]/$I$2</f>
        <v>0.10774400000000001</v>
      </c>
      <c r="D576" s="1">
        <v>1530.7</v>
      </c>
      <c r="E576" s="4">
        <f>Tabela8[[#This Row],[Forτa(N)]]/$I$5</f>
        <v>35554182.558080122</v>
      </c>
      <c r="F576" s="4">
        <f>Tabela8[[#This Row],[Tensão (Pa)]]/1000000</f>
        <v>35.554182558080122</v>
      </c>
    </row>
    <row r="577" spans="1:6" x14ac:dyDescent="0.3">
      <c r="A577" s="1">
        <v>65</v>
      </c>
      <c r="B577" s="1">
        <v>5.4093999999999998</v>
      </c>
      <c r="C577" s="4">
        <f>Tabela8[[#This Row],[Alongamento (mm/mm)]]/$I$2</f>
        <v>0.10818799999999999</v>
      </c>
      <c r="D577" s="1">
        <v>1543.1</v>
      </c>
      <c r="E577" s="4">
        <f>Tabela8[[#This Row],[Forτa(N)]]/$I$5</f>
        <v>35842202.329243764</v>
      </c>
      <c r="F577" s="4">
        <f>Tabela8[[#This Row],[Tensão (Pa)]]/1000000</f>
        <v>35.842202329243761</v>
      </c>
    </row>
    <row r="578" spans="1:6" x14ac:dyDescent="0.3">
      <c r="A578" s="1">
        <v>65.266999999999996</v>
      </c>
      <c r="B578" s="1">
        <v>5.4316000000000004</v>
      </c>
      <c r="C578" s="4">
        <f>Tabela8[[#This Row],[Alongamento (mm/mm)]]/$I$2</f>
        <v>0.10863200000000001</v>
      </c>
      <c r="D578" s="1">
        <v>1555.7</v>
      </c>
      <c r="E578" s="4">
        <f>Tabela8[[#This Row],[Forτa(N)]]/$I$5</f>
        <v>36134867.580587469</v>
      </c>
      <c r="F578" s="4">
        <f>Tabela8[[#This Row],[Tensão (Pa)]]/1000000</f>
        <v>36.134867580587468</v>
      </c>
    </row>
    <row r="579" spans="1:6" x14ac:dyDescent="0.3">
      <c r="A579" s="1">
        <v>65.533000000000001</v>
      </c>
      <c r="B579" s="1">
        <v>5.4539</v>
      </c>
      <c r="C579" s="4">
        <f>Tabela8[[#This Row],[Alongamento (mm/mm)]]/$I$2</f>
        <v>0.10907799999999999</v>
      </c>
      <c r="D579" s="1">
        <v>1568.1</v>
      </c>
      <c r="E579" s="4">
        <f>Tabela8[[#This Row],[Forτa(N)]]/$I$5</f>
        <v>36422887.351751119</v>
      </c>
      <c r="F579" s="4">
        <f>Tabela8[[#This Row],[Tensão (Pa)]]/1000000</f>
        <v>36.422887351751122</v>
      </c>
    </row>
    <row r="580" spans="1:6" x14ac:dyDescent="0.3">
      <c r="A580" s="1">
        <v>65.8</v>
      </c>
      <c r="B580" s="1">
        <v>5.476</v>
      </c>
      <c r="C580" s="4">
        <f>Tabela8[[#This Row],[Alongamento (mm/mm)]]/$I$2</f>
        <v>0.10952000000000001</v>
      </c>
      <c r="D580" s="1">
        <v>1580.6</v>
      </c>
      <c r="E580" s="4">
        <f>Tabela8[[#This Row],[Forτa(N)]]/$I$5</f>
        <v>36713229.863004789</v>
      </c>
      <c r="F580" s="4">
        <f>Tabela8[[#This Row],[Tensão (Pa)]]/1000000</f>
        <v>36.713229863004791</v>
      </c>
    </row>
    <row r="581" spans="1:6" x14ac:dyDescent="0.3">
      <c r="A581" s="1">
        <v>66.066999999999993</v>
      </c>
      <c r="B581" s="1">
        <v>5.4981999999999998</v>
      </c>
      <c r="C581" s="4">
        <f>Tabela8[[#This Row],[Alongamento (mm/mm)]]/$I$2</f>
        <v>0.10996399999999999</v>
      </c>
      <c r="D581" s="1">
        <v>1592.8</v>
      </c>
      <c r="E581" s="4">
        <f>Tabela8[[#This Row],[Forτa(N)]]/$I$5</f>
        <v>36996604.153988384</v>
      </c>
      <c r="F581" s="4">
        <f>Tabela8[[#This Row],[Tensão (Pa)]]/1000000</f>
        <v>36.996604153988386</v>
      </c>
    </row>
    <row r="582" spans="1:6" x14ac:dyDescent="0.3">
      <c r="A582" s="1">
        <v>66.332999999999998</v>
      </c>
      <c r="B582" s="1">
        <v>5.5206</v>
      </c>
      <c r="C582" s="4">
        <f>Tabela8[[#This Row],[Alongamento (mm/mm)]]/$I$2</f>
        <v>0.110412</v>
      </c>
      <c r="D582" s="1">
        <v>1605.1</v>
      </c>
      <c r="E582" s="4">
        <f>Tabela8[[#This Row],[Forτa(N)]]/$I$5</f>
        <v>37282301.185061999</v>
      </c>
      <c r="F582" s="4">
        <f>Tabela8[[#This Row],[Tensão (Pa)]]/1000000</f>
        <v>37.282301185061996</v>
      </c>
    </row>
    <row r="583" spans="1:6" x14ac:dyDescent="0.3">
      <c r="A583" s="1">
        <v>66.599999999999994</v>
      </c>
      <c r="B583" s="1">
        <v>5.5427</v>
      </c>
      <c r="C583" s="4">
        <f>Tabela8[[#This Row],[Alongamento (mm/mm)]]/$I$2</f>
        <v>0.11085399999999999</v>
      </c>
      <c r="D583" s="1">
        <v>1617.5</v>
      </c>
      <c r="E583" s="4">
        <f>Tabela8[[#This Row],[Forτa(N)]]/$I$5</f>
        <v>37570320.956225641</v>
      </c>
      <c r="F583" s="4">
        <f>Tabela8[[#This Row],[Tensão (Pa)]]/1000000</f>
        <v>37.570320956225643</v>
      </c>
    </row>
    <row r="584" spans="1:6" x14ac:dyDescent="0.3">
      <c r="A584" s="1">
        <v>66.882999999999996</v>
      </c>
      <c r="B584" s="1">
        <v>5.5663999999999998</v>
      </c>
      <c r="C584" s="4">
        <f>Tabela8[[#This Row],[Alongamento (mm/mm)]]/$I$2</f>
        <v>0.111328</v>
      </c>
      <c r="D584" s="1">
        <v>1630.4</v>
      </c>
      <c r="E584" s="4">
        <f>Tabela8[[#This Row],[Forτa(N)]]/$I$5</f>
        <v>37869954.427839443</v>
      </c>
      <c r="F584" s="4">
        <f>Tabela8[[#This Row],[Tensão (Pa)]]/1000000</f>
        <v>37.869954427839446</v>
      </c>
    </row>
    <row r="585" spans="1:6" x14ac:dyDescent="0.3">
      <c r="A585" s="1">
        <v>67.167000000000002</v>
      </c>
      <c r="B585" s="1">
        <v>5.5899000000000001</v>
      </c>
      <c r="C585" s="4">
        <f>Tabela8[[#This Row],[Alongamento (mm/mm)]]/$I$2</f>
        <v>0.11179800000000001</v>
      </c>
      <c r="D585" s="1">
        <v>1643.3</v>
      </c>
      <c r="E585" s="4">
        <f>Tabela8[[#This Row],[Forτa(N)]]/$I$5</f>
        <v>38169587.89945323</v>
      </c>
      <c r="F585" s="4">
        <f>Tabela8[[#This Row],[Tensão (Pa)]]/1000000</f>
        <v>38.169587899453234</v>
      </c>
    </row>
    <row r="586" spans="1:6" x14ac:dyDescent="0.3">
      <c r="A586" s="1">
        <v>67.45</v>
      </c>
      <c r="B586" s="1">
        <v>5.6135999999999999</v>
      </c>
      <c r="C586" s="4">
        <f>Tabela8[[#This Row],[Alongamento (mm/mm)]]/$I$2</f>
        <v>0.112272</v>
      </c>
      <c r="D586" s="1">
        <v>1656.1</v>
      </c>
      <c r="E586" s="4">
        <f>Tabela8[[#This Row],[Forτa(N)]]/$I$5</f>
        <v>38466898.63097699</v>
      </c>
      <c r="F586" s="4">
        <f>Tabela8[[#This Row],[Tensão (Pa)]]/1000000</f>
        <v>38.466898630976992</v>
      </c>
    </row>
    <row r="587" spans="1:6" x14ac:dyDescent="0.3">
      <c r="A587" s="1">
        <v>67.733000000000004</v>
      </c>
      <c r="B587" s="1">
        <v>5.6372</v>
      </c>
      <c r="C587" s="4">
        <f>Tabela8[[#This Row],[Alongamento (mm/mm)]]/$I$2</f>
        <v>0.112744</v>
      </c>
      <c r="D587" s="1">
        <v>1669</v>
      </c>
      <c r="E587" s="4">
        <f>Tabela8[[#This Row],[Forτa(N)]]/$I$5</f>
        <v>38766532.102590792</v>
      </c>
      <c r="F587" s="4">
        <f>Tabela8[[#This Row],[Tensão (Pa)]]/1000000</f>
        <v>38.766532102590794</v>
      </c>
    </row>
    <row r="588" spans="1:6" x14ac:dyDescent="0.3">
      <c r="A588" s="1">
        <v>68.016999999999996</v>
      </c>
      <c r="B588" s="1">
        <v>5.6607000000000003</v>
      </c>
      <c r="C588" s="4">
        <f>Tabela8[[#This Row],[Alongamento (mm/mm)]]/$I$2</f>
        <v>0.11321400000000001</v>
      </c>
      <c r="D588" s="1">
        <v>1681.9</v>
      </c>
      <c r="E588" s="4">
        <f>Tabela8[[#This Row],[Forτa(N)]]/$I$5</f>
        <v>39066165.574204586</v>
      </c>
      <c r="F588" s="4">
        <f>Tabela8[[#This Row],[Tensão (Pa)]]/1000000</f>
        <v>39.066165574204589</v>
      </c>
    </row>
    <row r="589" spans="1:6" x14ac:dyDescent="0.3">
      <c r="A589" s="1">
        <v>68.316999999999993</v>
      </c>
      <c r="B589" s="1">
        <v>5.6858000000000004</v>
      </c>
      <c r="C589" s="4">
        <f>Tabela8[[#This Row],[Alongamento (mm/mm)]]/$I$2</f>
        <v>0.11371600000000001</v>
      </c>
      <c r="D589" s="1">
        <v>1695.4</v>
      </c>
      <c r="E589" s="4">
        <f>Tabela8[[#This Row],[Forτa(N)]]/$I$5</f>
        <v>39379735.486358553</v>
      </c>
      <c r="F589" s="4">
        <f>Tabela8[[#This Row],[Tensão (Pa)]]/1000000</f>
        <v>39.379735486358555</v>
      </c>
    </row>
    <row r="590" spans="1:6" x14ac:dyDescent="0.3">
      <c r="A590" s="1">
        <v>68.617000000000004</v>
      </c>
      <c r="B590" s="1">
        <v>5.7107999999999999</v>
      </c>
      <c r="C590" s="4">
        <f>Tabela8[[#This Row],[Alongamento (mm/mm)]]/$I$2</f>
        <v>0.114216</v>
      </c>
      <c r="D590" s="1">
        <v>1709</v>
      </c>
      <c r="E590" s="4">
        <f>Tabela8[[#This Row],[Forτa(N)]]/$I$5</f>
        <v>39695628.138602555</v>
      </c>
      <c r="F590" s="4">
        <f>Tabela8[[#This Row],[Tensão (Pa)]]/1000000</f>
        <v>39.695628138602558</v>
      </c>
    </row>
    <row r="591" spans="1:6" x14ac:dyDescent="0.3">
      <c r="A591" s="1">
        <v>68.917000000000002</v>
      </c>
      <c r="B591" s="1">
        <v>5.7358000000000002</v>
      </c>
      <c r="C591" s="4">
        <f>Tabela8[[#This Row],[Alongamento (mm/mm)]]/$I$2</f>
        <v>0.114716</v>
      </c>
      <c r="D591" s="1">
        <v>1722.4</v>
      </c>
      <c r="E591" s="4">
        <f>Tabela8[[#This Row],[Forτa(N)]]/$I$5</f>
        <v>40006875.310666494</v>
      </c>
      <c r="F591" s="4">
        <f>Tabela8[[#This Row],[Tensão (Pa)]]/1000000</f>
        <v>40.006875310666494</v>
      </c>
    </row>
    <row r="592" spans="1:6" x14ac:dyDescent="0.3">
      <c r="A592" s="1">
        <v>69.216999999999999</v>
      </c>
      <c r="B592" s="1">
        <v>5.7607999999999997</v>
      </c>
      <c r="C592" s="4">
        <f>Tabela8[[#This Row],[Alongamento (mm/mm)]]/$I$2</f>
        <v>0.115216</v>
      </c>
      <c r="D592" s="1">
        <v>1735.9</v>
      </c>
      <c r="E592" s="4">
        <f>Tabela8[[#This Row],[Forτa(N)]]/$I$5</f>
        <v>40320445.222820461</v>
      </c>
      <c r="F592" s="4">
        <f>Tabela8[[#This Row],[Tensão (Pa)]]/1000000</f>
        <v>40.32044522282046</v>
      </c>
    </row>
    <row r="593" spans="1:6" x14ac:dyDescent="0.3">
      <c r="A593" s="1">
        <v>69.533000000000001</v>
      </c>
      <c r="B593" s="1">
        <v>5.7872000000000003</v>
      </c>
      <c r="C593" s="4">
        <f>Tabela8[[#This Row],[Alongamento (mm/mm)]]/$I$2</f>
        <v>0.11574400000000001</v>
      </c>
      <c r="D593" s="1">
        <v>1749.8</v>
      </c>
      <c r="E593" s="4">
        <f>Tabela8[[#This Row],[Forτa(N)]]/$I$5</f>
        <v>40643306.095334545</v>
      </c>
      <c r="F593" s="4">
        <f>Tabela8[[#This Row],[Tensão (Pa)]]/1000000</f>
        <v>40.643306095334545</v>
      </c>
    </row>
    <row r="594" spans="1:6" x14ac:dyDescent="0.3">
      <c r="A594" s="1">
        <v>69.849999999999994</v>
      </c>
      <c r="B594" s="1">
        <v>5.8136000000000001</v>
      </c>
      <c r="C594" s="4">
        <f>Tabela8[[#This Row],[Alongamento (mm/mm)]]/$I$2</f>
        <v>0.116272</v>
      </c>
      <c r="D594" s="1">
        <v>1763.9</v>
      </c>
      <c r="E594" s="4">
        <f>Tabela8[[#This Row],[Forτa(N)]]/$I$5</f>
        <v>40970812.448028699</v>
      </c>
      <c r="F594" s="4">
        <f>Tabela8[[#This Row],[Tensão (Pa)]]/1000000</f>
        <v>40.970812448028695</v>
      </c>
    </row>
    <row r="595" spans="1:6" x14ac:dyDescent="0.3">
      <c r="A595" s="1">
        <v>70.150000000000006</v>
      </c>
      <c r="B595" s="1">
        <v>5.8385999999999996</v>
      </c>
      <c r="C595" s="4">
        <f>Tabela8[[#This Row],[Alongamento (mm/mm)]]/$I$2</f>
        <v>0.11677199999999999</v>
      </c>
      <c r="D595" s="1">
        <v>1777.5</v>
      </c>
      <c r="E595" s="4">
        <f>Tabela8[[#This Row],[Forτa(N)]]/$I$5</f>
        <v>41286705.100272693</v>
      </c>
      <c r="F595" s="4">
        <f>Tabela8[[#This Row],[Tensão (Pa)]]/1000000</f>
        <v>41.286705100272691</v>
      </c>
    </row>
    <row r="596" spans="1:6" x14ac:dyDescent="0.3">
      <c r="A596" s="1">
        <v>70.466999999999999</v>
      </c>
      <c r="B596" s="1">
        <v>5.8650000000000002</v>
      </c>
      <c r="C596" s="4">
        <f>Tabela8[[#This Row],[Alongamento (mm/mm)]]/$I$2</f>
        <v>0.1173</v>
      </c>
      <c r="D596" s="1">
        <v>1791.5</v>
      </c>
      <c r="E596" s="4">
        <f>Tabela8[[#This Row],[Forτa(N)]]/$I$5</f>
        <v>41611888.712876812</v>
      </c>
      <c r="F596" s="4">
        <f>Tabela8[[#This Row],[Tensão (Pa)]]/1000000</f>
        <v>41.611888712876812</v>
      </c>
    </row>
    <row r="597" spans="1:6" x14ac:dyDescent="0.3">
      <c r="A597" s="1">
        <v>70.783000000000001</v>
      </c>
      <c r="B597" s="1">
        <v>5.8914</v>
      </c>
      <c r="C597" s="4">
        <f>Tabela8[[#This Row],[Alongamento (mm/mm)]]/$I$2</f>
        <v>0.117828</v>
      </c>
      <c r="D597" s="1">
        <v>1805.6</v>
      </c>
      <c r="E597" s="4">
        <f>Tabela8[[#This Row],[Forτa(N)]]/$I$5</f>
        <v>41939395.065570958</v>
      </c>
      <c r="F597" s="4">
        <f>Tabela8[[#This Row],[Tensão (Pa)]]/1000000</f>
        <v>41.939395065570956</v>
      </c>
    </row>
    <row r="598" spans="1:6" x14ac:dyDescent="0.3">
      <c r="A598" s="1">
        <v>71.099999999999994</v>
      </c>
      <c r="B598" s="1">
        <v>5.9177</v>
      </c>
      <c r="C598" s="4">
        <f>Tabela8[[#This Row],[Alongamento (mm/mm)]]/$I$2</f>
        <v>0.118354</v>
      </c>
      <c r="D598" s="1">
        <v>1819.9</v>
      </c>
      <c r="E598" s="4">
        <f>Tabela8[[#This Row],[Forτa(N)]]/$I$5</f>
        <v>42271546.898445167</v>
      </c>
      <c r="F598" s="4">
        <f>Tabela8[[#This Row],[Tensão (Pa)]]/1000000</f>
        <v>42.271546898445166</v>
      </c>
    </row>
    <row r="599" spans="1:6" x14ac:dyDescent="0.3">
      <c r="A599" s="1">
        <v>71.417000000000002</v>
      </c>
      <c r="B599" s="1">
        <v>5.9442000000000004</v>
      </c>
      <c r="C599" s="4">
        <f>Tabela8[[#This Row],[Alongamento (mm/mm)]]/$I$2</f>
        <v>0.118884</v>
      </c>
      <c r="D599" s="1">
        <v>1834</v>
      </c>
      <c r="E599" s="4">
        <f>Tabela8[[#This Row],[Forτa(N)]]/$I$5</f>
        <v>42599053.251139306</v>
      </c>
      <c r="F599" s="4">
        <f>Tabela8[[#This Row],[Tensão (Pa)]]/1000000</f>
        <v>42.599053251139303</v>
      </c>
    </row>
    <row r="600" spans="1:6" x14ac:dyDescent="0.3">
      <c r="A600" s="1">
        <v>71.75</v>
      </c>
      <c r="B600" s="1">
        <v>5.9718</v>
      </c>
      <c r="C600" s="4">
        <f>Tabela8[[#This Row],[Alongamento (mm/mm)]]/$I$2</f>
        <v>0.119436</v>
      </c>
      <c r="D600" s="1">
        <v>1848.6</v>
      </c>
      <c r="E600" s="4">
        <f>Tabela8[[#This Row],[Forτa(N)]]/$I$5</f>
        <v>42938173.304283597</v>
      </c>
      <c r="F600" s="4">
        <f>Tabela8[[#This Row],[Tensão (Pa)]]/1000000</f>
        <v>42.938173304283595</v>
      </c>
    </row>
    <row r="601" spans="1:6" x14ac:dyDescent="0.3">
      <c r="A601" s="1">
        <v>72.082999999999998</v>
      </c>
      <c r="B601" s="1">
        <v>5.9996999999999998</v>
      </c>
      <c r="C601" s="4">
        <f>Tabela8[[#This Row],[Alongamento (mm/mm)]]/$I$2</f>
        <v>0.11999399999999999</v>
      </c>
      <c r="D601" s="1">
        <v>1863.4</v>
      </c>
      <c r="E601" s="4">
        <f>Tabela8[[#This Row],[Forτa(N)]]/$I$5</f>
        <v>43281938.837607957</v>
      </c>
      <c r="F601" s="4">
        <f>Tabela8[[#This Row],[Tensão (Pa)]]/1000000</f>
        <v>43.28193883760796</v>
      </c>
    </row>
    <row r="602" spans="1:6" x14ac:dyDescent="0.3">
      <c r="A602" s="1">
        <v>72.417000000000002</v>
      </c>
      <c r="B602" s="1">
        <v>6.0274999999999999</v>
      </c>
      <c r="C602" s="4">
        <f>Tabela8[[#This Row],[Alongamento (mm/mm)]]/$I$2</f>
        <v>0.12054999999999999</v>
      </c>
      <c r="D602" s="1">
        <v>1878.1</v>
      </c>
      <c r="E602" s="4">
        <f>Tabela8[[#This Row],[Forτa(N)]]/$I$5</f>
        <v>43623381.630842276</v>
      </c>
      <c r="F602" s="4">
        <f>Tabela8[[#This Row],[Tensão (Pa)]]/1000000</f>
        <v>43.623381630842275</v>
      </c>
    </row>
    <row r="603" spans="1:6" x14ac:dyDescent="0.3">
      <c r="A603" s="1">
        <v>72.766999999999996</v>
      </c>
      <c r="B603" s="1">
        <v>6.0566000000000004</v>
      </c>
      <c r="C603" s="4">
        <f>Tabela8[[#This Row],[Alongamento (mm/mm)]]/$I$2</f>
        <v>0.121132</v>
      </c>
      <c r="D603" s="1">
        <v>1893</v>
      </c>
      <c r="E603" s="4">
        <f>Tabela8[[#This Row],[Forτa(N)]]/$I$5</f>
        <v>43969469.904256657</v>
      </c>
      <c r="F603" s="4">
        <f>Tabela8[[#This Row],[Tensão (Pa)]]/1000000</f>
        <v>43.969469904256655</v>
      </c>
    </row>
    <row r="604" spans="1:6" x14ac:dyDescent="0.3">
      <c r="A604" s="1">
        <v>73.117000000000004</v>
      </c>
      <c r="B604" s="1">
        <v>6.0857999999999999</v>
      </c>
      <c r="C604" s="4">
        <f>Tabela8[[#This Row],[Alongamento (mm/mm)]]/$I$2</f>
        <v>0.12171599999999999</v>
      </c>
      <c r="D604" s="1">
        <v>1907.8</v>
      </c>
      <c r="E604" s="4">
        <f>Tabela8[[#This Row],[Forτa(N)]]/$I$5</f>
        <v>44313235.43758101</v>
      </c>
      <c r="F604" s="4">
        <f>Tabela8[[#This Row],[Tensão (Pa)]]/1000000</f>
        <v>44.313235437581007</v>
      </c>
    </row>
    <row r="605" spans="1:6" x14ac:dyDescent="0.3">
      <c r="A605" s="1">
        <v>73.483000000000004</v>
      </c>
      <c r="B605" s="1">
        <v>6.1162999999999998</v>
      </c>
      <c r="C605" s="4">
        <f>Tabela8[[#This Row],[Alongamento (mm/mm)]]/$I$2</f>
        <v>0.12232599999999999</v>
      </c>
      <c r="D605" s="1">
        <v>1922.8</v>
      </c>
      <c r="E605" s="4">
        <f>Tabela8[[#This Row],[Forτa(N)]]/$I$5</f>
        <v>44661646.451085418</v>
      </c>
      <c r="F605" s="4">
        <f>Tabela8[[#This Row],[Tensão (Pa)]]/1000000</f>
        <v>44.661646451085417</v>
      </c>
    </row>
    <row r="606" spans="1:6" x14ac:dyDescent="0.3">
      <c r="A606" s="1">
        <v>73.867000000000004</v>
      </c>
      <c r="B606" s="1">
        <v>6.1482000000000001</v>
      </c>
      <c r="C606" s="4">
        <f>Tabela8[[#This Row],[Alongamento (mm/mm)]]/$I$2</f>
        <v>0.122964</v>
      </c>
      <c r="D606" s="1">
        <v>1937.9</v>
      </c>
      <c r="E606" s="4">
        <f>Tabela8[[#This Row],[Forτa(N)]]/$I$5</f>
        <v>45012380.204679862</v>
      </c>
      <c r="F606" s="4">
        <f>Tabela8[[#This Row],[Tensão (Pa)]]/1000000</f>
        <v>45.012380204679864</v>
      </c>
    </row>
    <row r="607" spans="1:6" x14ac:dyDescent="0.3">
      <c r="A607" s="1">
        <v>74.25</v>
      </c>
      <c r="B607" s="1">
        <v>6.1802999999999999</v>
      </c>
      <c r="C607" s="4">
        <f>Tabela8[[#This Row],[Alongamento (mm/mm)]]/$I$2</f>
        <v>0.12360599999999999</v>
      </c>
      <c r="D607" s="1">
        <v>1952.9</v>
      </c>
      <c r="E607" s="4">
        <f>Tabela8[[#This Row],[Forτa(N)]]/$I$5</f>
        <v>45360791.218184277</v>
      </c>
      <c r="F607" s="4">
        <f>Tabela8[[#This Row],[Tensão (Pa)]]/1000000</f>
        <v>45.360791218184275</v>
      </c>
    </row>
    <row r="608" spans="1:6" x14ac:dyDescent="0.3">
      <c r="A608" s="1">
        <v>74.667000000000002</v>
      </c>
      <c r="B608" s="1">
        <v>6.2149999999999999</v>
      </c>
      <c r="C608" s="4">
        <f>Tabela8[[#This Row],[Alongamento (mm/mm)]]/$I$2</f>
        <v>0.12429999999999999</v>
      </c>
      <c r="D608" s="1">
        <v>1968.4</v>
      </c>
      <c r="E608" s="4">
        <f>Tabela8[[#This Row],[Forτa(N)]]/$I$5</f>
        <v>45720815.93213883</v>
      </c>
      <c r="F608" s="4">
        <f>Tabela8[[#This Row],[Tensão (Pa)]]/1000000</f>
        <v>45.720815932138834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5347-92E8-4D2F-8896-507AA9AB247C}">
  <dimension ref="A1:K641"/>
  <sheetViews>
    <sheetView workbookViewId="0">
      <selection sqref="A1:K1048576"/>
    </sheetView>
  </sheetViews>
  <sheetFormatPr defaultRowHeight="14.4" x14ac:dyDescent="0.3"/>
  <cols>
    <col min="1" max="1" width="11.88671875" style="5" bestFit="1" customWidth="1"/>
    <col min="2" max="2" width="25.5546875" style="5" bestFit="1" customWidth="1"/>
    <col min="3" max="3" width="24.44140625" style="5" bestFit="1" customWidth="1"/>
    <col min="4" max="4" width="11.44140625" style="5" bestFit="1" customWidth="1"/>
    <col min="5" max="5" width="18.44140625" style="5" customWidth="1"/>
    <col min="6" max="6" width="15.5546875" style="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5" t="s">
        <v>0</v>
      </c>
      <c r="B1" s="5" t="s">
        <v>13</v>
      </c>
      <c r="C1" s="5" t="s">
        <v>14</v>
      </c>
      <c r="D1" s="5" t="s">
        <v>18</v>
      </c>
      <c r="E1" s="5" t="s">
        <v>16</v>
      </c>
      <c r="F1" s="5" t="s">
        <v>17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0.13333</v>
      </c>
      <c r="B2" s="1">
        <v>4.7460000000000002E-3</v>
      </c>
      <c r="C2" s="5">
        <f>Tabela10[[#This Row],[Alongamento (mm/mm)]]/$I$2</f>
        <v>9.4920000000000006E-5</v>
      </c>
      <c r="D2" s="1">
        <v>0</v>
      </c>
      <c r="E2" s="5">
        <f>Tabela10[[#This Row],[Força (N)]]/$I$5</f>
        <v>0</v>
      </c>
      <c r="F2" s="5">
        <f>Tabela10[[#This Row],[Tensão (Pa)]]/1000000</f>
        <v>0</v>
      </c>
      <c r="H2" t="s">
        <v>10</v>
      </c>
      <c r="I2">
        <v>50</v>
      </c>
      <c r="J2">
        <v>12.86</v>
      </c>
      <c r="K2">
        <v>3.34</v>
      </c>
    </row>
    <row r="3" spans="1:11" x14ac:dyDescent="0.3">
      <c r="A3" s="1">
        <v>8.9332999999999991</v>
      </c>
      <c r="B3" s="1">
        <v>0.73673999999999995</v>
      </c>
      <c r="C3" s="5">
        <f>Tabela10[[#This Row],[Alongamento (mm/mm)]]/$I$2</f>
        <v>1.4734799999999999E-2</v>
      </c>
      <c r="D3" s="1">
        <v>6.8040000000000003</v>
      </c>
      <c r="E3" s="5">
        <f>Tabela10[[#This Row],[Força (N)]]/$I$5</f>
        <v>216877.83887162324</v>
      </c>
      <c r="F3" s="5">
        <f>Tabela10[[#This Row],[Tensão (Pa)]]/1000000</f>
        <v>0.21687783887162324</v>
      </c>
      <c r="H3" t="s">
        <v>11</v>
      </c>
      <c r="I3">
        <v>0.05</v>
      </c>
      <c r="J3">
        <v>1.3349999999999999E-2</v>
      </c>
      <c r="K3">
        <v>2.3500000000000001E-3</v>
      </c>
    </row>
    <row r="4" spans="1:11" x14ac:dyDescent="0.3">
      <c r="A4" s="1">
        <v>9.0167000000000002</v>
      </c>
      <c r="B4" s="1">
        <v>0.74363000000000001</v>
      </c>
      <c r="C4" s="5">
        <f>Tabela10[[#This Row],[Alongamento (mm/mm)]]/$I$2</f>
        <v>1.48726E-2</v>
      </c>
      <c r="D4" s="1">
        <v>6.8040000000000003</v>
      </c>
      <c r="E4" s="5">
        <f>Tabela10[[#This Row],[Força (N)]]/$I$5</f>
        <v>216877.83887162324</v>
      </c>
      <c r="F4" s="5">
        <f>Tabela10[[#This Row],[Tensão (Pa)]]/1000000</f>
        <v>0.21687783887162324</v>
      </c>
    </row>
    <row r="5" spans="1:11" x14ac:dyDescent="0.3">
      <c r="A5" s="1">
        <v>9.1</v>
      </c>
      <c r="B5" s="1">
        <v>0.75061</v>
      </c>
      <c r="C5" s="5">
        <f>Tabela10[[#This Row],[Alongamento (mm/mm)]]/$I$2</f>
        <v>1.50122E-2</v>
      </c>
      <c r="D5" s="1">
        <v>6.8040000000000003</v>
      </c>
      <c r="E5" s="5">
        <f>Tabela10[[#This Row],[Força (N)]]/$I$5</f>
        <v>216877.83887162324</v>
      </c>
      <c r="F5" s="5">
        <f>Tabela10[[#This Row],[Tensão (Pa)]]/1000000</f>
        <v>0.21687783887162324</v>
      </c>
      <c r="H5" t="s">
        <v>12</v>
      </c>
      <c r="I5">
        <v>3.1372499999999998E-5</v>
      </c>
    </row>
    <row r="6" spans="1:11" x14ac:dyDescent="0.3">
      <c r="A6" s="1">
        <v>9.1832999999999991</v>
      </c>
      <c r="B6" s="1">
        <v>0.75758999999999999</v>
      </c>
      <c r="C6" s="5">
        <f>Tabela10[[#This Row],[Alongamento (mm/mm)]]/$I$2</f>
        <v>1.51518E-2</v>
      </c>
      <c r="D6" s="1">
        <v>6.8040000000000003</v>
      </c>
      <c r="E6" s="5">
        <f>Tabela10[[#This Row],[Força (N)]]/$I$5</f>
        <v>216877.83887162324</v>
      </c>
      <c r="F6" s="5">
        <f>Tabela10[[#This Row],[Tensão (Pa)]]/1000000</f>
        <v>0.21687783887162324</v>
      </c>
    </row>
    <row r="7" spans="1:11" x14ac:dyDescent="0.3">
      <c r="A7" s="1">
        <v>9.2667000000000002</v>
      </c>
      <c r="B7" s="1">
        <v>0.76446999999999998</v>
      </c>
      <c r="C7" s="5">
        <f>Tabela10[[#This Row],[Alongamento (mm/mm)]]/$I$2</f>
        <v>1.52894E-2</v>
      </c>
      <c r="D7" s="1">
        <v>6.8040000000000003</v>
      </c>
      <c r="E7" s="5">
        <f>Tabela10[[#This Row],[Força (N)]]/$I$5</f>
        <v>216877.83887162324</v>
      </c>
      <c r="F7" s="5">
        <f>Tabela10[[#This Row],[Tensão (Pa)]]/1000000</f>
        <v>0.21687783887162324</v>
      </c>
    </row>
    <row r="8" spans="1:11" x14ac:dyDescent="0.3">
      <c r="A8" s="1">
        <v>9.35</v>
      </c>
      <c r="B8" s="1">
        <v>0.77144999999999997</v>
      </c>
      <c r="C8" s="5">
        <f>Tabela10[[#This Row],[Alongamento (mm/mm)]]/$I$2</f>
        <v>1.5429E-2</v>
      </c>
      <c r="D8" s="1">
        <v>6.8040000000000003</v>
      </c>
      <c r="E8" s="5">
        <f>Tabela10[[#This Row],[Força (N)]]/$I$5</f>
        <v>216877.83887162324</v>
      </c>
      <c r="F8" s="5">
        <f>Tabela10[[#This Row],[Tensão (Pa)]]/1000000</f>
        <v>0.21687783887162324</v>
      </c>
    </row>
    <row r="9" spans="1:11" x14ac:dyDescent="0.3">
      <c r="A9" s="1">
        <v>9.4332999999999991</v>
      </c>
      <c r="B9" s="1">
        <v>0.77842999999999996</v>
      </c>
      <c r="C9" s="5">
        <f>Tabela10[[#This Row],[Alongamento (mm/mm)]]/$I$2</f>
        <v>1.5568599999999998E-2</v>
      </c>
      <c r="D9" s="1">
        <v>6.8040000000000003</v>
      </c>
      <c r="E9" s="5">
        <f>Tabela10[[#This Row],[Força (N)]]/$I$5</f>
        <v>216877.83887162324</v>
      </c>
      <c r="F9" s="5">
        <f>Tabela10[[#This Row],[Tensão (Pa)]]/1000000</f>
        <v>0.21687783887162324</v>
      </c>
    </row>
    <row r="10" spans="1:11" x14ac:dyDescent="0.3">
      <c r="A10" s="1">
        <v>9.5167000000000002</v>
      </c>
      <c r="B10" s="1">
        <v>0.78541000000000005</v>
      </c>
      <c r="C10" s="5">
        <f>Tabela10[[#This Row],[Alongamento (mm/mm)]]/$I$2</f>
        <v>1.5708200000000002E-2</v>
      </c>
      <c r="D10" s="1">
        <v>6.8040000000000003</v>
      </c>
      <c r="E10" s="5">
        <f>Tabela10[[#This Row],[Força (N)]]/$I$5</f>
        <v>216877.83887162324</v>
      </c>
      <c r="F10" s="5">
        <f>Tabela10[[#This Row],[Tensão (Pa)]]/1000000</f>
        <v>0.21687783887162324</v>
      </c>
    </row>
    <row r="11" spans="1:11" x14ac:dyDescent="0.3">
      <c r="A11" s="1">
        <v>9.6</v>
      </c>
      <c r="B11" s="1">
        <v>0.7923</v>
      </c>
      <c r="C11" s="5">
        <f>Tabela10[[#This Row],[Alongamento (mm/mm)]]/$I$2</f>
        <v>1.5845999999999999E-2</v>
      </c>
      <c r="D11" s="1">
        <v>6.8040000000000003</v>
      </c>
      <c r="E11" s="5">
        <f>Tabela10[[#This Row],[Força (N)]]/$I$5</f>
        <v>216877.83887162324</v>
      </c>
      <c r="F11" s="5">
        <f>Tabela10[[#This Row],[Tensão (Pa)]]/1000000</f>
        <v>0.21687783887162324</v>
      </c>
    </row>
    <row r="12" spans="1:11" x14ac:dyDescent="0.3">
      <c r="A12" s="1">
        <v>9.6832999999999991</v>
      </c>
      <c r="B12" s="1">
        <v>0.79927999999999999</v>
      </c>
      <c r="C12" s="5">
        <f>Tabela10[[#This Row],[Alongamento (mm/mm)]]/$I$2</f>
        <v>1.5985599999999999E-2</v>
      </c>
      <c r="D12" s="1">
        <v>6.8040000000000003</v>
      </c>
      <c r="E12" s="5">
        <f>Tabela10[[#This Row],[Força (N)]]/$I$5</f>
        <v>216877.83887162324</v>
      </c>
      <c r="F12" s="5">
        <f>Tabela10[[#This Row],[Tensão (Pa)]]/1000000</f>
        <v>0.21687783887162324</v>
      </c>
    </row>
    <row r="13" spans="1:11" x14ac:dyDescent="0.3">
      <c r="A13" s="1">
        <v>9.7667000000000002</v>
      </c>
      <c r="B13" s="1">
        <v>0.80606999999999995</v>
      </c>
      <c r="C13" s="5">
        <f>Tabela10[[#This Row],[Alongamento (mm/mm)]]/$I$2</f>
        <v>1.6121399999999998E-2</v>
      </c>
      <c r="D13" s="1">
        <v>6.9741</v>
      </c>
      <c r="E13" s="5">
        <f>Tabela10[[#This Row],[Força (N)]]/$I$5</f>
        <v>222299.78484341383</v>
      </c>
      <c r="F13" s="5">
        <f>Tabela10[[#This Row],[Tensão (Pa)]]/1000000</f>
        <v>0.22229978484341384</v>
      </c>
    </row>
    <row r="14" spans="1:11" x14ac:dyDescent="0.3">
      <c r="A14" s="1">
        <v>9.85</v>
      </c>
      <c r="B14" s="1">
        <v>0.81313999999999997</v>
      </c>
      <c r="C14" s="5">
        <f>Tabela10[[#This Row],[Alongamento (mm/mm)]]/$I$2</f>
        <v>1.6262800000000001E-2</v>
      </c>
      <c r="D14" s="1">
        <v>6.9741</v>
      </c>
      <c r="E14" s="5">
        <f>Tabela10[[#This Row],[Força (N)]]/$I$5</f>
        <v>222299.78484341383</v>
      </c>
      <c r="F14" s="5">
        <f>Tabela10[[#This Row],[Tensão (Pa)]]/1000000</f>
        <v>0.22229978484341384</v>
      </c>
    </row>
    <row r="15" spans="1:11" x14ac:dyDescent="0.3">
      <c r="A15" s="1">
        <v>9.9332999999999991</v>
      </c>
      <c r="B15" s="1">
        <v>0.82011999999999996</v>
      </c>
      <c r="C15" s="5">
        <f>Tabela10[[#This Row],[Alongamento (mm/mm)]]/$I$2</f>
        <v>1.6402399999999998E-2</v>
      </c>
      <c r="D15" s="1">
        <v>6.9741</v>
      </c>
      <c r="E15" s="5">
        <f>Tabela10[[#This Row],[Força (N)]]/$I$5</f>
        <v>222299.78484341383</v>
      </c>
      <c r="F15" s="5">
        <f>Tabela10[[#This Row],[Tensão (Pa)]]/1000000</f>
        <v>0.22229978484341384</v>
      </c>
    </row>
    <row r="16" spans="1:11" x14ac:dyDescent="0.3">
      <c r="A16" s="1">
        <v>10.016999999999999</v>
      </c>
      <c r="B16" s="1">
        <v>0.82701000000000002</v>
      </c>
      <c r="C16" s="5">
        <f>Tabela10[[#This Row],[Alongamento (mm/mm)]]/$I$2</f>
        <v>1.6540200000000001E-2</v>
      </c>
      <c r="D16" s="1">
        <v>6.8040000000000003</v>
      </c>
      <c r="E16" s="5">
        <f>Tabela10[[#This Row],[Força (N)]]/$I$5</f>
        <v>216877.83887162324</v>
      </c>
      <c r="F16" s="5">
        <f>Tabela10[[#This Row],[Tensão (Pa)]]/1000000</f>
        <v>0.21687783887162324</v>
      </c>
    </row>
    <row r="17" spans="1:6" x14ac:dyDescent="0.3">
      <c r="A17" s="1">
        <v>10.1</v>
      </c>
      <c r="B17" s="1">
        <v>0.83399000000000001</v>
      </c>
      <c r="C17" s="5">
        <f>Tabela10[[#This Row],[Alongamento (mm/mm)]]/$I$2</f>
        <v>1.6679800000000002E-2</v>
      </c>
      <c r="D17" s="1">
        <v>6.8040000000000003</v>
      </c>
      <c r="E17" s="5">
        <f>Tabela10[[#This Row],[Força (N)]]/$I$5</f>
        <v>216877.83887162324</v>
      </c>
      <c r="F17" s="5">
        <f>Tabela10[[#This Row],[Tensão (Pa)]]/1000000</f>
        <v>0.21687783887162324</v>
      </c>
    </row>
    <row r="18" spans="1:6" x14ac:dyDescent="0.3">
      <c r="A18" s="1">
        <v>10.183</v>
      </c>
      <c r="B18" s="1">
        <v>0.84097</v>
      </c>
      <c r="C18" s="5">
        <f>Tabela10[[#This Row],[Alongamento (mm/mm)]]/$I$2</f>
        <v>1.6819399999999998E-2</v>
      </c>
      <c r="D18" s="1">
        <v>6.8040000000000003</v>
      </c>
      <c r="E18" s="5">
        <f>Tabela10[[#This Row],[Força (N)]]/$I$5</f>
        <v>216877.83887162324</v>
      </c>
      <c r="F18" s="5">
        <f>Tabela10[[#This Row],[Tensão (Pa)]]/1000000</f>
        <v>0.21687783887162324</v>
      </c>
    </row>
    <row r="19" spans="1:6" x14ac:dyDescent="0.3">
      <c r="A19" s="1">
        <v>10.266999999999999</v>
      </c>
      <c r="B19" s="1">
        <v>0.84784999999999999</v>
      </c>
      <c r="C19" s="5">
        <f>Tabela10[[#This Row],[Alongamento (mm/mm)]]/$I$2</f>
        <v>1.6957E-2</v>
      </c>
      <c r="D19" s="1">
        <v>6.8040000000000003</v>
      </c>
      <c r="E19" s="5">
        <f>Tabela10[[#This Row],[Força (N)]]/$I$5</f>
        <v>216877.83887162324</v>
      </c>
      <c r="F19" s="5">
        <f>Tabela10[[#This Row],[Tensão (Pa)]]/1000000</f>
        <v>0.21687783887162324</v>
      </c>
    </row>
    <row r="20" spans="1:6" x14ac:dyDescent="0.3">
      <c r="A20" s="1">
        <v>10.35</v>
      </c>
      <c r="B20" s="1">
        <v>0.85482999999999998</v>
      </c>
      <c r="C20" s="5">
        <f>Tabela10[[#This Row],[Alongamento (mm/mm)]]/$I$2</f>
        <v>1.70966E-2</v>
      </c>
      <c r="D20" s="1">
        <v>6.8040000000000003</v>
      </c>
      <c r="E20" s="5">
        <f>Tabela10[[#This Row],[Força (N)]]/$I$5</f>
        <v>216877.83887162324</v>
      </c>
      <c r="F20" s="5">
        <f>Tabela10[[#This Row],[Tensão (Pa)]]/1000000</f>
        <v>0.21687783887162324</v>
      </c>
    </row>
    <row r="21" spans="1:6" x14ac:dyDescent="0.3">
      <c r="A21" s="1">
        <v>10.433</v>
      </c>
      <c r="B21" s="1">
        <v>0.86172000000000004</v>
      </c>
      <c r="C21" s="5">
        <f>Tabela10[[#This Row],[Alongamento (mm/mm)]]/$I$2</f>
        <v>1.72344E-2</v>
      </c>
      <c r="D21" s="1">
        <v>6.8040000000000003</v>
      </c>
      <c r="E21" s="5">
        <f>Tabela10[[#This Row],[Força (N)]]/$I$5</f>
        <v>216877.83887162324</v>
      </c>
      <c r="F21" s="5">
        <f>Tabela10[[#This Row],[Tensão (Pa)]]/1000000</f>
        <v>0.21687783887162324</v>
      </c>
    </row>
    <row r="22" spans="1:6" x14ac:dyDescent="0.3">
      <c r="A22" s="1">
        <v>10.516999999999999</v>
      </c>
      <c r="B22" s="1">
        <v>0.86860000000000004</v>
      </c>
      <c r="C22" s="5">
        <f>Tabela10[[#This Row],[Alongamento (mm/mm)]]/$I$2</f>
        <v>1.7372000000000002E-2</v>
      </c>
      <c r="D22" s="1">
        <v>6.8040000000000003</v>
      </c>
      <c r="E22" s="5">
        <f>Tabela10[[#This Row],[Força (N)]]/$I$5</f>
        <v>216877.83887162324</v>
      </c>
      <c r="F22" s="5">
        <f>Tabela10[[#This Row],[Tensão (Pa)]]/1000000</f>
        <v>0.21687783887162324</v>
      </c>
    </row>
    <row r="23" spans="1:6" x14ac:dyDescent="0.3">
      <c r="A23" s="1">
        <v>10.6</v>
      </c>
      <c r="B23" s="1">
        <v>0.87568000000000001</v>
      </c>
      <c r="C23" s="5">
        <f>Tabela10[[#This Row],[Alongamento (mm/mm)]]/$I$2</f>
        <v>1.7513600000000001E-2</v>
      </c>
      <c r="D23" s="1">
        <v>6.8040000000000003</v>
      </c>
      <c r="E23" s="5">
        <f>Tabela10[[#This Row],[Força (N)]]/$I$5</f>
        <v>216877.83887162324</v>
      </c>
      <c r="F23" s="5">
        <f>Tabela10[[#This Row],[Tensão (Pa)]]/1000000</f>
        <v>0.21687783887162324</v>
      </c>
    </row>
    <row r="24" spans="1:6" x14ac:dyDescent="0.3">
      <c r="A24" s="1">
        <v>10.683</v>
      </c>
      <c r="B24" s="1">
        <v>0.88256000000000001</v>
      </c>
      <c r="C24" s="5">
        <f>Tabela10[[#This Row],[Alongamento (mm/mm)]]/$I$2</f>
        <v>1.7651199999999999E-2</v>
      </c>
      <c r="D24" s="1">
        <v>6.9741</v>
      </c>
      <c r="E24" s="5">
        <f>Tabela10[[#This Row],[Força (N)]]/$I$5</f>
        <v>222299.78484341383</v>
      </c>
      <c r="F24" s="5">
        <f>Tabela10[[#This Row],[Tensão (Pa)]]/1000000</f>
        <v>0.22229978484341384</v>
      </c>
    </row>
    <row r="25" spans="1:6" x14ac:dyDescent="0.3">
      <c r="A25" s="1">
        <v>10.766999999999999</v>
      </c>
      <c r="B25" s="1">
        <v>0.88944999999999996</v>
      </c>
      <c r="C25" s="5">
        <f>Tabela10[[#This Row],[Alongamento (mm/mm)]]/$I$2</f>
        <v>1.7788999999999999E-2</v>
      </c>
      <c r="D25" s="1">
        <v>6.9741</v>
      </c>
      <c r="E25" s="5">
        <f>Tabela10[[#This Row],[Força (N)]]/$I$5</f>
        <v>222299.78484341383</v>
      </c>
      <c r="F25" s="5">
        <f>Tabela10[[#This Row],[Tensão (Pa)]]/1000000</f>
        <v>0.22229978484341384</v>
      </c>
    </row>
    <row r="26" spans="1:6" x14ac:dyDescent="0.3">
      <c r="A26" s="1">
        <v>10.85</v>
      </c>
      <c r="B26" s="1">
        <v>0.89642999999999995</v>
      </c>
      <c r="C26" s="5">
        <f>Tabela10[[#This Row],[Alongamento (mm/mm)]]/$I$2</f>
        <v>1.7928599999999999E-2</v>
      </c>
      <c r="D26" s="1">
        <v>6.9741</v>
      </c>
      <c r="E26" s="5">
        <f>Tabela10[[#This Row],[Força (N)]]/$I$5</f>
        <v>222299.78484341383</v>
      </c>
      <c r="F26" s="5">
        <f>Tabela10[[#This Row],[Tensão (Pa)]]/1000000</f>
        <v>0.22229978484341384</v>
      </c>
    </row>
    <row r="27" spans="1:6" x14ac:dyDescent="0.3">
      <c r="A27" s="1">
        <v>10.933</v>
      </c>
      <c r="B27" s="1">
        <v>0.90341000000000005</v>
      </c>
      <c r="C27" s="5">
        <f>Tabela10[[#This Row],[Alongamento (mm/mm)]]/$I$2</f>
        <v>1.80682E-2</v>
      </c>
      <c r="D27" s="1">
        <v>6.9741</v>
      </c>
      <c r="E27" s="5">
        <f>Tabela10[[#This Row],[Força (N)]]/$I$5</f>
        <v>222299.78484341383</v>
      </c>
      <c r="F27" s="5">
        <f>Tabela10[[#This Row],[Tensão (Pa)]]/1000000</f>
        <v>0.22229978484341384</v>
      </c>
    </row>
    <row r="28" spans="1:6" x14ac:dyDescent="0.3">
      <c r="A28" s="1">
        <v>11.016999999999999</v>
      </c>
      <c r="B28" s="1">
        <v>0.91039000000000003</v>
      </c>
      <c r="C28" s="5">
        <f>Tabela10[[#This Row],[Alongamento (mm/mm)]]/$I$2</f>
        <v>1.82078E-2</v>
      </c>
      <c r="D28" s="1">
        <v>6.9741</v>
      </c>
      <c r="E28" s="5">
        <f>Tabela10[[#This Row],[Força (N)]]/$I$5</f>
        <v>222299.78484341383</v>
      </c>
      <c r="F28" s="5">
        <f>Tabela10[[#This Row],[Tensão (Pa)]]/1000000</f>
        <v>0.22229978484341384</v>
      </c>
    </row>
    <row r="29" spans="1:6" x14ac:dyDescent="0.3">
      <c r="A29" s="1">
        <v>11.117000000000001</v>
      </c>
      <c r="B29" s="1">
        <v>0.91866999999999999</v>
      </c>
      <c r="C29" s="5">
        <f>Tabela10[[#This Row],[Alongamento (mm/mm)]]/$I$2</f>
        <v>1.8373399999999998E-2</v>
      </c>
      <c r="D29" s="1">
        <v>6.9741</v>
      </c>
      <c r="E29" s="5">
        <f>Tabela10[[#This Row],[Força (N)]]/$I$5</f>
        <v>222299.78484341383</v>
      </c>
      <c r="F29" s="5">
        <f>Tabela10[[#This Row],[Tensão (Pa)]]/1000000</f>
        <v>0.22229978484341384</v>
      </c>
    </row>
    <row r="30" spans="1:6" x14ac:dyDescent="0.3">
      <c r="A30" s="1">
        <v>11.217000000000001</v>
      </c>
      <c r="B30" s="1">
        <v>0.92703999999999998</v>
      </c>
      <c r="C30" s="5">
        <f>Tabela10[[#This Row],[Alongamento (mm/mm)]]/$I$2</f>
        <v>1.85408E-2</v>
      </c>
      <c r="D30" s="1">
        <v>6.9741</v>
      </c>
      <c r="E30" s="5">
        <f>Tabela10[[#This Row],[Força (N)]]/$I$5</f>
        <v>222299.78484341383</v>
      </c>
      <c r="F30" s="5">
        <f>Tabela10[[#This Row],[Tensão (Pa)]]/1000000</f>
        <v>0.22229978484341384</v>
      </c>
    </row>
    <row r="31" spans="1:6" x14ac:dyDescent="0.3">
      <c r="A31" s="1">
        <v>11.317</v>
      </c>
      <c r="B31" s="1">
        <v>0.93532999999999999</v>
      </c>
      <c r="C31" s="5">
        <f>Tabela10[[#This Row],[Alongamento (mm/mm)]]/$I$2</f>
        <v>1.87066E-2</v>
      </c>
      <c r="D31" s="1">
        <v>7.1441999999999997</v>
      </c>
      <c r="E31" s="5">
        <f>Tabela10[[#This Row],[Força (N)]]/$I$5</f>
        <v>227721.73081520441</v>
      </c>
      <c r="F31" s="5">
        <f>Tabela10[[#This Row],[Tensão (Pa)]]/1000000</f>
        <v>0.22772173081520442</v>
      </c>
    </row>
    <row r="32" spans="1:6" x14ac:dyDescent="0.3">
      <c r="A32" s="1">
        <v>11.417</v>
      </c>
      <c r="B32" s="1">
        <v>0.94369999999999998</v>
      </c>
      <c r="C32" s="5">
        <f>Tabela10[[#This Row],[Alongamento (mm/mm)]]/$I$2</f>
        <v>1.8873999999999998E-2</v>
      </c>
      <c r="D32" s="1">
        <v>7.1441999999999997</v>
      </c>
      <c r="E32" s="5">
        <f>Tabela10[[#This Row],[Força (N)]]/$I$5</f>
        <v>227721.73081520441</v>
      </c>
      <c r="F32" s="5">
        <f>Tabela10[[#This Row],[Tensão (Pa)]]/1000000</f>
        <v>0.22772173081520442</v>
      </c>
    </row>
    <row r="33" spans="1:6" x14ac:dyDescent="0.3">
      <c r="A33" s="1">
        <v>11.516999999999999</v>
      </c>
      <c r="B33" s="1">
        <v>0.95198000000000005</v>
      </c>
      <c r="C33" s="5">
        <f>Tabela10[[#This Row],[Alongamento (mm/mm)]]/$I$2</f>
        <v>1.90396E-2</v>
      </c>
      <c r="D33" s="1">
        <v>7.1441999999999997</v>
      </c>
      <c r="E33" s="5">
        <f>Tabela10[[#This Row],[Força (N)]]/$I$5</f>
        <v>227721.73081520441</v>
      </c>
      <c r="F33" s="5">
        <f>Tabela10[[#This Row],[Tensão (Pa)]]/1000000</f>
        <v>0.22772173081520442</v>
      </c>
    </row>
    <row r="34" spans="1:6" x14ac:dyDescent="0.3">
      <c r="A34" s="1">
        <v>11.617000000000001</v>
      </c>
      <c r="B34" s="1">
        <v>0.96026999999999996</v>
      </c>
      <c r="C34" s="5">
        <f>Tabela10[[#This Row],[Alongamento (mm/mm)]]/$I$2</f>
        <v>1.9205399999999997E-2</v>
      </c>
      <c r="D34" s="1">
        <v>7.1441999999999997</v>
      </c>
      <c r="E34" s="5">
        <f>Tabela10[[#This Row],[Força (N)]]/$I$5</f>
        <v>227721.73081520441</v>
      </c>
      <c r="F34" s="5">
        <f>Tabela10[[#This Row],[Tensão (Pa)]]/1000000</f>
        <v>0.22772173081520442</v>
      </c>
    </row>
    <row r="35" spans="1:6" x14ac:dyDescent="0.3">
      <c r="A35" s="1">
        <v>11.717000000000001</v>
      </c>
      <c r="B35" s="1">
        <v>0.96872999999999998</v>
      </c>
      <c r="C35" s="5">
        <f>Tabela10[[#This Row],[Alongamento (mm/mm)]]/$I$2</f>
        <v>1.9374599999999999E-2</v>
      </c>
      <c r="D35" s="1">
        <v>7.1441999999999997</v>
      </c>
      <c r="E35" s="5">
        <f>Tabela10[[#This Row],[Força (N)]]/$I$5</f>
        <v>227721.73081520441</v>
      </c>
      <c r="F35" s="5">
        <f>Tabela10[[#This Row],[Tensão (Pa)]]/1000000</f>
        <v>0.22772173081520442</v>
      </c>
    </row>
    <row r="36" spans="1:6" x14ac:dyDescent="0.3">
      <c r="A36" s="1">
        <v>11.817</v>
      </c>
      <c r="B36" s="1">
        <v>0.97702</v>
      </c>
      <c r="C36" s="5">
        <f>Tabela10[[#This Row],[Alongamento (mm/mm)]]/$I$2</f>
        <v>1.9540399999999999E-2</v>
      </c>
      <c r="D36" s="1">
        <v>7.3141999999999996</v>
      </c>
      <c r="E36" s="5">
        <f>Tabela10[[#This Row],[Força (N)]]/$I$5</f>
        <v>233140.48928201452</v>
      </c>
      <c r="F36" s="5">
        <f>Tabela10[[#This Row],[Tensão (Pa)]]/1000000</f>
        <v>0.23314048928201453</v>
      </c>
    </row>
    <row r="37" spans="1:6" x14ac:dyDescent="0.3">
      <c r="A37" s="1">
        <v>11.917</v>
      </c>
      <c r="B37" s="1">
        <v>0.98538999999999999</v>
      </c>
      <c r="C37" s="5">
        <f>Tabela10[[#This Row],[Alongamento (mm/mm)]]/$I$2</f>
        <v>1.9707800000000001E-2</v>
      </c>
      <c r="D37" s="1">
        <v>7.3141999999999996</v>
      </c>
      <c r="E37" s="5">
        <f>Tabela10[[#This Row],[Força (N)]]/$I$5</f>
        <v>233140.48928201452</v>
      </c>
      <c r="F37" s="5">
        <f>Tabela10[[#This Row],[Tensão (Pa)]]/1000000</f>
        <v>0.23314048928201453</v>
      </c>
    </row>
    <row r="38" spans="1:6" x14ac:dyDescent="0.3">
      <c r="A38" s="1">
        <v>12.016999999999999</v>
      </c>
      <c r="B38" s="1">
        <v>0.99367000000000005</v>
      </c>
      <c r="C38" s="5">
        <f>Tabela10[[#This Row],[Alongamento (mm/mm)]]/$I$2</f>
        <v>1.9873399999999999E-2</v>
      </c>
      <c r="D38" s="1">
        <v>7.3141999999999996</v>
      </c>
      <c r="E38" s="5">
        <f>Tabela10[[#This Row],[Força (N)]]/$I$5</f>
        <v>233140.48928201452</v>
      </c>
      <c r="F38" s="5">
        <f>Tabela10[[#This Row],[Tensão (Pa)]]/1000000</f>
        <v>0.23314048928201453</v>
      </c>
    </row>
    <row r="39" spans="1:6" x14ac:dyDescent="0.3">
      <c r="A39" s="1">
        <v>12.117000000000001</v>
      </c>
      <c r="B39" s="1">
        <v>1.002</v>
      </c>
      <c r="C39" s="5">
        <f>Tabela10[[#This Row],[Alongamento (mm/mm)]]/$I$2</f>
        <v>2.0039999999999999E-2</v>
      </c>
      <c r="D39" s="1">
        <v>7.3141999999999996</v>
      </c>
      <c r="E39" s="5">
        <f>Tabela10[[#This Row],[Força (N)]]/$I$5</f>
        <v>233140.48928201452</v>
      </c>
      <c r="F39" s="5">
        <f>Tabela10[[#This Row],[Tensão (Pa)]]/1000000</f>
        <v>0.23314048928201453</v>
      </c>
    </row>
    <row r="40" spans="1:6" x14ac:dyDescent="0.3">
      <c r="A40" s="1">
        <v>12.217000000000001</v>
      </c>
      <c r="B40" s="1">
        <v>1.0103</v>
      </c>
      <c r="C40" s="5">
        <f>Tabela10[[#This Row],[Alongamento (mm/mm)]]/$I$2</f>
        <v>2.0205999999999998E-2</v>
      </c>
      <c r="D40" s="1">
        <v>7.6543999999999999</v>
      </c>
      <c r="E40" s="5">
        <f>Tabela10[[#This Row],[Força (N)]]/$I$5</f>
        <v>243984.38122559569</v>
      </c>
      <c r="F40" s="5">
        <f>Tabela10[[#This Row],[Tensão (Pa)]]/1000000</f>
        <v>0.24398438122559568</v>
      </c>
    </row>
    <row r="41" spans="1:6" x14ac:dyDescent="0.3">
      <c r="A41" s="1">
        <v>12.317</v>
      </c>
      <c r="B41" s="1">
        <v>1.0186999999999999</v>
      </c>
      <c r="C41" s="5">
        <f>Tabela10[[#This Row],[Alongamento (mm/mm)]]/$I$2</f>
        <v>2.0374E-2</v>
      </c>
      <c r="D41" s="1">
        <v>7.8244999999999996</v>
      </c>
      <c r="E41" s="5">
        <f>Tabela10[[#This Row],[Força (N)]]/$I$5</f>
        <v>249406.32719738624</v>
      </c>
      <c r="F41" s="5">
        <f>Tabela10[[#This Row],[Tensão (Pa)]]/1000000</f>
        <v>0.24940632719738623</v>
      </c>
    </row>
    <row r="42" spans="1:6" x14ac:dyDescent="0.3">
      <c r="A42" s="1">
        <v>12.417</v>
      </c>
      <c r="B42" s="1">
        <v>1.0270999999999999</v>
      </c>
      <c r="C42" s="5">
        <f>Tabela10[[#This Row],[Alongamento (mm/mm)]]/$I$2</f>
        <v>2.0541999999999998E-2</v>
      </c>
      <c r="D42" s="1">
        <v>7.8244999999999996</v>
      </c>
      <c r="E42" s="5">
        <f>Tabela10[[#This Row],[Força (N)]]/$I$5</f>
        <v>249406.32719738624</v>
      </c>
      <c r="F42" s="5">
        <f>Tabela10[[#This Row],[Tensão (Pa)]]/1000000</f>
        <v>0.24940632719738623</v>
      </c>
    </row>
    <row r="43" spans="1:6" x14ac:dyDescent="0.3">
      <c r="A43" s="1">
        <v>12.516999999999999</v>
      </c>
      <c r="B43" s="1">
        <v>1.0354000000000001</v>
      </c>
      <c r="C43" s="5">
        <f>Tabela10[[#This Row],[Alongamento (mm/mm)]]/$I$2</f>
        <v>2.0708000000000001E-2</v>
      </c>
      <c r="D43" s="1">
        <v>7.8244999999999996</v>
      </c>
      <c r="E43" s="5">
        <f>Tabela10[[#This Row],[Força (N)]]/$I$5</f>
        <v>249406.32719738624</v>
      </c>
      <c r="F43" s="5">
        <f>Tabela10[[#This Row],[Tensão (Pa)]]/1000000</f>
        <v>0.24940632719738623</v>
      </c>
    </row>
    <row r="44" spans="1:6" x14ac:dyDescent="0.3">
      <c r="A44" s="1">
        <v>12.617000000000001</v>
      </c>
      <c r="B44" s="1">
        <v>1.0436000000000001</v>
      </c>
      <c r="C44" s="5">
        <f>Tabela10[[#This Row],[Alongamento (mm/mm)]]/$I$2</f>
        <v>2.0872000000000002E-2</v>
      </c>
      <c r="D44" s="1">
        <v>7.8244999999999996</v>
      </c>
      <c r="E44" s="5">
        <f>Tabela10[[#This Row],[Força (N)]]/$I$5</f>
        <v>249406.32719738624</v>
      </c>
      <c r="F44" s="5">
        <f>Tabela10[[#This Row],[Tensão (Pa)]]/1000000</f>
        <v>0.24940632719738623</v>
      </c>
    </row>
    <row r="45" spans="1:6" x14ac:dyDescent="0.3">
      <c r="A45" s="1">
        <v>12.717000000000001</v>
      </c>
      <c r="B45" s="1">
        <v>1.052</v>
      </c>
      <c r="C45" s="5">
        <f>Tabela10[[#This Row],[Alongamento (mm/mm)]]/$I$2</f>
        <v>2.104E-2</v>
      </c>
      <c r="D45" s="1">
        <v>7.8244999999999996</v>
      </c>
      <c r="E45" s="5">
        <f>Tabela10[[#This Row],[Força (N)]]/$I$5</f>
        <v>249406.32719738624</v>
      </c>
      <c r="F45" s="5">
        <f>Tabela10[[#This Row],[Tensão (Pa)]]/1000000</f>
        <v>0.24940632719738623</v>
      </c>
    </row>
    <row r="46" spans="1:6" x14ac:dyDescent="0.3">
      <c r="A46" s="1">
        <v>12.817</v>
      </c>
      <c r="B46" s="1">
        <v>1.0603</v>
      </c>
      <c r="C46" s="5">
        <f>Tabela10[[#This Row],[Alongamento (mm/mm)]]/$I$2</f>
        <v>2.1205999999999999E-2</v>
      </c>
      <c r="D46" s="1">
        <v>8.1646999999999998</v>
      </c>
      <c r="E46" s="5">
        <f>Tabela10[[#This Row],[Força (N)]]/$I$5</f>
        <v>260250.21914096741</v>
      </c>
      <c r="F46" s="5">
        <f>Tabela10[[#This Row],[Tensão (Pa)]]/1000000</f>
        <v>0.26025021914096741</v>
      </c>
    </row>
    <row r="47" spans="1:6" x14ac:dyDescent="0.3">
      <c r="A47" s="1">
        <v>12.917</v>
      </c>
      <c r="B47" s="1">
        <v>1.0687</v>
      </c>
      <c r="C47" s="5">
        <f>Tabela10[[#This Row],[Alongamento (mm/mm)]]/$I$2</f>
        <v>2.1374000000000001E-2</v>
      </c>
      <c r="D47" s="1">
        <v>7.9946000000000002</v>
      </c>
      <c r="E47" s="5">
        <f>Tabela10[[#This Row],[Força (N)]]/$I$5</f>
        <v>254828.27316917686</v>
      </c>
      <c r="F47" s="5">
        <f>Tabela10[[#This Row],[Tensão (Pa)]]/1000000</f>
        <v>0.25482827316917683</v>
      </c>
    </row>
    <row r="48" spans="1:6" x14ac:dyDescent="0.3">
      <c r="A48" s="1">
        <v>13.016999999999999</v>
      </c>
      <c r="B48" s="1">
        <v>1.0770999999999999</v>
      </c>
      <c r="C48" s="5">
        <f>Tabela10[[#This Row],[Alongamento (mm/mm)]]/$I$2</f>
        <v>2.1541999999999999E-2</v>
      </c>
      <c r="D48" s="1">
        <v>7.8244999999999996</v>
      </c>
      <c r="E48" s="5">
        <f>Tabela10[[#This Row],[Força (N)]]/$I$5</f>
        <v>249406.32719738624</v>
      </c>
      <c r="F48" s="5">
        <f>Tabela10[[#This Row],[Tensão (Pa)]]/1000000</f>
        <v>0.24940632719738623</v>
      </c>
    </row>
    <row r="49" spans="1:6" x14ac:dyDescent="0.3">
      <c r="A49" s="1">
        <v>13.132999999999999</v>
      </c>
      <c r="B49" s="1">
        <v>1.0867</v>
      </c>
      <c r="C49" s="5">
        <f>Tabela10[[#This Row],[Alongamento (mm/mm)]]/$I$2</f>
        <v>2.1734E-2</v>
      </c>
      <c r="D49" s="1">
        <v>7.9946000000000002</v>
      </c>
      <c r="E49" s="5">
        <f>Tabela10[[#This Row],[Força (N)]]/$I$5</f>
        <v>254828.27316917686</v>
      </c>
      <c r="F49" s="5">
        <f>Tabela10[[#This Row],[Tensão (Pa)]]/1000000</f>
        <v>0.25482827316917683</v>
      </c>
    </row>
    <row r="50" spans="1:6" x14ac:dyDescent="0.3">
      <c r="A50" s="1">
        <v>13.25</v>
      </c>
      <c r="B50" s="1">
        <v>1.0964</v>
      </c>
      <c r="C50" s="5">
        <f>Tabela10[[#This Row],[Alongamento (mm/mm)]]/$I$2</f>
        <v>2.1928E-2</v>
      </c>
      <c r="D50" s="1">
        <v>8.6750000000000007</v>
      </c>
      <c r="E50" s="5">
        <f>Tabela10[[#This Row],[Força (N)]]/$I$5</f>
        <v>276516.05705633917</v>
      </c>
      <c r="F50" s="5">
        <f>Tabela10[[#This Row],[Tensão (Pa)]]/1000000</f>
        <v>0.27651605705633919</v>
      </c>
    </row>
    <row r="51" spans="1:6" x14ac:dyDescent="0.3">
      <c r="A51" s="1">
        <v>13.367000000000001</v>
      </c>
      <c r="B51" s="1">
        <v>1.1062000000000001</v>
      </c>
      <c r="C51" s="5">
        <f>Tabela10[[#This Row],[Alongamento (mm/mm)]]/$I$2</f>
        <v>2.2124000000000001E-2</v>
      </c>
      <c r="D51" s="1">
        <v>9.1852999999999998</v>
      </c>
      <c r="E51" s="5">
        <f>Tabela10[[#This Row],[Força (N)]]/$I$5</f>
        <v>292781.89497171092</v>
      </c>
      <c r="F51" s="5">
        <f>Tabela10[[#This Row],[Tensão (Pa)]]/1000000</f>
        <v>0.29278189497171092</v>
      </c>
    </row>
    <row r="52" spans="1:6" x14ac:dyDescent="0.3">
      <c r="A52" s="1">
        <v>13.483000000000001</v>
      </c>
      <c r="B52" s="1">
        <v>1.1158999999999999</v>
      </c>
      <c r="C52" s="5">
        <f>Tabela10[[#This Row],[Alongamento (mm/mm)]]/$I$2</f>
        <v>2.2317999999999998E-2</v>
      </c>
      <c r="D52" s="1">
        <v>9.6956000000000007</v>
      </c>
      <c r="E52" s="5">
        <f>Tabela10[[#This Row],[Força (N)]]/$I$5</f>
        <v>309047.73288708268</v>
      </c>
      <c r="F52" s="5">
        <f>Tabela10[[#This Row],[Tensão (Pa)]]/1000000</f>
        <v>0.30904773288708265</v>
      </c>
    </row>
    <row r="53" spans="1:6" x14ac:dyDescent="0.3">
      <c r="A53" s="1">
        <v>13.6</v>
      </c>
      <c r="B53" s="1">
        <v>1.1255999999999999</v>
      </c>
      <c r="C53" s="5">
        <f>Tabela10[[#This Row],[Alongamento (mm/mm)]]/$I$2</f>
        <v>2.2511999999999997E-2</v>
      </c>
      <c r="D53" s="1">
        <v>10.206</v>
      </c>
      <c r="E53" s="5">
        <f>Tabela10[[#This Row],[Força (N)]]/$I$5</f>
        <v>325316.75830743485</v>
      </c>
      <c r="F53" s="5">
        <f>Tabela10[[#This Row],[Tensão (Pa)]]/1000000</f>
        <v>0.32531675830743484</v>
      </c>
    </row>
    <row r="54" spans="1:6" x14ac:dyDescent="0.3">
      <c r="A54" s="1">
        <v>13.717000000000001</v>
      </c>
      <c r="B54" s="1">
        <v>1.1354</v>
      </c>
      <c r="C54" s="5">
        <f>Tabela10[[#This Row],[Alongamento (mm/mm)]]/$I$2</f>
        <v>2.2707999999999999E-2</v>
      </c>
      <c r="D54" s="1">
        <v>10.375999999999999</v>
      </c>
      <c r="E54" s="5">
        <f>Tabela10[[#This Row],[Força (N)]]/$I$5</f>
        <v>330735.51677424496</v>
      </c>
      <c r="F54" s="5">
        <f>Tabela10[[#This Row],[Tensão (Pa)]]/1000000</f>
        <v>0.33073551677424495</v>
      </c>
    </row>
    <row r="55" spans="1:6" x14ac:dyDescent="0.3">
      <c r="A55" s="1">
        <v>13.833</v>
      </c>
      <c r="B55" s="1">
        <v>1.1451</v>
      </c>
      <c r="C55" s="5">
        <f>Tabela10[[#This Row],[Alongamento (mm/mm)]]/$I$2</f>
        <v>2.2901999999999999E-2</v>
      </c>
      <c r="D55" s="1">
        <v>10.375999999999999</v>
      </c>
      <c r="E55" s="5">
        <f>Tabela10[[#This Row],[Força (N)]]/$I$5</f>
        <v>330735.51677424496</v>
      </c>
      <c r="F55" s="5">
        <f>Tabela10[[#This Row],[Tensão (Pa)]]/1000000</f>
        <v>0.33073551677424495</v>
      </c>
    </row>
    <row r="56" spans="1:6" x14ac:dyDescent="0.3">
      <c r="A56" s="1">
        <v>13.95</v>
      </c>
      <c r="B56" s="1">
        <v>1.1548</v>
      </c>
      <c r="C56" s="5">
        <f>Tabela10[[#This Row],[Alongamento (mm/mm)]]/$I$2</f>
        <v>2.3096000000000002E-2</v>
      </c>
      <c r="D56" s="1">
        <v>10.375999999999999</v>
      </c>
      <c r="E56" s="5">
        <f>Tabela10[[#This Row],[Força (N)]]/$I$5</f>
        <v>330735.51677424496</v>
      </c>
      <c r="F56" s="5">
        <f>Tabela10[[#This Row],[Tensão (Pa)]]/1000000</f>
        <v>0.33073551677424495</v>
      </c>
    </row>
    <row r="57" spans="1:6" x14ac:dyDescent="0.3">
      <c r="A57" s="1">
        <v>14.067</v>
      </c>
      <c r="B57" s="1">
        <v>1.1645000000000001</v>
      </c>
      <c r="C57" s="5">
        <f>Tabela10[[#This Row],[Alongamento (mm/mm)]]/$I$2</f>
        <v>2.3290000000000002E-2</v>
      </c>
      <c r="D57" s="1">
        <v>10.375999999999999</v>
      </c>
      <c r="E57" s="5">
        <f>Tabela10[[#This Row],[Força (N)]]/$I$5</f>
        <v>330735.51677424496</v>
      </c>
      <c r="F57" s="5">
        <f>Tabela10[[#This Row],[Tensão (Pa)]]/1000000</f>
        <v>0.33073551677424495</v>
      </c>
    </row>
    <row r="58" spans="1:6" x14ac:dyDescent="0.3">
      <c r="A58" s="1">
        <v>14.183</v>
      </c>
      <c r="B58" s="1">
        <v>1.1741999999999999</v>
      </c>
      <c r="C58" s="5">
        <f>Tabela10[[#This Row],[Alongamento (mm/mm)]]/$I$2</f>
        <v>2.3483999999999998E-2</v>
      </c>
      <c r="D58" s="1">
        <v>10.545999999999999</v>
      </c>
      <c r="E58" s="5">
        <f>Tabela10[[#This Row],[Força (N)]]/$I$5</f>
        <v>336154.27524105506</v>
      </c>
      <c r="F58" s="5">
        <f>Tabela10[[#This Row],[Tensão (Pa)]]/1000000</f>
        <v>0.33615427524105507</v>
      </c>
    </row>
    <row r="59" spans="1:6" x14ac:dyDescent="0.3">
      <c r="A59" s="1">
        <v>14.3</v>
      </c>
      <c r="B59" s="1">
        <v>1.1839999999999999</v>
      </c>
      <c r="C59" s="5">
        <f>Tabela10[[#This Row],[Alongamento (mm/mm)]]/$I$2</f>
        <v>2.368E-2</v>
      </c>
      <c r="D59" s="1">
        <v>10.545999999999999</v>
      </c>
      <c r="E59" s="5">
        <f>Tabela10[[#This Row],[Força (N)]]/$I$5</f>
        <v>336154.27524105506</v>
      </c>
      <c r="F59" s="5">
        <f>Tabela10[[#This Row],[Tensão (Pa)]]/1000000</f>
        <v>0.33615427524105507</v>
      </c>
    </row>
    <row r="60" spans="1:6" x14ac:dyDescent="0.3">
      <c r="A60" s="1">
        <v>14.417</v>
      </c>
      <c r="B60" s="1">
        <v>1.1936</v>
      </c>
      <c r="C60" s="5">
        <f>Tabela10[[#This Row],[Alongamento (mm/mm)]]/$I$2</f>
        <v>2.3872000000000001E-2</v>
      </c>
      <c r="D60" s="1">
        <v>10.545999999999999</v>
      </c>
      <c r="E60" s="5">
        <f>Tabela10[[#This Row],[Força (N)]]/$I$5</f>
        <v>336154.27524105506</v>
      </c>
      <c r="F60" s="5">
        <f>Tabela10[[#This Row],[Tensão (Pa)]]/1000000</f>
        <v>0.33615427524105507</v>
      </c>
    </row>
    <row r="61" spans="1:6" x14ac:dyDescent="0.3">
      <c r="A61" s="1">
        <v>14.532999999999999</v>
      </c>
      <c r="B61" s="1">
        <v>1.2034</v>
      </c>
      <c r="C61" s="5">
        <f>Tabela10[[#This Row],[Alongamento (mm/mm)]]/$I$2</f>
        <v>2.4067999999999999E-2</v>
      </c>
      <c r="D61" s="1">
        <v>10.375999999999999</v>
      </c>
      <c r="E61" s="5">
        <f>Tabela10[[#This Row],[Força (N)]]/$I$5</f>
        <v>330735.51677424496</v>
      </c>
      <c r="F61" s="5">
        <f>Tabela10[[#This Row],[Tensão (Pa)]]/1000000</f>
        <v>0.33073551677424495</v>
      </c>
    </row>
    <row r="62" spans="1:6" x14ac:dyDescent="0.3">
      <c r="A62" s="1">
        <v>14.65</v>
      </c>
      <c r="B62" s="1">
        <v>1.2132000000000001</v>
      </c>
      <c r="C62" s="5">
        <f>Tabela10[[#This Row],[Alongamento (mm/mm)]]/$I$2</f>
        <v>2.4264000000000001E-2</v>
      </c>
      <c r="D62" s="1">
        <v>10.545999999999999</v>
      </c>
      <c r="E62" s="5">
        <f>Tabela10[[#This Row],[Força (N)]]/$I$5</f>
        <v>336154.27524105506</v>
      </c>
      <c r="F62" s="5">
        <f>Tabela10[[#This Row],[Tensão (Pa)]]/1000000</f>
        <v>0.33615427524105507</v>
      </c>
    </row>
    <row r="63" spans="1:6" x14ac:dyDescent="0.3">
      <c r="A63" s="1">
        <v>14.766999999999999</v>
      </c>
      <c r="B63" s="1">
        <v>1.2229000000000001</v>
      </c>
      <c r="C63" s="5">
        <f>Tabela10[[#This Row],[Alongamento (mm/mm)]]/$I$2</f>
        <v>2.4458000000000001E-2</v>
      </c>
      <c r="D63" s="1">
        <v>10.545999999999999</v>
      </c>
      <c r="E63" s="5">
        <f>Tabela10[[#This Row],[Força (N)]]/$I$5</f>
        <v>336154.27524105506</v>
      </c>
      <c r="F63" s="5">
        <f>Tabela10[[#This Row],[Tensão (Pa)]]/1000000</f>
        <v>0.33615427524105507</v>
      </c>
    </row>
    <row r="64" spans="1:6" x14ac:dyDescent="0.3">
      <c r="A64" s="1">
        <v>14.882999999999999</v>
      </c>
      <c r="B64" s="1">
        <v>1.2325999999999999</v>
      </c>
      <c r="C64" s="5">
        <f>Tabela10[[#This Row],[Alongamento (mm/mm)]]/$I$2</f>
        <v>2.4651999999999997E-2</v>
      </c>
      <c r="D64" s="1">
        <v>10.545999999999999</v>
      </c>
      <c r="E64" s="5">
        <f>Tabela10[[#This Row],[Força (N)]]/$I$5</f>
        <v>336154.27524105506</v>
      </c>
      <c r="F64" s="5">
        <f>Tabela10[[#This Row],[Tensão (Pa)]]/1000000</f>
        <v>0.33615427524105507</v>
      </c>
    </row>
    <row r="65" spans="1:6" x14ac:dyDescent="0.3">
      <c r="A65" s="1">
        <v>15</v>
      </c>
      <c r="B65" s="1">
        <v>1.2423</v>
      </c>
      <c r="C65" s="5">
        <f>Tabela10[[#This Row],[Alongamento (mm/mm)]]/$I$2</f>
        <v>2.4846E-2</v>
      </c>
      <c r="D65" s="1">
        <v>10.545999999999999</v>
      </c>
      <c r="E65" s="5">
        <f>Tabela10[[#This Row],[Força (N)]]/$I$5</f>
        <v>336154.27524105506</v>
      </c>
      <c r="F65" s="5">
        <f>Tabela10[[#This Row],[Tensão (Pa)]]/1000000</f>
        <v>0.33615427524105507</v>
      </c>
    </row>
    <row r="66" spans="1:6" x14ac:dyDescent="0.3">
      <c r="A66" s="1">
        <v>15.117000000000001</v>
      </c>
      <c r="B66" s="1">
        <v>1.2521</v>
      </c>
      <c r="C66" s="5">
        <f>Tabela10[[#This Row],[Alongamento (mm/mm)]]/$I$2</f>
        <v>2.5041999999999998E-2</v>
      </c>
      <c r="D66" s="1">
        <v>10.545999999999999</v>
      </c>
      <c r="E66" s="5">
        <f>Tabela10[[#This Row],[Força (N)]]/$I$5</f>
        <v>336154.27524105506</v>
      </c>
      <c r="F66" s="5">
        <f>Tabela10[[#This Row],[Tensão (Pa)]]/1000000</f>
        <v>0.33615427524105507</v>
      </c>
    </row>
    <row r="67" spans="1:6" x14ac:dyDescent="0.3">
      <c r="A67" s="1">
        <v>15.25</v>
      </c>
      <c r="B67" s="1">
        <v>1.2632000000000001</v>
      </c>
      <c r="C67" s="5">
        <f>Tabela10[[#This Row],[Alongamento (mm/mm)]]/$I$2</f>
        <v>2.5264000000000002E-2</v>
      </c>
      <c r="D67" s="1">
        <v>10.545999999999999</v>
      </c>
      <c r="E67" s="5">
        <f>Tabela10[[#This Row],[Força (N)]]/$I$5</f>
        <v>336154.27524105506</v>
      </c>
      <c r="F67" s="5">
        <f>Tabela10[[#This Row],[Tensão (Pa)]]/1000000</f>
        <v>0.33615427524105507</v>
      </c>
    </row>
    <row r="68" spans="1:6" x14ac:dyDescent="0.3">
      <c r="A68" s="1">
        <v>15.382999999999999</v>
      </c>
      <c r="B68" s="1">
        <v>1.2742</v>
      </c>
      <c r="C68" s="5">
        <f>Tabela10[[#This Row],[Alongamento (mm/mm)]]/$I$2</f>
        <v>2.5484E-2</v>
      </c>
      <c r="D68" s="1">
        <v>10.545999999999999</v>
      </c>
      <c r="E68" s="5">
        <f>Tabela10[[#This Row],[Força (N)]]/$I$5</f>
        <v>336154.27524105506</v>
      </c>
      <c r="F68" s="5">
        <f>Tabela10[[#This Row],[Tensão (Pa)]]/1000000</f>
        <v>0.33615427524105507</v>
      </c>
    </row>
    <row r="69" spans="1:6" x14ac:dyDescent="0.3">
      <c r="A69" s="1">
        <v>15.516999999999999</v>
      </c>
      <c r="B69" s="1">
        <v>1.2854000000000001</v>
      </c>
      <c r="C69" s="5">
        <f>Tabela10[[#This Row],[Alongamento (mm/mm)]]/$I$2</f>
        <v>2.5708000000000002E-2</v>
      </c>
      <c r="D69" s="1">
        <v>10.545999999999999</v>
      </c>
      <c r="E69" s="5">
        <f>Tabela10[[#This Row],[Força (N)]]/$I$5</f>
        <v>336154.27524105506</v>
      </c>
      <c r="F69" s="5">
        <f>Tabela10[[#This Row],[Tensão (Pa)]]/1000000</f>
        <v>0.33615427524105507</v>
      </c>
    </row>
    <row r="70" spans="1:6" x14ac:dyDescent="0.3">
      <c r="A70" s="1">
        <v>15.65</v>
      </c>
      <c r="B70" s="1">
        <v>1.2965</v>
      </c>
      <c r="C70" s="5">
        <f>Tabela10[[#This Row],[Alongamento (mm/mm)]]/$I$2</f>
        <v>2.5929999999999998E-2</v>
      </c>
      <c r="D70" s="1">
        <v>10.715999999999999</v>
      </c>
      <c r="E70" s="5">
        <f>Tabela10[[#This Row],[Força (N)]]/$I$5</f>
        <v>341573.03370786516</v>
      </c>
      <c r="F70" s="5">
        <f>Tabela10[[#This Row],[Tensão (Pa)]]/1000000</f>
        <v>0.34157303370786518</v>
      </c>
    </row>
    <row r="71" spans="1:6" x14ac:dyDescent="0.3">
      <c r="A71" s="1">
        <v>15.782999999999999</v>
      </c>
      <c r="B71" s="1">
        <v>1.3076000000000001</v>
      </c>
      <c r="C71" s="5">
        <f>Tabela10[[#This Row],[Alongamento (mm/mm)]]/$I$2</f>
        <v>2.6152000000000002E-2</v>
      </c>
      <c r="D71" s="1">
        <v>10.715999999999999</v>
      </c>
      <c r="E71" s="5">
        <f>Tabela10[[#This Row],[Força (N)]]/$I$5</f>
        <v>341573.03370786516</v>
      </c>
      <c r="F71" s="5">
        <f>Tabela10[[#This Row],[Tensão (Pa)]]/1000000</f>
        <v>0.34157303370786518</v>
      </c>
    </row>
    <row r="72" spans="1:6" x14ac:dyDescent="0.3">
      <c r="A72" s="1">
        <v>15.917</v>
      </c>
      <c r="B72" s="1">
        <v>1.3186</v>
      </c>
      <c r="C72" s="5">
        <f>Tabela10[[#This Row],[Alongamento (mm/mm)]]/$I$2</f>
        <v>2.6372E-2</v>
      </c>
      <c r="D72" s="1">
        <v>10.715999999999999</v>
      </c>
      <c r="E72" s="5">
        <f>Tabela10[[#This Row],[Força (N)]]/$I$5</f>
        <v>341573.03370786516</v>
      </c>
      <c r="F72" s="5">
        <f>Tabela10[[#This Row],[Tensão (Pa)]]/1000000</f>
        <v>0.34157303370786518</v>
      </c>
    </row>
    <row r="73" spans="1:6" x14ac:dyDescent="0.3">
      <c r="A73" s="1">
        <v>16.05</v>
      </c>
      <c r="B73" s="1">
        <v>1.3298000000000001</v>
      </c>
      <c r="C73" s="5">
        <f>Tabela10[[#This Row],[Alongamento (mm/mm)]]/$I$2</f>
        <v>2.6596000000000002E-2</v>
      </c>
      <c r="D73" s="1">
        <v>10.715999999999999</v>
      </c>
      <c r="E73" s="5">
        <f>Tabela10[[#This Row],[Força (N)]]/$I$5</f>
        <v>341573.03370786516</v>
      </c>
      <c r="F73" s="5">
        <f>Tabela10[[#This Row],[Tensão (Pa)]]/1000000</f>
        <v>0.34157303370786518</v>
      </c>
    </row>
    <row r="74" spans="1:6" x14ac:dyDescent="0.3">
      <c r="A74" s="1">
        <v>16.183</v>
      </c>
      <c r="B74" s="1">
        <v>1.341</v>
      </c>
      <c r="C74" s="5">
        <f>Tabela10[[#This Row],[Alongamento (mm/mm)]]/$I$2</f>
        <v>2.682E-2</v>
      </c>
      <c r="D74" s="1">
        <v>11.055999999999999</v>
      </c>
      <c r="E74" s="5">
        <f>Tabela10[[#This Row],[Força (N)]]/$I$5</f>
        <v>352410.55064148537</v>
      </c>
      <c r="F74" s="5">
        <f>Tabela10[[#This Row],[Tensão (Pa)]]/1000000</f>
        <v>0.35241055064148535</v>
      </c>
    </row>
    <row r="75" spans="1:6" x14ac:dyDescent="0.3">
      <c r="A75" s="1">
        <v>16.317</v>
      </c>
      <c r="B75" s="1">
        <v>1.3520000000000001</v>
      </c>
      <c r="C75" s="5">
        <f>Tabela10[[#This Row],[Alongamento (mm/mm)]]/$I$2</f>
        <v>2.7040000000000002E-2</v>
      </c>
      <c r="D75" s="1">
        <v>11.227</v>
      </c>
      <c r="E75" s="5">
        <f>Tabela10[[#This Row],[Força (N)]]/$I$5</f>
        <v>357861.18415810028</v>
      </c>
      <c r="F75" s="5">
        <f>Tabela10[[#This Row],[Tensão (Pa)]]/1000000</f>
        <v>0.35786118415810025</v>
      </c>
    </row>
    <row r="76" spans="1:6" x14ac:dyDescent="0.3">
      <c r="A76" s="1">
        <v>16.45</v>
      </c>
      <c r="B76" s="1">
        <v>1.3631</v>
      </c>
      <c r="C76" s="5">
        <f>Tabela10[[#This Row],[Alongamento (mm/mm)]]/$I$2</f>
        <v>2.7261999999999998E-2</v>
      </c>
      <c r="D76" s="1">
        <v>11.567</v>
      </c>
      <c r="E76" s="5">
        <f>Tabela10[[#This Row],[Força (N)]]/$I$5</f>
        <v>368698.70109172049</v>
      </c>
      <c r="F76" s="5">
        <f>Tabela10[[#This Row],[Tensão (Pa)]]/1000000</f>
        <v>0.36869870109172048</v>
      </c>
    </row>
    <row r="77" spans="1:6" x14ac:dyDescent="0.3">
      <c r="A77" s="1">
        <v>16.582999999999998</v>
      </c>
      <c r="B77" s="1">
        <v>1.3742000000000001</v>
      </c>
      <c r="C77" s="5">
        <f>Tabela10[[#This Row],[Alongamento (mm/mm)]]/$I$2</f>
        <v>2.7484000000000001E-2</v>
      </c>
      <c r="D77" s="1">
        <v>11.907</v>
      </c>
      <c r="E77" s="5">
        <f>Tabela10[[#This Row],[Força (N)]]/$I$5</f>
        <v>379536.2180253407</v>
      </c>
      <c r="F77" s="5">
        <f>Tabela10[[#This Row],[Tensão (Pa)]]/1000000</f>
        <v>0.37953621802534071</v>
      </c>
    </row>
    <row r="78" spans="1:6" x14ac:dyDescent="0.3">
      <c r="A78" s="1">
        <v>16.716999999999999</v>
      </c>
      <c r="B78" s="1">
        <v>1.3854</v>
      </c>
      <c r="C78" s="5">
        <f>Tabela10[[#This Row],[Alongamento (mm/mm)]]/$I$2</f>
        <v>2.7708E-2</v>
      </c>
      <c r="D78" s="1">
        <v>12.247</v>
      </c>
      <c r="E78" s="5">
        <f>Tabela10[[#This Row],[Força (N)]]/$I$5</f>
        <v>390373.73495896091</v>
      </c>
      <c r="F78" s="5">
        <f>Tabela10[[#This Row],[Tensão (Pa)]]/1000000</f>
        <v>0.39037373495896088</v>
      </c>
    </row>
    <row r="79" spans="1:6" x14ac:dyDescent="0.3">
      <c r="A79" s="1">
        <v>16.850000000000001</v>
      </c>
      <c r="B79" s="1">
        <v>1.3964000000000001</v>
      </c>
      <c r="C79" s="5">
        <f>Tabela10[[#This Row],[Alongamento (mm/mm)]]/$I$2</f>
        <v>2.7928000000000001E-2</v>
      </c>
      <c r="D79" s="1">
        <v>12.417</v>
      </c>
      <c r="E79" s="5">
        <f>Tabela10[[#This Row],[Força (N)]]/$I$5</f>
        <v>395792.49342577101</v>
      </c>
      <c r="F79" s="5">
        <f>Tabela10[[#This Row],[Tensão (Pa)]]/1000000</f>
        <v>0.395792493425771</v>
      </c>
    </row>
    <row r="80" spans="1:6" x14ac:dyDescent="0.3">
      <c r="A80" s="1">
        <v>16.983000000000001</v>
      </c>
      <c r="B80" s="1">
        <v>1.4076</v>
      </c>
      <c r="C80" s="5">
        <f>Tabela10[[#This Row],[Alongamento (mm/mm)]]/$I$2</f>
        <v>2.8152E-2</v>
      </c>
      <c r="D80" s="1">
        <v>12.587</v>
      </c>
      <c r="E80" s="5">
        <f>Tabela10[[#This Row],[Força (N)]]/$I$5</f>
        <v>401211.25189258112</v>
      </c>
      <c r="F80" s="5">
        <f>Tabela10[[#This Row],[Tensão (Pa)]]/1000000</f>
        <v>0.40121125189258111</v>
      </c>
    </row>
    <row r="81" spans="1:6" x14ac:dyDescent="0.3">
      <c r="A81" s="1">
        <v>17.117000000000001</v>
      </c>
      <c r="B81" s="1">
        <v>1.4187000000000001</v>
      </c>
      <c r="C81" s="5">
        <f>Tabela10[[#This Row],[Alongamento (mm/mm)]]/$I$2</f>
        <v>2.8374E-2</v>
      </c>
      <c r="D81" s="1">
        <v>12.417</v>
      </c>
      <c r="E81" s="5">
        <f>Tabela10[[#This Row],[Força (N)]]/$I$5</f>
        <v>395792.49342577101</v>
      </c>
      <c r="F81" s="5">
        <f>Tabela10[[#This Row],[Tensão (Pa)]]/1000000</f>
        <v>0.395792493425771</v>
      </c>
    </row>
    <row r="82" spans="1:6" x14ac:dyDescent="0.3">
      <c r="A82" s="1">
        <v>17.25</v>
      </c>
      <c r="B82" s="1">
        <v>1.4298</v>
      </c>
      <c r="C82" s="5">
        <f>Tabela10[[#This Row],[Alongamento (mm/mm)]]/$I$2</f>
        <v>2.8596E-2</v>
      </c>
      <c r="D82" s="1">
        <v>12.417</v>
      </c>
      <c r="E82" s="5">
        <f>Tabela10[[#This Row],[Força (N)]]/$I$5</f>
        <v>395792.49342577101</v>
      </c>
      <c r="F82" s="5">
        <f>Tabela10[[#This Row],[Tensão (Pa)]]/1000000</f>
        <v>0.395792493425771</v>
      </c>
    </row>
    <row r="83" spans="1:6" x14ac:dyDescent="0.3">
      <c r="A83" s="1">
        <v>17.399999999999999</v>
      </c>
      <c r="B83" s="1">
        <v>1.4421999999999999</v>
      </c>
      <c r="C83" s="5">
        <f>Tabela10[[#This Row],[Alongamento (mm/mm)]]/$I$2</f>
        <v>2.8843999999999998E-2</v>
      </c>
      <c r="D83" s="1">
        <v>12.417</v>
      </c>
      <c r="E83" s="5">
        <f>Tabela10[[#This Row],[Força (N)]]/$I$5</f>
        <v>395792.49342577101</v>
      </c>
      <c r="F83" s="5">
        <f>Tabela10[[#This Row],[Tensão (Pa)]]/1000000</f>
        <v>0.395792493425771</v>
      </c>
    </row>
    <row r="84" spans="1:6" x14ac:dyDescent="0.3">
      <c r="A84" s="1">
        <v>17.55</v>
      </c>
      <c r="B84" s="1">
        <v>1.4548000000000001</v>
      </c>
      <c r="C84" s="5">
        <f>Tabela10[[#This Row],[Alongamento (mm/mm)]]/$I$2</f>
        <v>2.9096E-2</v>
      </c>
      <c r="D84" s="1">
        <v>12.587</v>
      </c>
      <c r="E84" s="5">
        <f>Tabela10[[#This Row],[Força (N)]]/$I$5</f>
        <v>401211.25189258112</v>
      </c>
      <c r="F84" s="5">
        <f>Tabela10[[#This Row],[Tensão (Pa)]]/1000000</f>
        <v>0.40121125189258111</v>
      </c>
    </row>
    <row r="85" spans="1:6" x14ac:dyDescent="0.3">
      <c r="A85" s="1">
        <v>17.7</v>
      </c>
      <c r="B85" s="1">
        <v>1.4672000000000001</v>
      </c>
      <c r="C85" s="5">
        <f>Tabela10[[#This Row],[Alongamento (mm/mm)]]/$I$2</f>
        <v>2.9344000000000002E-2</v>
      </c>
      <c r="D85" s="1">
        <v>12.587</v>
      </c>
      <c r="E85" s="5">
        <f>Tabela10[[#This Row],[Força (N)]]/$I$5</f>
        <v>401211.25189258112</v>
      </c>
      <c r="F85" s="5">
        <f>Tabela10[[#This Row],[Tensão (Pa)]]/1000000</f>
        <v>0.40121125189258111</v>
      </c>
    </row>
    <row r="86" spans="1:6" x14ac:dyDescent="0.3">
      <c r="A86" s="1">
        <v>17.850000000000001</v>
      </c>
      <c r="B86" s="1">
        <v>1.4798</v>
      </c>
      <c r="C86" s="5">
        <f>Tabela10[[#This Row],[Alongamento (mm/mm)]]/$I$2</f>
        <v>2.9596000000000001E-2</v>
      </c>
      <c r="D86" s="1">
        <v>12.587</v>
      </c>
      <c r="E86" s="5">
        <f>Tabela10[[#This Row],[Força (N)]]/$I$5</f>
        <v>401211.25189258112</v>
      </c>
      <c r="F86" s="5">
        <f>Tabela10[[#This Row],[Tensão (Pa)]]/1000000</f>
        <v>0.40121125189258111</v>
      </c>
    </row>
    <row r="87" spans="1:6" x14ac:dyDescent="0.3">
      <c r="A87" s="1">
        <v>18</v>
      </c>
      <c r="B87" s="1">
        <v>1.4923999999999999</v>
      </c>
      <c r="C87" s="5">
        <f>Tabela10[[#This Row],[Alongamento (mm/mm)]]/$I$2</f>
        <v>2.9848E-2</v>
      </c>
      <c r="D87" s="1">
        <v>12.587</v>
      </c>
      <c r="E87" s="5">
        <f>Tabela10[[#This Row],[Força (N)]]/$I$5</f>
        <v>401211.25189258112</v>
      </c>
      <c r="F87" s="5">
        <f>Tabela10[[#This Row],[Tensão (Pa)]]/1000000</f>
        <v>0.40121125189258111</v>
      </c>
    </row>
    <row r="88" spans="1:6" x14ac:dyDescent="0.3">
      <c r="A88" s="1">
        <v>18.149999999999999</v>
      </c>
      <c r="B88" s="1">
        <v>1.5046999999999999</v>
      </c>
      <c r="C88" s="5">
        <f>Tabela10[[#This Row],[Alongamento (mm/mm)]]/$I$2</f>
        <v>3.0093999999999999E-2</v>
      </c>
      <c r="D88" s="1">
        <v>12.587</v>
      </c>
      <c r="E88" s="5">
        <f>Tabela10[[#This Row],[Força (N)]]/$I$5</f>
        <v>401211.25189258112</v>
      </c>
      <c r="F88" s="5">
        <f>Tabela10[[#This Row],[Tensão (Pa)]]/1000000</f>
        <v>0.40121125189258111</v>
      </c>
    </row>
    <row r="89" spans="1:6" x14ac:dyDescent="0.3">
      <c r="A89" s="1">
        <v>18.3</v>
      </c>
      <c r="B89" s="1">
        <v>1.5173000000000001</v>
      </c>
      <c r="C89" s="5">
        <f>Tabela10[[#This Row],[Alongamento (mm/mm)]]/$I$2</f>
        <v>3.0346000000000001E-2</v>
      </c>
      <c r="D89" s="1">
        <v>12.587</v>
      </c>
      <c r="E89" s="5">
        <f>Tabela10[[#This Row],[Força (N)]]/$I$5</f>
        <v>401211.25189258112</v>
      </c>
      <c r="F89" s="5">
        <f>Tabela10[[#This Row],[Tensão (Pa)]]/1000000</f>
        <v>0.40121125189258111</v>
      </c>
    </row>
    <row r="90" spans="1:6" x14ac:dyDescent="0.3">
      <c r="A90" s="1">
        <v>18.45</v>
      </c>
      <c r="B90" s="1">
        <v>1.5298</v>
      </c>
      <c r="C90" s="5">
        <f>Tabela10[[#This Row],[Alongamento (mm/mm)]]/$I$2</f>
        <v>3.0596000000000002E-2</v>
      </c>
      <c r="D90" s="1">
        <v>12.587</v>
      </c>
      <c r="E90" s="5">
        <f>Tabela10[[#This Row],[Força (N)]]/$I$5</f>
        <v>401211.25189258112</v>
      </c>
      <c r="F90" s="5">
        <f>Tabela10[[#This Row],[Tensão (Pa)]]/1000000</f>
        <v>0.40121125189258111</v>
      </c>
    </row>
    <row r="91" spans="1:6" x14ac:dyDescent="0.3">
      <c r="A91" s="1">
        <v>18.600000000000001</v>
      </c>
      <c r="B91" s="1">
        <v>1.5423</v>
      </c>
      <c r="C91" s="5">
        <f>Tabela10[[#This Row],[Alongamento (mm/mm)]]/$I$2</f>
        <v>3.0845999999999998E-2</v>
      </c>
      <c r="D91" s="1">
        <v>12.757</v>
      </c>
      <c r="E91" s="5">
        <f>Tabela10[[#This Row],[Força (N)]]/$I$5</f>
        <v>406630.01035939122</v>
      </c>
      <c r="F91" s="5">
        <f>Tabela10[[#This Row],[Tensão (Pa)]]/1000000</f>
        <v>0.40663001035939123</v>
      </c>
    </row>
    <row r="92" spans="1:6" x14ac:dyDescent="0.3">
      <c r="A92" s="1">
        <v>18.75</v>
      </c>
      <c r="B92" s="1">
        <v>1.5548</v>
      </c>
      <c r="C92" s="5">
        <f>Tabela10[[#This Row],[Alongamento (mm/mm)]]/$I$2</f>
        <v>3.1095999999999999E-2</v>
      </c>
      <c r="D92" s="1">
        <v>12.587</v>
      </c>
      <c r="E92" s="5">
        <f>Tabela10[[#This Row],[Força (N)]]/$I$5</f>
        <v>401211.25189258112</v>
      </c>
      <c r="F92" s="5">
        <f>Tabela10[[#This Row],[Tensão (Pa)]]/1000000</f>
        <v>0.40121125189258111</v>
      </c>
    </row>
    <row r="93" spans="1:6" x14ac:dyDescent="0.3">
      <c r="A93" s="1">
        <v>18.899999999999999</v>
      </c>
      <c r="B93" s="1">
        <v>1.5672999999999999</v>
      </c>
      <c r="C93" s="5">
        <f>Tabela10[[#This Row],[Alongamento (mm/mm)]]/$I$2</f>
        <v>3.1345999999999999E-2</v>
      </c>
      <c r="D93" s="1">
        <v>12.587</v>
      </c>
      <c r="E93" s="5">
        <f>Tabela10[[#This Row],[Força (N)]]/$I$5</f>
        <v>401211.25189258112</v>
      </c>
      <c r="F93" s="5">
        <f>Tabela10[[#This Row],[Tensão (Pa)]]/1000000</f>
        <v>0.40121125189258111</v>
      </c>
    </row>
    <row r="94" spans="1:6" x14ac:dyDescent="0.3">
      <c r="A94" s="1">
        <v>19.05</v>
      </c>
      <c r="B94" s="1">
        <v>1.5798000000000001</v>
      </c>
      <c r="C94" s="5">
        <f>Tabela10[[#This Row],[Alongamento (mm/mm)]]/$I$2</f>
        <v>3.1595999999999999E-2</v>
      </c>
      <c r="D94" s="1">
        <v>12.587</v>
      </c>
      <c r="E94" s="5">
        <f>Tabela10[[#This Row],[Força (N)]]/$I$5</f>
        <v>401211.25189258112</v>
      </c>
      <c r="F94" s="5">
        <f>Tabela10[[#This Row],[Tensão (Pa)]]/1000000</f>
        <v>0.40121125189258111</v>
      </c>
    </row>
    <row r="95" spans="1:6" x14ac:dyDescent="0.3">
      <c r="A95" s="1">
        <v>19.2</v>
      </c>
      <c r="B95" s="1">
        <v>1.5922000000000001</v>
      </c>
      <c r="C95" s="5">
        <f>Tabela10[[#This Row],[Alongamento (mm/mm)]]/$I$2</f>
        <v>3.1844000000000004E-2</v>
      </c>
      <c r="D95" s="1">
        <v>12.757</v>
      </c>
      <c r="E95" s="5">
        <f>Tabela10[[#This Row],[Força (N)]]/$I$5</f>
        <v>406630.01035939122</v>
      </c>
      <c r="F95" s="5">
        <f>Tabela10[[#This Row],[Tensão (Pa)]]/1000000</f>
        <v>0.40663001035939123</v>
      </c>
    </row>
    <row r="96" spans="1:6" x14ac:dyDescent="0.3">
      <c r="A96" s="1">
        <v>19.350000000000001</v>
      </c>
      <c r="B96" s="1">
        <v>1.6048</v>
      </c>
      <c r="C96" s="5">
        <f>Tabela10[[#This Row],[Alongamento (mm/mm)]]/$I$2</f>
        <v>3.2096E-2</v>
      </c>
      <c r="D96" s="1">
        <v>12.757</v>
      </c>
      <c r="E96" s="5">
        <f>Tabela10[[#This Row],[Força (N)]]/$I$5</f>
        <v>406630.01035939122</v>
      </c>
      <c r="F96" s="5">
        <f>Tabela10[[#This Row],[Tensão (Pa)]]/1000000</f>
        <v>0.40663001035939123</v>
      </c>
    </row>
    <row r="97" spans="1:6" x14ac:dyDescent="0.3">
      <c r="A97" s="1">
        <v>19.5</v>
      </c>
      <c r="B97" s="1">
        <v>1.6173</v>
      </c>
      <c r="C97" s="5">
        <f>Tabela10[[#This Row],[Alongamento (mm/mm)]]/$I$2</f>
        <v>3.2346E-2</v>
      </c>
      <c r="D97" s="1">
        <v>12.757</v>
      </c>
      <c r="E97" s="5">
        <f>Tabela10[[#This Row],[Força (N)]]/$I$5</f>
        <v>406630.01035939122</v>
      </c>
      <c r="F97" s="5">
        <f>Tabela10[[#This Row],[Tensão (Pa)]]/1000000</f>
        <v>0.40663001035939123</v>
      </c>
    </row>
    <row r="98" spans="1:6" x14ac:dyDescent="0.3">
      <c r="A98" s="1">
        <v>19.649999999999999</v>
      </c>
      <c r="B98" s="1">
        <v>1.6297999999999999</v>
      </c>
      <c r="C98" s="5">
        <f>Tabela10[[#This Row],[Alongamento (mm/mm)]]/$I$2</f>
        <v>3.2596E-2</v>
      </c>
      <c r="D98" s="1">
        <v>12.757</v>
      </c>
      <c r="E98" s="5">
        <f>Tabela10[[#This Row],[Força (N)]]/$I$5</f>
        <v>406630.01035939122</v>
      </c>
      <c r="F98" s="5">
        <f>Tabela10[[#This Row],[Tensão (Pa)]]/1000000</f>
        <v>0.40663001035939123</v>
      </c>
    </row>
    <row r="99" spans="1:6" x14ac:dyDescent="0.3">
      <c r="A99" s="1">
        <v>19.817</v>
      </c>
      <c r="B99" s="1">
        <v>1.6435999999999999</v>
      </c>
      <c r="C99" s="5">
        <f>Tabela10[[#This Row],[Alongamento (mm/mm)]]/$I$2</f>
        <v>3.2871999999999998E-2</v>
      </c>
      <c r="D99" s="1">
        <v>12.757</v>
      </c>
      <c r="E99" s="5">
        <f>Tabela10[[#This Row],[Força (N)]]/$I$5</f>
        <v>406630.01035939122</v>
      </c>
      <c r="F99" s="5">
        <f>Tabela10[[#This Row],[Tensão (Pa)]]/1000000</f>
        <v>0.40663001035939123</v>
      </c>
    </row>
    <row r="100" spans="1:6" x14ac:dyDescent="0.3">
      <c r="A100" s="1">
        <v>19.983000000000001</v>
      </c>
      <c r="B100" s="1">
        <v>1.6575</v>
      </c>
      <c r="C100" s="5">
        <f>Tabela10[[#This Row],[Alongamento (mm/mm)]]/$I$2</f>
        <v>3.3149999999999999E-2</v>
      </c>
      <c r="D100" s="1">
        <v>12.757</v>
      </c>
      <c r="E100" s="5">
        <f>Tabela10[[#This Row],[Força (N)]]/$I$5</f>
        <v>406630.01035939122</v>
      </c>
      <c r="F100" s="5">
        <f>Tabela10[[#This Row],[Tensão (Pa)]]/1000000</f>
        <v>0.40663001035939123</v>
      </c>
    </row>
    <row r="101" spans="1:6" x14ac:dyDescent="0.3">
      <c r="A101" s="1">
        <v>20.149999999999999</v>
      </c>
      <c r="B101" s="1">
        <v>1.6715</v>
      </c>
      <c r="C101" s="5">
        <f>Tabela10[[#This Row],[Alongamento (mm/mm)]]/$I$2</f>
        <v>3.3430000000000001E-2</v>
      </c>
      <c r="D101" s="1">
        <v>12.757</v>
      </c>
      <c r="E101" s="5">
        <f>Tabela10[[#This Row],[Força (N)]]/$I$5</f>
        <v>406630.01035939122</v>
      </c>
      <c r="F101" s="5">
        <f>Tabela10[[#This Row],[Tensão (Pa)]]/1000000</f>
        <v>0.40663001035939123</v>
      </c>
    </row>
    <row r="102" spans="1:6" x14ac:dyDescent="0.3">
      <c r="A102" s="1">
        <v>20.317</v>
      </c>
      <c r="B102" s="1">
        <v>1.6853</v>
      </c>
      <c r="C102" s="5">
        <f>Tabela10[[#This Row],[Alongamento (mm/mm)]]/$I$2</f>
        <v>3.3706E-2</v>
      </c>
      <c r="D102" s="1">
        <v>12.757</v>
      </c>
      <c r="E102" s="5">
        <f>Tabela10[[#This Row],[Força (N)]]/$I$5</f>
        <v>406630.01035939122</v>
      </c>
      <c r="F102" s="5">
        <f>Tabela10[[#This Row],[Tensão (Pa)]]/1000000</f>
        <v>0.40663001035939123</v>
      </c>
    </row>
    <row r="103" spans="1:6" x14ac:dyDescent="0.3">
      <c r="A103" s="1">
        <v>20.483000000000001</v>
      </c>
      <c r="B103" s="1">
        <v>1.6992</v>
      </c>
      <c r="C103" s="5">
        <f>Tabela10[[#This Row],[Alongamento (mm/mm)]]/$I$2</f>
        <v>3.3984E-2</v>
      </c>
      <c r="D103" s="1">
        <v>12.928000000000001</v>
      </c>
      <c r="E103" s="5">
        <f>Tabela10[[#This Row],[Força (N)]]/$I$5</f>
        <v>412080.64387600613</v>
      </c>
      <c r="F103" s="5">
        <f>Tabela10[[#This Row],[Tensão (Pa)]]/1000000</f>
        <v>0.41208064387600613</v>
      </c>
    </row>
    <row r="104" spans="1:6" x14ac:dyDescent="0.3">
      <c r="A104" s="1">
        <v>20.65</v>
      </c>
      <c r="B104" s="1">
        <v>1.7132000000000001</v>
      </c>
      <c r="C104" s="5">
        <f>Tabela10[[#This Row],[Alongamento (mm/mm)]]/$I$2</f>
        <v>3.4264000000000003E-2</v>
      </c>
      <c r="D104" s="1">
        <v>13.098000000000001</v>
      </c>
      <c r="E104" s="5">
        <f>Tabela10[[#This Row],[Força (N)]]/$I$5</f>
        <v>417499.40234281623</v>
      </c>
      <c r="F104" s="5">
        <f>Tabela10[[#This Row],[Tensão (Pa)]]/1000000</f>
        <v>0.41749940234281624</v>
      </c>
    </row>
    <row r="105" spans="1:6" x14ac:dyDescent="0.3">
      <c r="A105" s="1">
        <v>20.817</v>
      </c>
      <c r="B105" s="1">
        <v>1.7270000000000001</v>
      </c>
      <c r="C105" s="5">
        <f>Tabela10[[#This Row],[Alongamento (mm/mm)]]/$I$2</f>
        <v>3.4540000000000001E-2</v>
      </c>
      <c r="D105" s="1">
        <v>13.098000000000001</v>
      </c>
      <c r="E105" s="5">
        <f>Tabela10[[#This Row],[Força (N)]]/$I$5</f>
        <v>417499.40234281623</v>
      </c>
      <c r="F105" s="5">
        <f>Tabela10[[#This Row],[Tensão (Pa)]]/1000000</f>
        <v>0.41749940234281624</v>
      </c>
    </row>
    <row r="106" spans="1:6" x14ac:dyDescent="0.3">
      <c r="A106" s="1">
        <v>20.983000000000001</v>
      </c>
      <c r="B106" s="1">
        <v>1.7408999999999999</v>
      </c>
      <c r="C106" s="5">
        <f>Tabela10[[#This Row],[Alongamento (mm/mm)]]/$I$2</f>
        <v>3.4817999999999995E-2</v>
      </c>
      <c r="D106" s="1">
        <v>13.268000000000001</v>
      </c>
      <c r="E106" s="5">
        <f>Tabela10[[#This Row],[Força (N)]]/$I$5</f>
        <v>422918.16080962634</v>
      </c>
      <c r="F106" s="5">
        <f>Tabela10[[#This Row],[Tensão (Pa)]]/1000000</f>
        <v>0.42291816080962635</v>
      </c>
    </row>
    <row r="107" spans="1:6" x14ac:dyDescent="0.3">
      <c r="A107" s="1">
        <v>21.15</v>
      </c>
      <c r="B107" s="1">
        <v>1.7547999999999999</v>
      </c>
      <c r="C107" s="5">
        <f>Tabela10[[#This Row],[Alongamento (mm/mm)]]/$I$2</f>
        <v>3.5095999999999995E-2</v>
      </c>
      <c r="D107" s="1">
        <v>13.608000000000001</v>
      </c>
      <c r="E107" s="5">
        <f>Tabela10[[#This Row],[Força (N)]]/$I$5</f>
        <v>433755.67774324649</v>
      </c>
      <c r="F107" s="5">
        <f>Tabela10[[#This Row],[Tensão (Pa)]]/1000000</f>
        <v>0.43375567774324647</v>
      </c>
    </row>
    <row r="108" spans="1:6" x14ac:dyDescent="0.3">
      <c r="A108" s="1">
        <v>21.317</v>
      </c>
      <c r="B108" s="1">
        <v>1.7686999999999999</v>
      </c>
      <c r="C108" s="5">
        <f>Tabela10[[#This Row],[Alongamento (mm/mm)]]/$I$2</f>
        <v>3.5373999999999996E-2</v>
      </c>
      <c r="D108" s="1">
        <v>13.778</v>
      </c>
      <c r="E108" s="5">
        <f>Tabela10[[#This Row],[Força (N)]]/$I$5</f>
        <v>439174.43621005659</v>
      </c>
      <c r="F108" s="5">
        <f>Tabela10[[#This Row],[Tensão (Pa)]]/1000000</f>
        <v>0.43917443621005658</v>
      </c>
    </row>
    <row r="109" spans="1:6" x14ac:dyDescent="0.3">
      <c r="A109" s="1">
        <v>21.483000000000001</v>
      </c>
      <c r="B109" s="1">
        <v>1.7825</v>
      </c>
      <c r="C109" s="5">
        <f>Tabela10[[#This Row],[Alongamento (mm/mm)]]/$I$2</f>
        <v>3.5650000000000001E-2</v>
      </c>
      <c r="D109" s="1">
        <v>14.118</v>
      </c>
      <c r="E109" s="5">
        <f>Tabela10[[#This Row],[Força (N)]]/$I$5</f>
        <v>450011.9531436768</v>
      </c>
      <c r="F109" s="5">
        <f>Tabela10[[#This Row],[Tensão (Pa)]]/1000000</f>
        <v>0.45001195314367681</v>
      </c>
    </row>
    <row r="110" spans="1:6" x14ac:dyDescent="0.3">
      <c r="A110" s="1">
        <v>21.65</v>
      </c>
      <c r="B110" s="1">
        <v>1.7965</v>
      </c>
      <c r="C110" s="5">
        <f>Tabela10[[#This Row],[Alongamento (mm/mm)]]/$I$2</f>
        <v>3.5929999999999997E-2</v>
      </c>
      <c r="D110" s="1">
        <v>14.628</v>
      </c>
      <c r="E110" s="5">
        <f>Tabela10[[#This Row],[Força (N)]]/$I$5</f>
        <v>466268.22854410711</v>
      </c>
      <c r="F110" s="5">
        <f>Tabela10[[#This Row],[Tensão (Pa)]]/1000000</f>
        <v>0.4662682285441071</v>
      </c>
    </row>
    <row r="111" spans="1:6" x14ac:dyDescent="0.3">
      <c r="A111" s="1">
        <v>21.817</v>
      </c>
      <c r="B111" s="1">
        <v>1.8104</v>
      </c>
      <c r="C111" s="5">
        <f>Tabela10[[#This Row],[Alongamento (mm/mm)]]/$I$2</f>
        <v>3.6207999999999997E-2</v>
      </c>
      <c r="D111" s="1">
        <v>15.308999999999999</v>
      </c>
      <c r="E111" s="5">
        <f>Tabela10[[#This Row],[Força (N)]]/$I$5</f>
        <v>487975.13746115228</v>
      </c>
      <c r="F111" s="5">
        <f>Tabela10[[#This Row],[Tensão (Pa)]]/1000000</f>
        <v>0.48797513746115229</v>
      </c>
    </row>
    <row r="112" spans="1:6" x14ac:dyDescent="0.3">
      <c r="A112" s="1">
        <v>22</v>
      </c>
      <c r="B112" s="1">
        <v>1.8255999999999999</v>
      </c>
      <c r="C112" s="5">
        <f>Tabela10[[#This Row],[Alongamento (mm/mm)]]/$I$2</f>
        <v>3.6511999999999996E-2</v>
      </c>
      <c r="D112" s="1">
        <v>15.819000000000001</v>
      </c>
      <c r="E112" s="5">
        <f>Tabela10[[#This Row],[Força (N)]]/$I$5</f>
        <v>504231.41286158265</v>
      </c>
      <c r="F112" s="5">
        <f>Tabela10[[#This Row],[Tensão (Pa)]]/1000000</f>
        <v>0.50423141286158268</v>
      </c>
    </row>
    <row r="113" spans="1:6" x14ac:dyDescent="0.3">
      <c r="A113" s="1">
        <v>22.183</v>
      </c>
      <c r="B113" s="1">
        <v>1.8409</v>
      </c>
      <c r="C113" s="5">
        <f>Tabela10[[#This Row],[Alongamento (mm/mm)]]/$I$2</f>
        <v>3.6817999999999997E-2</v>
      </c>
      <c r="D113" s="1">
        <v>16.329000000000001</v>
      </c>
      <c r="E113" s="5">
        <f>Tabela10[[#This Row],[Força (N)]]/$I$5</f>
        <v>520487.68826201296</v>
      </c>
      <c r="F113" s="5">
        <f>Tabela10[[#This Row],[Tensão (Pa)]]/1000000</f>
        <v>0.52048768826201297</v>
      </c>
    </row>
    <row r="114" spans="1:6" x14ac:dyDescent="0.3">
      <c r="A114" s="1">
        <v>22.367000000000001</v>
      </c>
      <c r="B114" s="1">
        <v>1.8562000000000001</v>
      </c>
      <c r="C114" s="5">
        <f>Tabela10[[#This Row],[Alongamento (mm/mm)]]/$I$2</f>
        <v>3.7124000000000004E-2</v>
      </c>
      <c r="D114" s="1">
        <v>17.010000000000002</v>
      </c>
      <c r="E114" s="5">
        <f>Tabela10[[#This Row],[Força (N)]]/$I$5</f>
        <v>542194.59717905812</v>
      </c>
      <c r="F114" s="5">
        <f>Tabela10[[#This Row],[Tensão (Pa)]]/1000000</f>
        <v>0.54219459717905816</v>
      </c>
    </row>
    <row r="115" spans="1:6" x14ac:dyDescent="0.3">
      <c r="A115" s="1">
        <v>22.5</v>
      </c>
      <c r="B115" s="1">
        <v>1.8673</v>
      </c>
      <c r="C115" s="5">
        <f>Tabela10[[#This Row],[Alongamento (mm/mm)]]/$I$2</f>
        <v>3.7345999999999997E-2</v>
      </c>
      <c r="D115" s="1">
        <v>17.690000000000001</v>
      </c>
      <c r="E115" s="5">
        <f>Tabela10[[#This Row],[Força (N)]]/$I$5</f>
        <v>563869.63104629854</v>
      </c>
      <c r="F115" s="5">
        <f>Tabela10[[#This Row],[Tensão (Pa)]]/1000000</f>
        <v>0.5638696310462985</v>
      </c>
    </row>
    <row r="116" spans="1:6" x14ac:dyDescent="0.3">
      <c r="A116" s="1">
        <v>22.65</v>
      </c>
      <c r="B116" s="1">
        <v>1.8798999999999999</v>
      </c>
      <c r="C116" s="5">
        <f>Tabela10[[#This Row],[Alongamento (mm/mm)]]/$I$2</f>
        <v>3.7597999999999999E-2</v>
      </c>
      <c r="D116" s="1">
        <v>18.370999999999999</v>
      </c>
      <c r="E116" s="5">
        <f>Tabela10[[#This Row],[Força (N)]]/$I$5</f>
        <v>585576.53996334365</v>
      </c>
      <c r="F116" s="5">
        <f>Tabela10[[#This Row],[Tensão (Pa)]]/1000000</f>
        <v>0.58557653996334369</v>
      </c>
    </row>
    <row r="117" spans="1:6" x14ac:dyDescent="0.3">
      <c r="A117" s="1">
        <v>22.783000000000001</v>
      </c>
      <c r="B117" s="1">
        <v>1.8908</v>
      </c>
      <c r="C117" s="5">
        <f>Tabela10[[#This Row],[Alongamento (mm/mm)]]/$I$2</f>
        <v>3.7816000000000002E-2</v>
      </c>
      <c r="D117" s="1">
        <v>19.050999999999998</v>
      </c>
      <c r="E117" s="5">
        <f>Tabela10[[#This Row],[Força (N)]]/$I$5</f>
        <v>607251.57383058406</v>
      </c>
      <c r="F117" s="5">
        <f>Tabela10[[#This Row],[Tensão (Pa)]]/1000000</f>
        <v>0.60725157383058403</v>
      </c>
    </row>
    <row r="118" spans="1:6" x14ac:dyDescent="0.3">
      <c r="A118" s="1">
        <v>22.933</v>
      </c>
      <c r="B118" s="1">
        <v>1.9035</v>
      </c>
      <c r="C118" s="5">
        <f>Tabela10[[#This Row],[Alongamento (mm/mm)]]/$I$2</f>
        <v>3.807E-2</v>
      </c>
      <c r="D118" s="1">
        <v>19.731000000000002</v>
      </c>
      <c r="E118" s="5">
        <f>Tabela10[[#This Row],[Força (N)]]/$I$5</f>
        <v>628926.6076978246</v>
      </c>
      <c r="F118" s="5">
        <f>Tabela10[[#This Row],[Tensão (Pa)]]/1000000</f>
        <v>0.6289266076978246</v>
      </c>
    </row>
    <row r="119" spans="1:6" x14ac:dyDescent="0.3">
      <c r="A119" s="1">
        <v>23.117000000000001</v>
      </c>
      <c r="B119" s="1">
        <v>1.9187000000000001</v>
      </c>
      <c r="C119" s="5">
        <f>Tabela10[[#This Row],[Alongamento (mm/mm)]]/$I$2</f>
        <v>3.8373999999999998E-2</v>
      </c>
      <c r="D119" s="1">
        <v>20.071999999999999</v>
      </c>
      <c r="E119" s="5">
        <f>Tabela10[[#This Row],[Força (N)]]/$I$5</f>
        <v>639795.99968124949</v>
      </c>
      <c r="F119" s="5">
        <f>Tabela10[[#This Row],[Tensão (Pa)]]/1000000</f>
        <v>0.63979599968124945</v>
      </c>
    </row>
    <row r="120" spans="1:6" x14ac:dyDescent="0.3">
      <c r="A120" s="1">
        <v>23.25</v>
      </c>
      <c r="B120" s="1">
        <v>1.9298</v>
      </c>
      <c r="C120" s="5">
        <f>Tabela10[[#This Row],[Alongamento (mm/mm)]]/$I$2</f>
        <v>3.8595999999999998E-2</v>
      </c>
      <c r="D120" s="1">
        <v>20.751999999999999</v>
      </c>
      <c r="E120" s="5">
        <f>Tabela10[[#This Row],[Força (N)]]/$I$5</f>
        <v>661471.03354848991</v>
      </c>
      <c r="F120" s="5">
        <f>Tabela10[[#This Row],[Tensão (Pa)]]/1000000</f>
        <v>0.66147103354848991</v>
      </c>
    </row>
    <row r="121" spans="1:6" x14ac:dyDescent="0.3">
      <c r="A121" s="1">
        <v>23.367000000000001</v>
      </c>
      <c r="B121" s="1">
        <v>1.9395</v>
      </c>
      <c r="C121" s="5">
        <f>Tabela10[[#This Row],[Alongamento (mm/mm)]]/$I$2</f>
        <v>3.8789999999999998E-2</v>
      </c>
      <c r="D121" s="1">
        <v>21.431999999999999</v>
      </c>
      <c r="E121" s="5">
        <f>Tabela10[[#This Row],[Força (N)]]/$I$5</f>
        <v>683146.06741573033</v>
      </c>
      <c r="F121" s="5">
        <f>Tabela10[[#This Row],[Tensão (Pa)]]/1000000</f>
        <v>0.68314606741573036</v>
      </c>
    </row>
    <row r="122" spans="1:6" x14ac:dyDescent="0.3">
      <c r="A122" s="1">
        <v>23.5</v>
      </c>
      <c r="B122" s="1">
        <v>1.9507000000000001</v>
      </c>
      <c r="C122" s="5">
        <f>Tabela10[[#This Row],[Alongamento (mm/mm)]]/$I$2</f>
        <v>3.9014E-2</v>
      </c>
      <c r="D122" s="1">
        <v>22.113</v>
      </c>
      <c r="E122" s="5">
        <f>Tabela10[[#This Row],[Força (N)]]/$I$5</f>
        <v>704852.97633277555</v>
      </c>
      <c r="F122" s="5">
        <f>Tabela10[[#This Row],[Tensão (Pa)]]/1000000</f>
        <v>0.70485297633277555</v>
      </c>
    </row>
    <row r="123" spans="1:6" x14ac:dyDescent="0.3">
      <c r="A123" s="1">
        <v>23.617000000000001</v>
      </c>
      <c r="B123" s="1">
        <v>1.9603999999999999</v>
      </c>
      <c r="C123" s="5">
        <f>Tabela10[[#This Row],[Alongamento (mm/mm)]]/$I$2</f>
        <v>3.9208E-2</v>
      </c>
      <c r="D123" s="1">
        <v>22.792999999999999</v>
      </c>
      <c r="E123" s="5">
        <f>Tabela10[[#This Row],[Força (N)]]/$I$5</f>
        <v>726528.01020001597</v>
      </c>
      <c r="F123" s="5">
        <f>Tabela10[[#This Row],[Tensão (Pa)]]/1000000</f>
        <v>0.72652801020001601</v>
      </c>
    </row>
    <row r="124" spans="1:6" x14ac:dyDescent="0.3">
      <c r="A124" s="1">
        <v>23.7</v>
      </c>
      <c r="B124" s="1">
        <v>1.9673</v>
      </c>
      <c r="C124" s="5">
        <f>Tabela10[[#This Row],[Alongamento (mm/mm)]]/$I$2</f>
        <v>3.9345999999999999E-2</v>
      </c>
      <c r="D124" s="1">
        <v>23.474</v>
      </c>
      <c r="E124" s="5">
        <f>Tabela10[[#This Row],[Força (N)]]/$I$5</f>
        <v>748234.91911706119</v>
      </c>
      <c r="F124" s="5">
        <f>Tabela10[[#This Row],[Tensão (Pa)]]/1000000</f>
        <v>0.74823491911706119</v>
      </c>
    </row>
    <row r="125" spans="1:6" x14ac:dyDescent="0.3">
      <c r="A125" s="1">
        <v>23.817</v>
      </c>
      <c r="B125" s="1">
        <v>1.9770000000000001</v>
      </c>
      <c r="C125" s="5">
        <f>Tabela10[[#This Row],[Alongamento (mm/mm)]]/$I$2</f>
        <v>3.9539999999999999E-2</v>
      </c>
      <c r="D125" s="1">
        <v>24.154</v>
      </c>
      <c r="E125" s="5">
        <f>Tabela10[[#This Row],[Força (N)]]/$I$5</f>
        <v>769909.95298430161</v>
      </c>
      <c r="F125" s="5">
        <f>Tabela10[[#This Row],[Tensão (Pa)]]/1000000</f>
        <v>0.76990995298430165</v>
      </c>
    </row>
    <row r="126" spans="1:6" x14ac:dyDescent="0.3">
      <c r="A126" s="1">
        <v>23.933</v>
      </c>
      <c r="B126" s="1">
        <v>1.9866999999999999</v>
      </c>
      <c r="C126" s="5">
        <f>Tabela10[[#This Row],[Alongamento (mm/mm)]]/$I$2</f>
        <v>3.9733999999999998E-2</v>
      </c>
      <c r="D126" s="1">
        <v>25.004999999999999</v>
      </c>
      <c r="E126" s="5">
        <f>Tabela10[[#This Row],[Força (N)]]/$I$5</f>
        <v>797035.62036815681</v>
      </c>
      <c r="F126" s="5">
        <f>Tabela10[[#This Row],[Tensão (Pa)]]/1000000</f>
        <v>0.79703562036815678</v>
      </c>
    </row>
    <row r="127" spans="1:6" x14ac:dyDescent="0.3">
      <c r="A127" s="1">
        <v>24.067</v>
      </c>
      <c r="B127" s="1">
        <v>1.9979</v>
      </c>
      <c r="C127" s="5">
        <f>Tabela10[[#This Row],[Alongamento (mm/mm)]]/$I$2</f>
        <v>3.9958E-2</v>
      </c>
      <c r="D127" s="1">
        <v>25.684999999999999</v>
      </c>
      <c r="E127" s="5">
        <f>Tabela10[[#This Row],[Força (N)]]/$I$5</f>
        <v>818710.65423539723</v>
      </c>
      <c r="F127" s="5">
        <f>Tabela10[[#This Row],[Tensão (Pa)]]/1000000</f>
        <v>0.81871065423539724</v>
      </c>
    </row>
    <row r="128" spans="1:6" x14ac:dyDescent="0.3">
      <c r="A128" s="1">
        <v>24.167000000000002</v>
      </c>
      <c r="B128" s="1">
        <v>2.0061</v>
      </c>
      <c r="C128" s="5">
        <f>Tabela10[[#This Row],[Alongamento (mm/mm)]]/$I$2</f>
        <v>4.0121999999999998E-2</v>
      </c>
      <c r="D128" s="1">
        <v>26.364999999999998</v>
      </c>
      <c r="E128" s="5">
        <f>Tabela10[[#This Row],[Força (N)]]/$I$5</f>
        <v>840385.68810263765</v>
      </c>
      <c r="F128" s="5">
        <f>Tabela10[[#This Row],[Tensão (Pa)]]/1000000</f>
        <v>0.8403856881026377</v>
      </c>
    </row>
    <row r="129" spans="1:6" x14ac:dyDescent="0.3">
      <c r="A129" s="1">
        <v>24.283000000000001</v>
      </c>
      <c r="B129" s="1">
        <v>2.0158</v>
      </c>
      <c r="C129" s="5">
        <f>Tabela10[[#This Row],[Alongamento (mm/mm)]]/$I$2</f>
        <v>4.0315999999999998E-2</v>
      </c>
      <c r="D129" s="1">
        <v>27.045999999999999</v>
      </c>
      <c r="E129" s="5">
        <f>Tabela10[[#This Row],[Força (N)]]/$I$5</f>
        <v>862092.59701968287</v>
      </c>
      <c r="F129" s="5">
        <f>Tabela10[[#This Row],[Tensão (Pa)]]/1000000</f>
        <v>0.86209259701968288</v>
      </c>
    </row>
    <row r="130" spans="1:6" x14ac:dyDescent="0.3">
      <c r="A130" s="1">
        <v>24.4</v>
      </c>
      <c r="B130" s="1">
        <v>2.0255999999999998</v>
      </c>
      <c r="C130" s="5">
        <f>Tabela10[[#This Row],[Alongamento (mm/mm)]]/$I$2</f>
        <v>4.0511999999999999E-2</v>
      </c>
      <c r="D130" s="1">
        <v>27.725999999999999</v>
      </c>
      <c r="E130" s="5">
        <f>Tabela10[[#This Row],[Força (N)]]/$I$5</f>
        <v>883767.63088692329</v>
      </c>
      <c r="F130" s="5">
        <f>Tabela10[[#This Row],[Tensão (Pa)]]/1000000</f>
        <v>0.88376763088692334</v>
      </c>
    </row>
    <row r="131" spans="1:6" x14ac:dyDescent="0.3">
      <c r="A131" s="1">
        <v>24.516999999999999</v>
      </c>
      <c r="B131" s="1">
        <v>2.0354000000000001</v>
      </c>
      <c r="C131" s="5">
        <f>Tabela10[[#This Row],[Alongamento (mm/mm)]]/$I$2</f>
        <v>4.0708000000000001E-2</v>
      </c>
      <c r="D131" s="1">
        <v>28.407</v>
      </c>
      <c r="E131" s="5">
        <f>Tabela10[[#This Row],[Força (N)]]/$I$5</f>
        <v>905474.53980396851</v>
      </c>
      <c r="F131" s="5">
        <f>Tabela10[[#This Row],[Tensão (Pa)]]/1000000</f>
        <v>0.90547453980396853</v>
      </c>
    </row>
    <row r="132" spans="1:6" x14ac:dyDescent="0.3">
      <c r="A132" s="1">
        <v>24.632999999999999</v>
      </c>
      <c r="B132" s="1">
        <v>2.0451000000000001</v>
      </c>
      <c r="C132" s="5">
        <f>Tabela10[[#This Row],[Alongamento (mm/mm)]]/$I$2</f>
        <v>4.0902000000000001E-2</v>
      </c>
      <c r="D132" s="1">
        <v>29.087</v>
      </c>
      <c r="E132" s="5">
        <f>Tabela10[[#This Row],[Força (N)]]/$I$5</f>
        <v>927149.57367120893</v>
      </c>
      <c r="F132" s="5">
        <f>Tabela10[[#This Row],[Tensão (Pa)]]/1000000</f>
        <v>0.92714957367120898</v>
      </c>
    </row>
    <row r="133" spans="1:6" x14ac:dyDescent="0.3">
      <c r="A133" s="1">
        <v>24.75</v>
      </c>
      <c r="B133" s="1">
        <v>2.0548000000000002</v>
      </c>
      <c r="C133" s="5">
        <f>Tabela10[[#This Row],[Alongamento (mm/mm)]]/$I$2</f>
        <v>4.1096000000000001E-2</v>
      </c>
      <c r="D133" s="1">
        <v>29.766999999999999</v>
      </c>
      <c r="E133" s="5">
        <f>Tabela10[[#This Row],[Força (N)]]/$I$5</f>
        <v>948824.60753844935</v>
      </c>
      <c r="F133" s="5">
        <f>Tabela10[[#This Row],[Tensão (Pa)]]/1000000</f>
        <v>0.94882460753844933</v>
      </c>
    </row>
    <row r="134" spans="1:6" x14ac:dyDescent="0.3">
      <c r="A134" s="1">
        <v>24.867000000000001</v>
      </c>
      <c r="B134" s="1">
        <v>2.0646</v>
      </c>
      <c r="C134" s="5">
        <f>Tabela10[[#This Row],[Alongamento (mm/mm)]]/$I$2</f>
        <v>4.1292000000000002E-2</v>
      </c>
      <c r="D134" s="1">
        <v>30.448</v>
      </c>
      <c r="E134" s="5">
        <f>Tabela10[[#This Row],[Força (N)]]/$I$5</f>
        <v>970531.51645549457</v>
      </c>
      <c r="F134" s="5">
        <f>Tabela10[[#This Row],[Tensão (Pa)]]/1000000</f>
        <v>0.97053151645549451</v>
      </c>
    </row>
    <row r="135" spans="1:6" x14ac:dyDescent="0.3">
      <c r="A135" s="1">
        <v>24.983000000000001</v>
      </c>
      <c r="B135" s="1">
        <v>2.0743</v>
      </c>
      <c r="C135" s="5">
        <f>Tabela10[[#This Row],[Alongamento (mm/mm)]]/$I$2</f>
        <v>4.1486000000000002E-2</v>
      </c>
      <c r="D135" s="1">
        <v>31.128</v>
      </c>
      <c r="E135" s="5">
        <f>Tabela10[[#This Row],[Força (N)]]/$I$5</f>
        <v>992206.55032273498</v>
      </c>
      <c r="F135" s="5">
        <f>Tabela10[[#This Row],[Tensão (Pa)]]/1000000</f>
        <v>0.99220655032273497</v>
      </c>
    </row>
    <row r="136" spans="1:6" x14ac:dyDescent="0.3">
      <c r="A136" s="1">
        <v>25.082999999999998</v>
      </c>
      <c r="B136" s="1">
        <v>2.0825999999999998</v>
      </c>
      <c r="C136" s="5">
        <f>Tabela10[[#This Row],[Alongamento (mm/mm)]]/$I$2</f>
        <v>4.1651999999999995E-2</v>
      </c>
      <c r="D136" s="1">
        <v>31.808</v>
      </c>
      <c r="E136" s="5">
        <f>Tabela10[[#This Row],[Força (N)]]/$I$5</f>
        <v>1013881.5841899754</v>
      </c>
      <c r="F136" s="5">
        <f>Tabela10[[#This Row],[Tensão (Pa)]]/1000000</f>
        <v>1.0138815841899753</v>
      </c>
    </row>
    <row r="137" spans="1:6" x14ac:dyDescent="0.3">
      <c r="A137" s="1">
        <v>25.2</v>
      </c>
      <c r="B137" s="1">
        <v>2.0922999999999998</v>
      </c>
      <c r="C137" s="5">
        <f>Tabela10[[#This Row],[Alongamento (mm/mm)]]/$I$2</f>
        <v>4.1845999999999994E-2</v>
      </c>
      <c r="D137" s="1">
        <v>32.488999999999997</v>
      </c>
      <c r="E137" s="5">
        <f>Tabela10[[#This Row],[Força (N)]]/$I$5</f>
        <v>1035588.4931070205</v>
      </c>
      <c r="F137" s="5">
        <f>Tabela10[[#This Row],[Tensão (Pa)]]/1000000</f>
        <v>1.0355884931070205</v>
      </c>
    </row>
    <row r="138" spans="1:6" x14ac:dyDescent="0.3">
      <c r="A138" s="1">
        <v>25.3</v>
      </c>
      <c r="B138" s="1">
        <v>2.1006</v>
      </c>
      <c r="C138" s="5">
        <f>Tabela10[[#This Row],[Alongamento (mm/mm)]]/$I$2</f>
        <v>4.2012000000000001E-2</v>
      </c>
      <c r="D138" s="1">
        <v>33.168999999999997</v>
      </c>
      <c r="E138" s="5">
        <f>Tabela10[[#This Row],[Força (N)]]/$I$5</f>
        <v>1057263.5269742608</v>
      </c>
      <c r="F138" s="5">
        <f>Tabela10[[#This Row],[Tensão (Pa)]]/1000000</f>
        <v>1.0572635269742607</v>
      </c>
    </row>
    <row r="139" spans="1:6" x14ac:dyDescent="0.3">
      <c r="A139" s="1">
        <v>25.417000000000002</v>
      </c>
      <c r="B139" s="1">
        <v>2.1103999999999998</v>
      </c>
      <c r="C139" s="5">
        <f>Tabela10[[#This Row],[Alongamento (mm/mm)]]/$I$2</f>
        <v>4.2207999999999996E-2</v>
      </c>
      <c r="D139" s="1">
        <v>33.85</v>
      </c>
      <c r="E139" s="5">
        <f>Tabela10[[#This Row],[Força (N)]]/$I$5</f>
        <v>1078970.4358913063</v>
      </c>
      <c r="F139" s="5">
        <f>Tabela10[[#This Row],[Tensão (Pa)]]/1000000</f>
        <v>1.0789704358913064</v>
      </c>
    </row>
    <row r="140" spans="1:6" x14ac:dyDescent="0.3">
      <c r="A140" s="1">
        <v>25.533000000000001</v>
      </c>
      <c r="B140" s="1">
        <v>2.12</v>
      </c>
      <c r="C140" s="5">
        <f>Tabela10[[#This Row],[Alongamento (mm/mm)]]/$I$2</f>
        <v>4.24E-2</v>
      </c>
      <c r="D140" s="1">
        <v>34.53</v>
      </c>
      <c r="E140" s="5">
        <f>Tabela10[[#This Row],[Força (N)]]/$I$5</f>
        <v>1100645.4697585467</v>
      </c>
      <c r="F140" s="5">
        <f>Tabela10[[#This Row],[Tensão (Pa)]]/1000000</f>
        <v>1.1006454697585466</v>
      </c>
    </row>
    <row r="141" spans="1:6" x14ac:dyDescent="0.3">
      <c r="A141" s="1">
        <v>25.632999999999999</v>
      </c>
      <c r="B141" s="1">
        <v>2.1284000000000001</v>
      </c>
      <c r="C141" s="5">
        <f>Tabela10[[#This Row],[Alongamento (mm/mm)]]/$I$2</f>
        <v>4.2568000000000002E-2</v>
      </c>
      <c r="D141" s="1">
        <v>35.21</v>
      </c>
      <c r="E141" s="5">
        <f>Tabela10[[#This Row],[Força (N)]]/$I$5</f>
        <v>1122320.5036257871</v>
      </c>
      <c r="F141" s="5">
        <f>Tabela10[[#This Row],[Tensão (Pa)]]/1000000</f>
        <v>1.1223205036257871</v>
      </c>
    </row>
    <row r="142" spans="1:6" x14ac:dyDescent="0.3">
      <c r="A142" s="1">
        <v>25.75</v>
      </c>
      <c r="B142" s="1">
        <v>2.1381999999999999</v>
      </c>
      <c r="C142" s="5">
        <f>Tabela10[[#This Row],[Alongamento (mm/mm)]]/$I$2</f>
        <v>4.2763999999999996E-2</v>
      </c>
      <c r="D142" s="1">
        <v>35.890999999999998</v>
      </c>
      <c r="E142" s="5">
        <f>Tabela10[[#This Row],[Força (N)]]/$I$5</f>
        <v>1144027.4125428321</v>
      </c>
      <c r="F142" s="5">
        <f>Tabela10[[#This Row],[Tensão (Pa)]]/1000000</f>
        <v>1.144027412542832</v>
      </c>
    </row>
    <row r="143" spans="1:6" x14ac:dyDescent="0.3">
      <c r="A143" s="1">
        <v>25.85</v>
      </c>
      <c r="B143" s="1">
        <v>2.1465000000000001</v>
      </c>
      <c r="C143" s="5">
        <f>Tabela10[[#This Row],[Alongamento (mm/mm)]]/$I$2</f>
        <v>4.2930000000000003E-2</v>
      </c>
      <c r="D143" s="1">
        <v>36.570999999999998</v>
      </c>
      <c r="E143" s="5">
        <f>Tabela10[[#This Row],[Força (N)]]/$I$5</f>
        <v>1165702.4464100725</v>
      </c>
      <c r="F143" s="5">
        <f>Tabela10[[#This Row],[Tensão (Pa)]]/1000000</f>
        <v>1.1657024464100725</v>
      </c>
    </row>
    <row r="144" spans="1:6" x14ac:dyDescent="0.3">
      <c r="A144" s="1">
        <v>25.966999999999999</v>
      </c>
      <c r="B144" s="1">
        <v>2.1562000000000001</v>
      </c>
      <c r="C144" s="5">
        <f>Tabela10[[#This Row],[Alongamento (mm/mm)]]/$I$2</f>
        <v>4.3124000000000003E-2</v>
      </c>
      <c r="D144" s="1">
        <v>37.252000000000002</v>
      </c>
      <c r="E144" s="5">
        <f>Tabela10[[#This Row],[Força (N)]]/$I$5</f>
        <v>1187409.355327118</v>
      </c>
      <c r="F144" s="5">
        <f>Tabela10[[#This Row],[Tensão (Pa)]]/1000000</f>
        <v>1.1874093553271179</v>
      </c>
    </row>
    <row r="145" spans="1:6" x14ac:dyDescent="0.3">
      <c r="A145" s="1">
        <v>26.082999999999998</v>
      </c>
      <c r="B145" s="1">
        <v>2.1659000000000002</v>
      </c>
      <c r="C145" s="5">
        <f>Tabela10[[#This Row],[Alongamento (mm/mm)]]/$I$2</f>
        <v>4.3318000000000002E-2</v>
      </c>
      <c r="D145" s="1">
        <v>37.932000000000002</v>
      </c>
      <c r="E145" s="5">
        <f>Tabela10[[#This Row],[Força (N)]]/$I$5</f>
        <v>1209084.3891943581</v>
      </c>
      <c r="F145" s="5">
        <f>Tabela10[[#This Row],[Tensão (Pa)]]/1000000</f>
        <v>1.2090843891943581</v>
      </c>
    </row>
    <row r="146" spans="1:6" x14ac:dyDescent="0.3">
      <c r="A146" s="1">
        <v>26.2</v>
      </c>
      <c r="B146" s="1">
        <v>2.1756000000000002</v>
      </c>
      <c r="C146" s="5">
        <f>Tabela10[[#This Row],[Alongamento (mm/mm)]]/$I$2</f>
        <v>4.3512000000000002E-2</v>
      </c>
      <c r="D146" s="1">
        <v>38.612000000000002</v>
      </c>
      <c r="E146" s="5">
        <f>Tabela10[[#This Row],[Força (N)]]/$I$5</f>
        <v>1230759.4230615986</v>
      </c>
      <c r="F146" s="5">
        <f>Tabela10[[#This Row],[Tensão (Pa)]]/1000000</f>
        <v>1.2307594230615986</v>
      </c>
    </row>
    <row r="147" spans="1:6" x14ac:dyDescent="0.3">
      <c r="A147" s="1">
        <v>26.3</v>
      </c>
      <c r="B147" s="1">
        <v>2.1840000000000002</v>
      </c>
      <c r="C147" s="5">
        <f>Tabela10[[#This Row],[Alongamento (mm/mm)]]/$I$2</f>
        <v>4.3680000000000004E-2</v>
      </c>
      <c r="D147" s="1">
        <v>39.292999999999999</v>
      </c>
      <c r="E147" s="5">
        <f>Tabela10[[#This Row],[Força (N)]]/$I$5</f>
        <v>1252466.3319786438</v>
      </c>
      <c r="F147" s="5">
        <f>Tabela10[[#This Row],[Tensão (Pa)]]/1000000</f>
        <v>1.2524663319786438</v>
      </c>
    </row>
    <row r="148" spans="1:6" x14ac:dyDescent="0.3">
      <c r="A148" s="1">
        <v>26.4</v>
      </c>
      <c r="B148" s="1">
        <v>2.1922999999999999</v>
      </c>
      <c r="C148" s="5">
        <f>Tabela10[[#This Row],[Alongamento (mm/mm)]]/$I$2</f>
        <v>4.3845999999999996E-2</v>
      </c>
      <c r="D148" s="1">
        <v>39.972999999999999</v>
      </c>
      <c r="E148" s="5">
        <f>Tabela10[[#This Row],[Força (N)]]/$I$5</f>
        <v>1274141.3658458842</v>
      </c>
      <c r="F148" s="5">
        <f>Tabela10[[#This Row],[Tensão (Pa)]]/1000000</f>
        <v>1.2741413658458842</v>
      </c>
    </row>
    <row r="149" spans="1:6" x14ac:dyDescent="0.3">
      <c r="A149" s="1">
        <v>26.5</v>
      </c>
      <c r="B149" s="1">
        <v>2.2006000000000001</v>
      </c>
      <c r="C149" s="5">
        <f>Tabela10[[#This Row],[Alongamento (mm/mm)]]/$I$2</f>
        <v>4.4012000000000003E-2</v>
      </c>
      <c r="D149" s="1">
        <v>40.654000000000003</v>
      </c>
      <c r="E149" s="5">
        <f>Tabela10[[#This Row],[Força (N)]]/$I$5</f>
        <v>1295848.2747629294</v>
      </c>
      <c r="F149" s="5">
        <f>Tabela10[[#This Row],[Tensão (Pa)]]/1000000</f>
        <v>1.2958482747629294</v>
      </c>
    </row>
    <row r="150" spans="1:6" x14ac:dyDescent="0.3">
      <c r="A150" s="1">
        <v>26.6</v>
      </c>
      <c r="B150" s="1">
        <v>2.2090000000000001</v>
      </c>
      <c r="C150" s="5">
        <f>Tabela10[[#This Row],[Alongamento (mm/mm)]]/$I$2</f>
        <v>4.4180000000000004E-2</v>
      </c>
      <c r="D150" s="1">
        <v>41.334000000000003</v>
      </c>
      <c r="E150" s="5">
        <f>Tabela10[[#This Row],[Força (N)]]/$I$5</f>
        <v>1317523.3086301698</v>
      </c>
      <c r="F150" s="5">
        <f>Tabela10[[#This Row],[Tensão (Pa)]]/1000000</f>
        <v>1.3175233086301699</v>
      </c>
    </row>
    <row r="151" spans="1:6" x14ac:dyDescent="0.3">
      <c r="A151" s="1">
        <v>26.7</v>
      </c>
      <c r="B151" s="1">
        <v>2.2172000000000001</v>
      </c>
      <c r="C151" s="5">
        <f>Tabela10[[#This Row],[Alongamento (mm/mm)]]/$I$2</f>
        <v>4.4344000000000001E-2</v>
      </c>
      <c r="D151" s="1">
        <v>42.014000000000003</v>
      </c>
      <c r="E151" s="5">
        <f>Tabela10[[#This Row],[Força (N)]]/$I$5</f>
        <v>1339198.3424974103</v>
      </c>
      <c r="F151" s="5">
        <f>Tabela10[[#This Row],[Tensão (Pa)]]/1000000</f>
        <v>1.3391983424974103</v>
      </c>
    </row>
    <row r="152" spans="1:6" x14ac:dyDescent="0.3">
      <c r="A152" s="1">
        <v>26.8</v>
      </c>
      <c r="B152" s="1">
        <v>2.2256999999999998</v>
      </c>
      <c r="C152" s="5">
        <f>Tabela10[[#This Row],[Alongamento (mm/mm)]]/$I$2</f>
        <v>4.4513999999999998E-2</v>
      </c>
      <c r="D152" s="1">
        <v>42.695</v>
      </c>
      <c r="E152" s="5">
        <f>Tabela10[[#This Row],[Força (N)]]/$I$5</f>
        <v>1360905.2514144555</v>
      </c>
      <c r="F152" s="5">
        <f>Tabela10[[#This Row],[Tensão (Pa)]]/1000000</f>
        <v>1.3609052514144555</v>
      </c>
    </row>
    <row r="153" spans="1:6" x14ac:dyDescent="0.3">
      <c r="A153" s="1">
        <v>26.917000000000002</v>
      </c>
      <c r="B153" s="1">
        <v>2.2353000000000001</v>
      </c>
      <c r="C153" s="5">
        <f>Tabela10[[#This Row],[Alongamento (mm/mm)]]/$I$2</f>
        <v>4.4706000000000003E-2</v>
      </c>
      <c r="D153" s="1">
        <v>43.375</v>
      </c>
      <c r="E153" s="5">
        <f>Tabela10[[#This Row],[Força (N)]]/$I$5</f>
        <v>1382580.2852816959</v>
      </c>
      <c r="F153" s="5">
        <f>Tabela10[[#This Row],[Tensão (Pa)]]/1000000</f>
        <v>1.382580285281696</v>
      </c>
    </row>
    <row r="154" spans="1:6" x14ac:dyDescent="0.3">
      <c r="A154" s="1">
        <v>27.016999999999999</v>
      </c>
      <c r="B154" s="1">
        <v>2.2435999999999998</v>
      </c>
      <c r="C154" s="5">
        <f>Tabela10[[#This Row],[Alongamento (mm/mm)]]/$I$2</f>
        <v>4.4871999999999995E-2</v>
      </c>
      <c r="D154" s="1">
        <v>44.055999999999997</v>
      </c>
      <c r="E154" s="5">
        <f>Tabela10[[#This Row],[Força (N)]]/$I$5</f>
        <v>1404287.1941987409</v>
      </c>
      <c r="F154" s="5">
        <f>Tabela10[[#This Row],[Tensão (Pa)]]/1000000</f>
        <v>1.4042871941987409</v>
      </c>
    </row>
    <row r="155" spans="1:6" x14ac:dyDescent="0.3">
      <c r="A155" s="1">
        <v>27.117000000000001</v>
      </c>
      <c r="B155" s="1">
        <v>2.2521</v>
      </c>
      <c r="C155" s="5">
        <f>Tabela10[[#This Row],[Alongamento (mm/mm)]]/$I$2</f>
        <v>4.5041999999999999E-2</v>
      </c>
      <c r="D155" s="1">
        <v>44.735999999999997</v>
      </c>
      <c r="E155" s="5">
        <f>Tabela10[[#This Row],[Força (N)]]/$I$5</f>
        <v>1425962.2280659813</v>
      </c>
      <c r="F155" s="5">
        <f>Tabela10[[#This Row],[Tensão (Pa)]]/1000000</f>
        <v>1.4259622280659814</v>
      </c>
    </row>
    <row r="156" spans="1:6" x14ac:dyDescent="0.3">
      <c r="A156" s="1">
        <v>27.2</v>
      </c>
      <c r="B156" s="1">
        <v>2.2589999999999999</v>
      </c>
      <c r="C156" s="5">
        <f>Tabela10[[#This Row],[Alongamento (mm/mm)]]/$I$2</f>
        <v>4.5179999999999998E-2</v>
      </c>
      <c r="D156" s="1">
        <v>45.415999999999997</v>
      </c>
      <c r="E156" s="5">
        <f>Tabela10[[#This Row],[Força (N)]]/$I$5</f>
        <v>1447637.2619332217</v>
      </c>
      <c r="F156" s="5">
        <f>Tabela10[[#This Row],[Tensão (Pa)]]/1000000</f>
        <v>1.4476372619332216</v>
      </c>
    </row>
    <row r="157" spans="1:6" x14ac:dyDescent="0.3">
      <c r="A157" s="1">
        <v>27.3</v>
      </c>
      <c r="B157" s="1">
        <v>2.2673999999999999</v>
      </c>
      <c r="C157" s="5">
        <f>Tabela10[[#This Row],[Alongamento (mm/mm)]]/$I$2</f>
        <v>4.5347999999999999E-2</v>
      </c>
      <c r="D157" s="1">
        <v>46.097000000000001</v>
      </c>
      <c r="E157" s="5">
        <f>Tabela10[[#This Row],[Força (N)]]/$I$5</f>
        <v>1469344.1708502672</v>
      </c>
      <c r="F157" s="5">
        <f>Tabela10[[#This Row],[Tensão (Pa)]]/1000000</f>
        <v>1.4693441708502673</v>
      </c>
    </row>
    <row r="158" spans="1:6" x14ac:dyDescent="0.3">
      <c r="A158" s="1">
        <v>27.4</v>
      </c>
      <c r="B158" s="1">
        <v>2.2755999999999998</v>
      </c>
      <c r="C158" s="5">
        <f>Tabela10[[#This Row],[Alongamento (mm/mm)]]/$I$2</f>
        <v>4.5511999999999997E-2</v>
      </c>
      <c r="D158" s="1">
        <v>46.777000000000001</v>
      </c>
      <c r="E158" s="5">
        <f>Tabela10[[#This Row],[Força (N)]]/$I$5</f>
        <v>1491019.2047175076</v>
      </c>
      <c r="F158" s="5">
        <f>Tabela10[[#This Row],[Tensão (Pa)]]/1000000</f>
        <v>1.4910192047175075</v>
      </c>
    </row>
    <row r="159" spans="1:6" x14ac:dyDescent="0.3">
      <c r="A159" s="1">
        <v>27.5</v>
      </c>
      <c r="B159" s="1">
        <v>2.2839</v>
      </c>
      <c r="C159" s="5">
        <f>Tabela10[[#This Row],[Alongamento (mm/mm)]]/$I$2</f>
        <v>4.5678000000000003E-2</v>
      </c>
      <c r="D159" s="1">
        <v>47.457999999999998</v>
      </c>
      <c r="E159" s="5">
        <f>Tabela10[[#This Row],[Força (N)]]/$I$5</f>
        <v>1512726.1136345526</v>
      </c>
      <c r="F159" s="5">
        <f>Tabela10[[#This Row],[Tensão (Pa)]]/1000000</f>
        <v>1.5127261136345527</v>
      </c>
    </row>
    <row r="160" spans="1:6" x14ac:dyDescent="0.3">
      <c r="A160" s="1">
        <v>27.6</v>
      </c>
      <c r="B160" s="1">
        <v>2.2923</v>
      </c>
      <c r="C160" s="5">
        <f>Tabela10[[#This Row],[Alongamento (mm/mm)]]/$I$2</f>
        <v>4.5845999999999998E-2</v>
      </c>
      <c r="D160" s="1">
        <v>48.137999999999998</v>
      </c>
      <c r="E160" s="5">
        <f>Tabela10[[#This Row],[Força (N)]]/$I$5</f>
        <v>1534401.147501793</v>
      </c>
      <c r="F160" s="5">
        <f>Tabela10[[#This Row],[Tensão (Pa)]]/1000000</f>
        <v>1.5344011475017929</v>
      </c>
    </row>
    <row r="161" spans="1:6" x14ac:dyDescent="0.3">
      <c r="A161" s="1">
        <v>27.683</v>
      </c>
      <c r="B161" s="1">
        <v>2.2993000000000001</v>
      </c>
      <c r="C161" s="5">
        <f>Tabela10[[#This Row],[Alongamento (mm/mm)]]/$I$2</f>
        <v>4.5985999999999999E-2</v>
      </c>
      <c r="D161" s="1">
        <v>48.817999999999998</v>
      </c>
      <c r="E161" s="5">
        <f>Tabela10[[#This Row],[Força (N)]]/$I$5</f>
        <v>1556076.1813690334</v>
      </c>
      <c r="F161" s="5">
        <f>Tabela10[[#This Row],[Tensão (Pa)]]/1000000</f>
        <v>1.5560761813690334</v>
      </c>
    </row>
    <row r="162" spans="1:6" x14ac:dyDescent="0.3">
      <c r="A162" s="1">
        <v>27.783000000000001</v>
      </c>
      <c r="B162" s="1">
        <v>2.3077000000000001</v>
      </c>
      <c r="C162" s="5">
        <f>Tabela10[[#This Row],[Alongamento (mm/mm)]]/$I$2</f>
        <v>4.6154000000000001E-2</v>
      </c>
      <c r="D162" s="1">
        <v>49.499000000000002</v>
      </c>
      <c r="E162" s="5">
        <f>Tabela10[[#This Row],[Força (N)]]/$I$5</f>
        <v>1577783.0902860786</v>
      </c>
      <c r="F162" s="5">
        <f>Tabela10[[#This Row],[Tensão (Pa)]]/1000000</f>
        <v>1.5777830902860785</v>
      </c>
    </row>
    <row r="163" spans="1:6" x14ac:dyDescent="0.3">
      <c r="A163" s="1">
        <v>27.867000000000001</v>
      </c>
      <c r="B163" s="1">
        <v>2.3144999999999998</v>
      </c>
      <c r="C163" s="5">
        <f>Tabela10[[#This Row],[Alongamento (mm/mm)]]/$I$2</f>
        <v>4.6289999999999998E-2</v>
      </c>
      <c r="D163" s="1">
        <v>50.179000000000002</v>
      </c>
      <c r="E163" s="5">
        <f>Tabela10[[#This Row],[Força (N)]]/$I$5</f>
        <v>1599458.124153319</v>
      </c>
      <c r="F163" s="5">
        <f>Tabela10[[#This Row],[Tensão (Pa)]]/1000000</f>
        <v>1.599458124153319</v>
      </c>
    </row>
    <row r="164" spans="1:6" x14ac:dyDescent="0.3">
      <c r="A164" s="1">
        <v>27.966999999999999</v>
      </c>
      <c r="B164" s="1">
        <v>2.3229000000000002</v>
      </c>
      <c r="C164" s="5">
        <f>Tabela10[[#This Row],[Alongamento (mm/mm)]]/$I$2</f>
        <v>4.6458000000000006E-2</v>
      </c>
      <c r="D164" s="1">
        <v>50.86</v>
      </c>
      <c r="E164" s="5">
        <f>Tabela10[[#This Row],[Força (N)]]/$I$5</f>
        <v>1621165.0330703643</v>
      </c>
      <c r="F164" s="5">
        <f>Tabela10[[#This Row],[Tensão (Pa)]]/1000000</f>
        <v>1.6211650330703642</v>
      </c>
    </row>
    <row r="165" spans="1:6" x14ac:dyDescent="0.3">
      <c r="A165" s="1">
        <v>28.05</v>
      </c>
      <c r="B165" s="1">
        <v>2.3298000000000001</v>
      </c>
      <c r="C165" s="5">
        <f>Tabela10[[#This Row],[Alongamento (mm/mm)]]/$I$2</f>
        <v>4.6595999999999999E-2</v>
      </c>
      <c r="D165" s="1">
        <v>51.54</v>
      </c>
      <c r="E165" s="5">
        <f>Tabela10[[#This Row],[Força (N)]]/$I$5</f>
        <v>1642840.0669376047</v>
      </c>
      <c r="F165" s="5">
        <f>Tabela10[[#This Row],[Tensão (Pa)]]/1000000</f>
        <v>1.6428400669376046</v>
      </c>
    </row>
    <row r="166" spans="1:6" x14ac:dyDescent="0.3">
      <c r="A166" s="1">
        <v>28.15</v>
      </c>
      <c r="B166" s="1">
        <v>2.3382000000000001</v>
      </c>
      <c r="C166" s="5">
        <f>Tabela10[[#This Row],[Alongamento (mm/mm)]]/$I$2</f>
        <v>4.6764E-2</v>
      </c>
      <c r="D166" s="1">
        <v>52.22</v>
      </c>
      <c r="E166" s="5">
        <f>Tabela10[[#This Row],[Força (N)]]/$I$5</f>
        <v>1664515.1008048451</v>
      </c>
      <c r="F166" s="5">
        <f>Tabela10[[#This Row],[Tensão (Pa)]]/1000000</f>
        <v>1.6645151008048451</v>
      </c>
    </row>
    <row r="167" spans="1:6" x14ac:dyDescent="0.3">
      <c r="A167" s="1">
        <v>28.25</v>
      </c>
      <c r="B167" s="1">
        <v>2.3464999999999998</v>
      </c>
      <c r="C167" s="5">
        <f>Tabela10[[#This Row],[Alongamento (mm/mm)]]/$I$2</f>
        <v>4.6929999999999999E-2</v>
      </c>
      <c r="D167" s="1">
        <v>52.901000000000003</v>
      </c>
      <c r="E167" s="5">
        <f>Tabela10[[#This Row],[Força (N)]]/$I$5</f>
        <v>1686222.0097218903</v>
      </c>
      <c r="F167" s="5">
        <f>Tabela10[[#This Row],[Tensão (Pa)]]/1000000</f>
        <v>1.6862220097218903</v>
      </c>
    </row>
    <row r="168" spans="1:6" x14ac:dyDescent="0.3">
      <c r="A168" s="1">
        <v>28.332999999999998</v>
      </c>
      <c r="B168" s="1">
        <v>2.3534000000000002</v>
      </c>
      <c r="C168" s="5">
        <f>Tabela10[[#This Row],[Alongamento (mm/mm)]]/$I$2</f>
        <v>4.7068000000000006E-2</v>
      </c>
      <c r="D168" s="1">
        <v>53.581000000000003</v>
      </c>
      <c r="E168" s="5">
        <f>Tabela10[[#This Row],[Força (N)]]/$I$5</f>
        <v>1707897.0435891307</v>
      </c>
      <c r="F168" s="5">
        <f>Tabela10[[#This Row],[Tensão (Pa)]]/1000000</f>
        <v>1.7078970435891307</v>
      </c>
    </row>
    <row r="169" spans="1:6" x14ac:dyDescent="0.3">
      <c r="A169" s="1">
        <v>28.433</v>
      </c>
      <c r="B169" s="1">
        <v>2.3616999999999999</v>
      </c>
      <c r="C169" s="5">
        <f>Tabela10[[#This Row],[Alongamento (mm/mm)]]/$I$2</f>
        <v>4.7233999999999998E-2</v>
      </c>
      <c r="D169" s="1">
        <v>54.262</v>
      </c>
      <c r="E169" s="5">
        <f>Tabela10[[#This Row],[Força (N)]]/$I$5</f>
        <v>1729603.952506176</v>
      </c>
      <c r="F169" s="5">
        <f>Tabela10[[#This Row],[Tensão (Pa)]]/1000000</f>
        <v>1.7296039525061759</v>
      </c>
    </row>
    <row r="170" spans="1:6" x14ac:dyDescent="0.3">
      <c r="A170" s="1">
        <v>28.516999999999999</v>
      </c>
      <c r="B170" s="1">
        <v>2.3687</v>
      </c>
      <c r="C170" s="5">
        <f>Tabela10[[#This Row],[Alongamento (mm/mm)]]/$I$2</f>
        <v>4.7373999999999999E-2</v>
      </c>
      <c r="D170" s="1">
        <v>54.942</v>
      </c>
      <c r="E170" s="5">
        <f>Tabela10[[#This Row],[Força (N)]]/$I$5</f>
        <v>1751278.9863734164</v>
      </c>
      <c r="F170" s="5">
        <f>Tabela10[[#This Row],[Tensão (Pa)]]/1000000</f>
        <v>1.7512789863734164</v>
      </c>
    </row>
    <row r="171" spans="1:6" x14ac:dyDescent="0.3">
      <c r="A171" s="1">
        <v>28.617000000000001</v>
      </c>
      <c r="B171" s="1">
        <v>2.3771</v>
      </c>
      <c r="C171" s="5">
        <f>Tabela10[[#This Row],[Alongamento (mm/mm)]]/$I$2</f>
        <v>4.7542000000000001E-2</v>
      </c>
      <c r="D171" s="1">
        <v>55.622</v>
      </c>
      <c r="E171" s="5">
        <f>Tabela10[[#This Row],[Força (N)]]/$I$5</f>
        <v>1772954.0202406568</v>
      </c>
      <c r="F171" s="5">
        <f>Tabela10[[#This Row],[Tensão (Pa)]]/1000000</f>
        <v>1.7729540202406568</v>
      </c>
    </row>
    <row r="172" spans="1:6" x14ac:dyDescent="0.3">
      <c r="A172" s="1">
        <v>28.7</v>
      </c>
      <c r="B172" s="1">
        <v>2.3839999999999999</v>
      </c>
      <c r="C172" s="5">
        <f>Tabela10[[#This Row],[Alongamento (mm/mm)]]/$I$2</f>
        <v>4.768E-2</v>
      </c>
      <c r="D172" s="1">
        <v>56.302999999999997</v>
      </c>
      <c r="E172" s="5">
        <f>Tabela10[[#This Row],[Força (N)]]/$I$5</f>
        <v>1794660.9291577018</v>
      </c>
      <c r="F172" s="5">
        <f>Tabela10[[#This Row],[Tensão (Pa)]]/1000000</f>
        <v>1.7946609291577018</v>
      </c>
    </row>
    <row r="173" spans="1:6" x14ac:dyDescent="0.3">
      <c r="A173" s="1">
        <v>28.783000000000001</v>
      </c>
      <c r="B173" s="1">
        <v>2.3908999999999998</v>
      </c>
      <c r="C173" s="5">
        <f>Tabela10[[#This Row],[Alongamento (mm/mm)]]/$I$2</f>
        <v>4.7817999999999999E-2</v>
      </c>
      <c r="D173" s="1">
        <v>56.982999999999997</v>
      </c>
      <c r="E173" s="5">
        <f>Tabela10[[#This Row],[Força (N)]]/$I$5</f>
        <v>1816335.9630249422</v>
      </c>
      <c r="F173" s="5">
        <f>Tabela10[[#This Row],[Tensão (Pa)]]/1000000</f>
        <v>1.8163359630249423</v>
      </c>
    </row>
    <row r="174" spans="1:6" x14ac:dyDescent="0.3">
      <c r="A174" s="1">
        <v>28.867000000000001</v>
      </c>
      <c r="B174" s="1">
        <v>2.3978000000000002</v>
      </c>
      <c r="C174" s="5">
        <f>Tabela10[[#This Row],[Alongamento (mm/mm)]]/$I$2</f>
        <v>4.7956000000000006E-2</v>
      </c>
      <c r="D174" s="1">
        <v>57.662999999999997</v>
      </c>
      <c r="E174" s="5">
        <f>Tabela10[[#This Row],[Força (N)]]/$I$5</f>
        <v>1838010.9968921826</v>
      </c>
      <c r="F174" s="5">
        <f>Tabela10[[#This Row],[Tensão (Pa)]]/1000000</f>
        <v>1.8380109968921827</v>
      </c>
    </row>
    <row r="175" spans="1:6" x14ac:dyDescent="0.3">
      <c r="A175" s="1">
        <v>28.95</v>
      </c>
      <c r="B175" s="1">
        <v>2.4047999999999998</v>
      </c>
      <c r="C175" s="5">
        <f>Tabela10[[#This Row],[Alongamento (mm/mm)]]/$I$2</f>
        <v>4.8096E-2</v>
      </c>
      <c r="D175" s="1">
        <v>58.344000000000001</v>
      </c>
      <c r="E175" s="5">
        <f>Tabela10[[#This Row],[Força (N)]]/$I$5</f>
        <v>1859717.9058092281</v>
      </c>
      <c r="F175" s="5">
        <f>Tabela10[[#This Row],[Tensão (Pa)]]/1000000</f>
        <v>1.8597179058092281</v>
      </c>
    </row>
    <row r="176" spans="1:6" x14ac:dyDescent="0.3">
      <c r="A176" s="1">
        <v>29.033000000000001</v>
      </c>
      <c r="B176" s="1">
        <v>2.4117999999999999</v>
      </c>
      <c r="C176" s="5">
        <f>Tabela10[[#This Row],[Alongamento (mm/mm)]]/$I$2</f>
        <v>4.8236000000000001E-2</v>
      </c>
      <c r="D176" s="1">
        <v>59.024000000000001</v>
      </c>
      <c r="E176" s="5">
        <f>Tabela10[[#This Row],[Força (N)]]/$I$5</f>
        <v>1881392.9396764685</v>
      </c>
      <c r="F176" s="5">
        <f>Tabela10[[#This Row],[Tensão (Pa)]]/1000000</f>
        <v>1.8813929396764686</v>
      </c>
    </row>
    <row r="177" spans="1:6" x14ac:dyDescent="0.3">
      <c r="A177" s="1">
        <v>29.117000000000001</v>
      </c>
      <c r="B177" s="1">
        <v>2.4186999999999999</v>
      </c>
      <c r="C177" s="5">
        <f>Tabela10[[#This Row],[Alongamento (mm/mm)]]/$I$2</f>
        <v>4.8374E-2</v>
      </c>
      <c r="D177" s="1">
        <v>59.704999999999998</v>
      </c>
      <c r="E177" s="5">
        <f>Tabela10[[#This Row],[Força (N)]]/$I$5</f>
        <v>1903099.8485935135</v>
      </c>
      <c r="F177" s="5">
        <f>Tabela10[[#This Row],[Tensão (Pa)]]/1000000</f>
        <v>1.9030998485935136</v>
      </c>
    </row>
    <row r="178" spans="1:6" x14ac:dyDescent="0.3">
      <c r="A178" s="1">
        <v>29.2</v>
      </c>
      <c r="B178" s="1">
        <v>2.4256000000000002</v>
      </c>
      <c r="C178" s="5">
        <f>Tabela10[[#This Row],[Alongamento (mm/mm)]]/$I$2</f>
        <v>4.8512000000000007E-2</v>
      </c>
      <c r="D178" s="1">
        <v>60.384999999999998</v>
      </c>
      <c r="E178" s="5">
        <f>Tabela10[[#This Row],[Força (N)]]/$I$5</f>
        <v>1924774.8824607539</v>
      </c>
      <c r="F178" s="5">
        <f>Tabela10[[#This Row],[Tensão (Pa)]]/1000000</f>
        <v>1.9247748824607538</v>
      </c>
    </row>
    <row r="179" spans="1:6" x14ac:dyDescent="0.3">
      <c r="A179" s="1">
        <v>29.283000000000001</v>
      </c>
      <c r="B179" s="1">
        <v>2.4325999999999999</v>
      </c>
      <c r="C179" s="5">
        <f>Tabela10[[#This Row],[Alongamento (mm/mm)]]/$I$2</f>
        <v>4.8652000000000001E-2</v>
      </c>
      <c r="D179" s="1">
        <v>61.064999999999998</v>
      </c>
      <c r="E179" s="5">
        <f>Tabela10[[#This Row],[Força (N)]]/$I$5</f>
        <v>1946449.9163279943</v>
      </c>
      <c r="F179" s="5">
        <f>Tabela10[[#This Row],[Tensão (Pa)]]/1000000</f>
        <v>1.9464499163279942</v>
      </c>
    </row>
    <row r="180" spans="1:6" x14ac:dyDescent="0.3">
      <c r="A180" s="1">
        <v>29.367000000000001</v>
      </c>
      <c r="B180" s="1">
        <v>2.4394999999999998</v>
      </c>
      <c r="C180" s="5">
        <f>Tabela10[[#This Row],[Alongamento (mm/mm)]]/$I$2</f>
        <v>4.8789999999999993E-2</v>
      </c>
      <c r="D180" s="1">
        <v>61.746000000000002</v>
      </c>
      <c r="E180" s="5">
        <f>Tabela10[[#This Row],[Força (N)]]/$I$5</f>
        <v>1968156.8252450395</v>
      </c>
      <c r="F180" s="5">
        <f>Tabela10[[#This Row],[Tensão (Pa)]]/1000000</f>
        <v>1.9681568252450394</v>
      </c>
    </row>
    <row r="181" spans="1:6" x14ac:dyDescent="0.3">
      <c r="A181" s="1">
        <v>29.45</v>
      </c>
      <c r="B181" s="1">
        <v>2.4464999999999999</v>
      </c>
      <c r="C181" s="5">
        <f>Tabela10[[#This Row],[Alongamento (mm/mm)]]/$I$2</f>
        <v>4.8930000000000001E-2</v>
      </c>
      <c r="D181" s="1">
        <v>62.426000000000002</v>
      </c>
      <c r="E181" s="5">
        <f>Tabela10[[#This Row],[Força (N)]]/$I$5</f>
        <v>1989831.85911228</v>
      </c>
      <c r="F181" s="5">
        <f>Tabela10[[#This Row],[Tensão (Pa)]]/1000000</f>
        <v>1.9898318591122799</v>
      </c>
    </row>
    <row r="182" spans="1:6" x14ac:dyDescent="0.3">
      <c r="A182" s="1">
        <v>29.533000000000001</v>
      </c>
      <c r="B182" s="1">
        <v>2.4535</v>
      </c>
      <c r="C182" s="5">
        <f>Tabela10[[#This Row],[Alongamento (mm/mm)]]/$I$2</f>
        <v>4.9070000000000003E-2</v>
      </c>
      <c r="D182" s="1">
        <v>63.106999999999999</v>
      </c>
      <c r="E182" s="5">
        <f>Tabela10[[#This Row],[Força (N)]]/$I$5</f>
        <v>2011538.7680293252</v>
      </c>
      <c r="F182" s="5">
        <f>Tabela10[[#This Row],[Tensão (Pa)]]/1000000</f>
        <v>2.0115387680293253</v>
      </c>
    </row>
    <row r="183" spans="1:6" x14ac:dyDescent="0.3">
      <c r="A183" s="1">
        <v>29.617000000000001</v>
      </c>
      <c r="B183" s="1">
        <v>2.4603999999999999</v>
      </c>
      <c r="C183" s="5">
        <f>Tabela10[[#This Row],[Alongamento (mm/mm)]]/$I$2</f>
        <v>4.9208000000000002E-2</v>
      </c>
      <c r="D183" s="1">
        <v>63.786999999999999</v>
      </c>
      <c r="E183" s="5">
        <f>Tabela10[[#This Row],[Força (N)]]/$I$5</f>
        <v>2033213.8018965656</v>
      </c>
      <c r="F183" s="5">
        <f>Tabela10[[#This Row],[Tensão (Pa)]]/1000000</f>
        <v>2.0332138018965655</v>
      </c>
    </row>
    <row r="184" spans="1:6" x14ac:dyDescent="0.3">
      <c r="A184" s="1">
        <v>29.7</v>
      </c>
      <c r="B184" s="1">
        <v>2.4672999999999998</v>
      </c>
      <c r="C184" s="5">
        <f>Tabela10[[#This Row],[Alongamento (mm/mm)]]/$I$2</f>
        <v>4.9345999999999994E-2</v>
      </c>
      <c r="D184" s="1">
        <v>64.466999999999999</v>
      </c>
      <c r="E184" s="5">
        <f>Tabela10[[#This Row],[Força (N)]]/$I$5</f>
        <v>2054888.835763806</v>
      </c>
      <c r="F184" s="5">
        <f>Tabela10[[#This Row],[Tensão (Pa)]]/1000000</f>
        <v>2.0548888357638062</v>
      </c>
    </row>
    <row r="185" spans="1:6" x14ac:dyDescent="0.3">
      <c r="A185" s="1">
        <v>29.783000000000001</v>
      </c>
      <c r="B185" s="1">
        <v>2.4742000000000002</v>
      </c>
      <c r="C185" s="5">
        <f>Tabela10[[#This Row],[Alongamento (mm/mm)]]/$I$2</f>
        <v>4.9484E-2</v>
      </c>
      <c r="D185" s="1">
        <v>65.147999999999996</v>
      </c>
      <c r="E185" s="5">
        <f>Tabela10[[#This Row],[Força (N)]]/$I$5</f>
        <v>2076595.744680851</v>
      </c>
      <c r="F185" s="5">
        <f>Tabela10[[#This Row],[Tensão (Pa)]]/1000000</f>
        <v>2.076595744680851</v>
      </c>
    </row>
    <row r="186" spans="1:6" x14ac:dyDescent="0.3">
      <c r="A186" s="1">
        <v>29.867000000000001</v>
      </c>
      <c r="B186" s="1">
        <v>2.4811000000000001</v>
      </c>
      <c r="C186" s="5">
        <f>Tabela10[[#This Row],[Alongamento (mm/mm)]]/$I$2</f>
        <v>4.9621999999999999E-2</v>
      </c>
      <c r="D186" s="1">
        <v>65.828000000000003</v>
      </c>
      <c r="E186" s="5">
        <f>Tabela10[[#This Row],[Força (N)]]/$I$5</f>
        <v>2098270.7785480917</v>
      </c>
      <c r="F186" s="5">
        <f>Tabela10[[#This Row],[Tensão (Pa)]]/1000000</f>
        <v>2.0982707785480916</v>
      </c>
    </row>
    <row r="187" spans="1:6" x14ac:dyDescent="0.3">
      <c r="A187" s="1">
        <v>29.95</v>
      </c>
      <c r="B187" s="1">
        <v>2.4881000000000002</v>
      </c>
      <c r="C187" s="5">
        <f>Tabela10[[#This Row],[Alongamento (mm/mm)]]/$I$2</f>
        <v>4.9762000000000001E-2</v>
      </c>
      <c r="D187" s="1">
        <v>66.509</v>
      </c>
      <c r="E187" s="5">
        <f>Tabela10[[#This Row],[Força (N)]]/$I$5</f>
        <v>2119977.6874651369</v>
      </c>
      <c r="F187" s="5">
        <f>Tabela10[[#This Row],[Tensão (Pa)]]/1000000</f>
        <v>2.1199776874651368</v>
      </c>
    </row>
    <row r="188" spans="1:6" x14ac:dyDescent="0.3">
      <c r="A188" s="1">
        <v>30.016999999999999</v>
      </c>
      <c r="B188" s="1">
        <v>2.4937</v>
      </c>
      <c r="C188" s="5">
        <f>Tabela10[[#This Row],[Alongamento (mm/mm)]]/$I$2</f>
        <v>4.9874000000000002E-2</v>
      </c>
      <c r="D188" s="1">
        <v>67.188999999999993</v>
      </c>
      <c r="E188" s="5">
        <f>Tabela10[[#This Row],[Força (N)]]/$I$5</f>
        <v>2141652.7213323768</v>
      </c>
      <c r="F188" s="5">
        <f>Tabela10[[#This Row],[Tensão (Pa)]]/1000000</f>
        <v>2.1416527213323766</v>
      </c>
    </row>
    <row r="189" spans="1:6" x14ac:dyDescent="0.3">
      <c r="A189" s="1">
        <v>30.1</v>
      </c>
      <c r="B189" s="1">
        <v>2.5007000000000001</v>
      </c>
      <c r="C189" s="5">
        <f>Tabela10[[#This Row],[Alongamento (mm/mm)]]/$I$2</f>
        <v>5.0014000000000003E-2</v>
      </c>
      <c r="D189" s="1">
        <v>67.869</v>
      </c>
      <c r="E189" s="5">
        <f>Tabela10[[#This Row],[Força (N)]]/$I$5</f>
        <v>2163327.7551996177</v>
      </c>
      <c r="F189" s="5">
        <f>Tabela10[[#This Row],[Tensão (Pa)]]/1000000</f>
        <v>2.1633277551996177</v>
      </c>
    </row>
    <row r="190" spans="1:6" x14ac:dyDescent="0.3">
      <c r="A190" s="1">
        <v>30.183</v>
      </c>
      <c r="B190" s="1">
        <v>2.5074999999999998</v>
      </c>
      <c r="C190" s="5">
        <f>Tabela10[[#This Row],[Alongamento (mm/mm)]]/$I$2</f>
        <v>5.015E-2</v>
      </c>
      <c r="D190" s="1">
        <v>68.55</v>
      </c>
      <c r="E190" s="5">
        <f>Tabela10[[#This Row],[Força (N)]]/$I$5</f>
        <v>2185034.6641166629</v>
      </c>
      <c r="F190" s="5">
        <f>Tabela10[[#This Row],[Tensão (Pa)]]/1000000</f>
        <v>2.1850346641166629</v>
      </c>
    </row>
    <row r="191" spans="1:6" x14ac:dyDescent="0.3">
      <c r="A191" s="1">
        <v>30.25</v>
      </c>
      <c r="B191" s="1">
        <v>2.5131000000000001</v>
      </c>
      <c r="C191" s="5">
        <f>Tabela10[[#This Row],[Alongamento (mm/mm)]]/$I$2</f>
        <v>5.0262000000000001E-2</v>
      </c>
      <c r="D191" s="1">
        <v>69.23</v>
      </c>
      <c r="E191" s="5">
        <f>Tabela10[[#This Row],[Força (N)]]/$I$5</f>
        <v>2206709.6979839033</v>
      </c>
      <c r="F191" s="5">
        <f>Tabela10[[#This Row],[Tensão (Pa)]]/1000000</f>
        <v>2.2067096979839032</v>
      </c>
    </row>
    <row r="192" spans="1:6" x14ac:dyDescent="0.3">
      <c r="A192" s="1">
        <v>30.332999999999998</v>
      </c>
      <c r="B192" s="1">
        <v>2.5200999999999998</v>
      </c>
      <c r="C192" s="5">
        <f>Tabela10[[#This Row],[Alongamento (mm/mm)]]/$I$2</f>
        <v>5.0401999999999995E-2</v>
      </c>
      <c r="D192" s="1">
        <v>69.911000000000001</v>
      </c>
      <c r="E192" s="5">
        <f>Tabela10[[#This Row],[Força (N)]]/$I$5</f>
        <v>2228416.6069009486</v>
      </c>
      <c r="F192" s="5">
        <f>Tabela10[[#This Row],[Tensão (Pa)]]/1000000</f>
        <v>2.2284166069009488</v>
      </c>
    </row>
    <row r="193" spans="1:6" x14ac:dyDescent="0.3">
      <c r="A193" s="1">
        <v>30.4</v>
      </c>
      <c r="B193" s="1">
        <v>2.5257000000000001</v>
      </c>
      <c r="C193" s="5">
        <f>Tabela10[[#This Row],[Alongamento (mm/mm)]]/$I$2</f>
        <v>5.0514000000000003E-2</v>
      </c>
      <c r="D193" s="1">
        <v>70.590999999999994</v>
      </c>
      <c r="E193" s="5">
        <f>Tabela10[[#This Row],[Força (N)]]/$I$5</f>
        <v>2250091.6407681885</v>
      </c>
      <c r="F193" s="5">
        <f>Tabela10[[#This Row],[Tensão (Pa)]]/1000000</f>
        <v>2.2500916407681886</v>
      </c>
    </row>
    <row r="194" spans="1:6" x14ac:dyDescent="0.3">
      <c r="A194" s="1">
        <v>30.466999999999999</v>
      </c>
      <c r="B194" s="1">
        <v>2.5312000000000001</v>
      </c>
      <c r="C194" s="5">
        <f>Tabela10[[#This Row],[Alongamento (mm/mm)]]/$I$2</f>
        <v>5.0624000000000002E-2</v>
      </c>
      <c r="D194" s="1">
        <v>71.271000000000001</v>
      </c>
      <c r="E194" s="5">
        <f>Tabela10[[#This Row],[Força (N)]]/$I$5</f>
        <v>2271766.6746354294</v>
      </c>
      <c r="F194" s="5">
        <f>Tabela10[[#This Row],[Tensão (Pa)]]/1000000</f>
        <v>2.2717666746354293</v>
      </c>
    </row>
    <row r="195" spans="1:6" x14ac:dyDescent="0.3">
      <c r="A195" s="1">
        <v>30.55</v>
      </c>
      <c r="B195" s="1">
        <v>2.5381</v>
      </c>
      <c r="C195" s="5">
        <f>Tabela10[[#This Row],[Alongamento (mm/mm)]]/$I$2</f>
        <v>5.0762000000000002E-2</v>
      </c>
      <c r="D195" s="1">
        <v>71.951999999999998</v>
      </c>
      <c r="E195" s="5">
        <f>Tabela10[[#This Row],[Força (N)]]/$I$5</f>
        <v>2293473.5835524742</v>
      </c>
      <c r="F195" s="5">
        <f>Tabela10[[#This Row],[Tensão (Pa)]]/1000000</f>
        <v>2.293473583552474</v>
      </c>
    </row>
    <row r="196" spans="1:6" x14ac:dyDescent="0.3">
      <c r="A196" s="1">
        <v>30.617000000000001</v>
      </c>
      <c r="B196" s="1">
        <v>2.5436000000000001</v>
      </c>
      <c r="C196" s="5">
        <f>Tabela10[[#This Row],[Alongamento (mm/mm)]]/$I$2</f>
        <v>5.0872000000000001E-2</v>
      </c>
      <c r="D196" s="1">
        <v>72.632000000000005</v>
      </c>
      <c r="E196" s="5">
        <f>Tabela10[[#This Row],[Força (N)]]/$I$5</f>
        <v>2315148.617419715</v>
      </c>
      <c r="F196" s="5">
        <f>Tabela10[[#This Row],[Tensão (Pa)]]/1000000</f>
        <v>2.3151486174197151</v>
      </c>
    </row>
    <row r="197" spans="1:6" x14ac:dyDescent="0.3">
      <c r="A197" s="1">
        <v>30.7</v>
      </c>
      <c r="B197" s="1">
        <v>2.5506000000000002</v>
      </c>
      <c r="C197" s="5">
        <f>Tabela10[[#This Row],[Alongamento (mm/mm)]]/$I$2</f>
        <v>5.1012000000000002E-2</v>
      </c>
      <c r="D197" s="1">
        <v>73.313000000000002</v>
      </c>
      <c r="E197" s="5">
        <f>Tabela10[[#This Row],[Força (N)]]/$I$5</f>
        <v>2336855.5263367603</v>
      </c>
      <c r="F197" s="5">
        <f>Tabela10[[#This Row],[Tensão (Pa)]]/1000000</f>
        <v>2.3368555263367603</v>
      </c>
    </row>
    <row r="198" spans="1:6" x14ac:dyDescent="0.3">
      <c r="A198" s="1">
        <v>30.766999999999999</v>
      </c>
      <c r="B198" s="1">
        <v>2.5562</v>
      </c>
      <c r="C198" s="5">
        <f>Tabela10[[#This Row],[Alongamento (mm/mm)]]/$I$2</f>
        <v>5.1124000000000003E-2</v>
      </c>
      <c r="D198" s="1">
        <v>73.992999999999995</v>
      </c>
      <c r="E198" s="5">
        <f>Tabela10[[#This Row],[Força (N)]]/$I$5</f>
        <v>2358530.5602040002</v>
      </c>
      <c r="F198" s="5">
        <f>Tabela10[[#This Row],[Tensão (Pa)]]/1000000</f>
        <v>2.3585305602040001</v>
      </c>
    </row>
    <row r="199" spans="1:6" x14ac:dyDescent="0.3">
      <c r="A199" s="1">
        <v>30.832999999999998</v>
      </c>
      <c r="B199" s="1">
        <v>2.5617999999999999</v>
      </c>
      <c r="C199" s="5">
        <f>Tabela10[[#This Row],[Alongamento (mm/mm)]]/$I$2</f>
        <v>5.1235999999999997E-2</v>
      </c>
      <c r="D199" s="1">
        <v>74.673000000000002</v>
      </c>
      <c r="E199" s="5">
        <f>Tabela10[[#This Row],[Força (N)]]/$I$5</f>
        <v>2380205.5940712411</v>
      </c>
      <c r="F199" s="5">
        <f>Tabela10[[#This Row],[Tensão (Pa)]]/1000000</f>
        <v>2.3802055940712412</v>
      </c>
    </row>
    <row r="200" spans="1:6" x14ac:dyDescent="0.3">
      <c r="A200" s="1">
        <v>30.9</v>
      </c>
      <c r="B200" s="1">
        <v>2.5672999999999999</v>
      </c>
      <c r="C200" s="5">
        <f>Tabela10[[#This Row],[Alongamento (mm/mm)]]/$I$2</f>
        <v>5.1345999999999996E-2</v>
      </c>
      <c r="D200" s="1">
        <v>75.353999999999999</v>
      </c>
      <c r="E200" s="5">
        <f>Tabela10[[#This Row],[Força (N)]]/$I$5</f>
        <v>2401912.5029882859</v>
      </c>
      <c r="F200" s="5">
        <f>Tabela10[[#This Row],[Tensão (Pa)]]/1000000</f>
        <v>2.401912502988286</v>
      </c>
    </row>
    <row r="201" spans="1:6" x14ac:dyDescent="0.3">
      <c r="A201" s="1">
        <v>30.983000000000001</v>
      </c>
      <c r="B201" s="1">
        <v>2.5741999999999998</v>
      </c>
      <c r="C201" s="5">
        <f>Tabela10[[#This Row],[Alongamento (mm/mm)]]/$I$2</f>
        <v>5.1483999999999995E-2</v>
      </c>
      <c r="D201" s="1">
        <v>76.034000000000006</v>
      </c>
      <c r="E201" s="5">
        <f>Tabela10[[#This Row],[Força (N)]]/$I$5</f>
        <v>2423587.5368555267</v>
      </c>
      <c r="F201" s="5">
        <f>Tabela10[[#This Row],[Tensão (Pa)]]/1000000</f>
        <v>2.4235875368555266</v>
      </c>
    </row>
    <row r="202" spans="1:6" x14ac:dyDescent="0.3">
      <c r="A202" s="1">
        <v>31.05</v>
      </c>
      <c r="B202" s="1">
        <v>2.5798000000000001</v>
      </c>
      <c r="C202" s="5">
        <f>Tabela10[[#This Row],[Alongamento (mm/mm)]]/$I$2</f>
        <v>5.1596000000000003E-2</v>
      </c>
      <c r="D202" s="1">
        <v>76.715000000000003</v>
      </c>
      <c r="E202" s="5">
        <f>Tabela10[[#This Row],[Força (N)]]/$I$5</f>
        <v>2445294.445772572</v>
      </c>
      <c r="F202" s="5">
        <f>Tabela10[[#This Row],[Tensão (Pa)]]/1000000</f>
        <v>2.4452944457725718</v>
      </c>
    </row>
    <row r="203" spans="1:6" x14ac:dyDescent="0.3">
      <c r="A203" s="1">
        <v>31.117000000000001</v>
      </c>
      <c r="B203" s="1">
        <v>2.5853000000000002</v>
      </c>
      <c r="C203" s="5">
        <f>Tabela10[[#This Row],[Alongamento (mm/mm)]]/$I$2</f>
        <v>5.1706000000000002E-2</v>
      </c>
      <c r="D203" s="1">
        <v>77.394999999999996</v>
      </c>
      <c r="E203" s="5">
        <f>Tabela10[[#This Row],[Força (N)]]/$I$5</f>
        <v>2466969.4796398119</v>
      </c>
      <c r="F203" s="5">
        <f>Tabela10[[#This Row],[Tensão (Pa)]]/1000000</f>
        <v>2.4669694796398121</v>
      </c>
    </row>
    <row r="204" spans="1:6" x14ac:dyDescent="0.3">
      <c r="A204" s="1">
        <v>31.183</v>
      </c>
      <c r="B204" s="1">
        <v>2.5909</v>
      </c>
      <c r="C204" s="5">
        <f>Tabela10[[#This Row],[Alongamento (mm/mm)]]/$I$2</f>
        <v>5.1818000000000003E-2</v>
      </c>
      <c r="D204" s="1">
        <v>78.075000000000003</v>
      </c>
      <c r="E204" s="5">
        <f>Tabela10[[#This Row],[Força (N)]]/$I$5</f>
        <v>2488644.5135070528</v>
      </c>
      <c r="F204" s="5">
        <f>Tabela10[[#This Row],[Tensão (Pa)]]/1000000</f>
        <v>2.4886445135070527</v>
      </c>
    </row>
    <row r="205" spans="1:6" x14ac:dyDescent="0.3">
      <c r="A205" s="1">
        <v>31.25</v>
      </c>
      <c r="B205" s="1">
        <v>2.5964999999999998</v>
      </c>
      <c r="C205" s="5">
        <f>Tabela10[[#This Row],[Alongamento (mm/mm)]]/$I$2</f>
        <v>5.1929999999999997E-2</v>
      </c>
      <c r="D205" s="1">
        <v>78.756</v>
      </c>
      <c r="E205" s="5">
        <f>Tabela10[[#This Row],[Força (N)]]/$I$5</f>
        <v>2510351.4224240975</v>
      </c>
      <c r="F205" s="5">
        <f>Tabela10[[#This Row],[Tensão (Pa)]]/1000000</f>
        <v>2.5103514224240975</v>
      </c>
    </row>
    <row r="206" spans="1:6" x14ac:dyDescent="0.3">
      <c r="A206" s="1">
        <v>31.317</v>
      </c>
      <c r="B206" s="1">
        <v>2.6021000000000001</v>
      </c>
      <c r="C206" s="5">
        <f>Tabela10[[#This Row],[Alongamento (mm/mm)]]/$I$2</f>
        <v>5.2042000000000005E-2</v>
      </c>
      <c r="D206" s="1">
        <v>79.436000000000007</v>
      </c>
      <c r="E206" s="5">
        <f>Tabela10[[#This Row],[Força (N)]]/$I$5</f>
        <v>2532026.4562913384</v>
      </c>
      <c r="F206" s="5">
        <f>Tabela10[[#This Row],[Tensão (Pa)]]/1000000</f>
        <v>2.5320264562913386</v>
      </c>
    </row>
    <row r="207" spans="1:6" x14ac:dyDescent="0.3">
      <c r="A207" s="1">
        <v>31.4</v>
      </c>
      <c r="B207" s="1">
        <v>2.609</v>
      </c>
      <c r="C207" s="5">
        <f>Tabela10[[#This Row],[Alongamento (mm/mm)]]/$I$2</f>
        <v>5.2179999999999997E-2</v>
      </c>
      <c r="D207" s="1">
        <v>80.117000000000004</v>
      </c>
      <c r="E207" s="5">
        <f>Tabela10[[#This Row],[Força (N)]]/$I$5</f>
        <v>2553733.3652083836</v>
      </c>
      <c r="F207" s="5">
        <f>Tabela10[[#This Row],[Tensão (Pa)]]/1000000</f>
        <v>2.5537333652083838</v>
      </c>
    </row>
    <row r="208" spans="1:6" x14ac:dyDescent="0.3">
      <c r="A208" s="1">
        <v>31.466999999999999</v>
      </c>
      <c r="B208" s="1">
        <v>2.6145</v>
      </c>
      <c r="C208" s="5">
        <f>Tabela10[[#This Row],[Alongamento (mm/mm)]]/$I$2</f>
        <v>5.2290000000000003E-2</v>
      </c>
      <c r="D208" s="1">
        <v>80.796999999999997</v>
      </c>
      <c r="E208" s="5">
        <f>Tabela10[[#This Row],[Força (N)]]/$I$5</f>
        <v>2575408.3990756236</v>
      </c>
      <c r="F208" s="5">
        <f>Tabela10[[#This Row],[Tensão (Pa)]]/1000000</f>
        <v>2.5754083990756236</v>
      </c>
    </row>
    <row r="209" spans="1:6" x14ac:dyDescent="0.3">
      <c r="A209" s="1">
        <v>31.533000000000001</v>
      </c>
      <c r="B209" s="1">
        <v>2.62</v>
      </c>
      <c r="C209" s="5">
        <f>Tabela10[[#This Row],[Alongamento (mm/mm)]]/$I$2</f>
        <v>5.2400000000000002E-2</v>
      </c>
      <c r="D209" s="1">
        <v>81.477000000000004</v>
      </c>
      <c r="E209" s="5">
        <f>Tabela10[[#This Row],[Força (N)]]/$I$5</f>
        <v>2597083.432942864</v>
      </c>
      <c r="F209" s="5">
        <f>Tabela10[[#This Row],[Tensão (Pa)]]/1000000</f>
        <v>2.5970834329428638</v>
      </c>
    </row>
    <row r="210" spans="1:6" x14ac:dyDescent="0.3">
      <c r="A210" s="1">
        <v>31.6</v>
      </c>
      <c r="B210" s="1">
        <v>2.6255999999999999</v>
      </c>
      <c r="C210" s="5">
        <f>Tabela10[[#This Row],[Alongamento (mm/mm)]]/$I$2</f>
        <v>5.2511999999999996E-2</v>
      </c>
      <c r="D210" s="1">
        <v>82.158000000000001</v>
      </c>
      <c r="E210" s="5">
        <f>Tabela10[[#This Row],[Força (N)]]/$I$5</f>
        <v>2618790.3418599092</v>
      </c>
      <c r="F210" s="5">
        <f>Tabela10[[#This Row],[Tensão (Pa)]]/1000000</f>
        <v>2.6187903418599094</v>
      </c>
    </row>
    <row r="211" spans="1:6" x14ac:dyDescent="0.3">
      <c r="A211" s="1">
        <v>31.667000000000002</v>
      </c>
      <c r="B211" s="1">
        <v>2.6311</v>
      </c>
      <c r="C211" s="5">
        <f>Tabela10[[#This Row],[Alongamento (mm/mm)]]/$I$2</f>
        <v>5.2622000000000002E-2</v>
      </c>
      <c r="D211" s="1">
        <v>82.837999999999994</v>
      </c>
      <c r="E211" s="5">
        <f>Tabela10[[#This Row],[Força (N)]]/$I$5</f>
        <v>2640465.3757271497</v>
      </c>
      <c r="F211" s="5">
        <f>Tabela10[[#This Row],[Tensão (Pa)]]/1000000</f>
        <v>2.6404653757271497</v>
      </c>
    </row>
    <row r="212" spans="1:6" x14ac:dyDescent="0.3">
      <c r="A212" s="1">
        <v>31.733000000000001</v>
      </c>
      <c r="B212" s="1">
        <v>2.6366999999999998</v>
      </c>
      <c r="C212" s="5">
        <f>Tabela10[[#This Row],[Alongamento (mm/mm)]]/$I$2</f>
        <v>5.2733999999999996E-2</v>
      </c>
      <c r="D212" s="1">
        <v>83.519000000000005</v>
      </c>
      <c r="E212" s="5">
        <f>Tabela10[[#This Row],[Força (N)]]/$I$5</f>
        <v>2662172.2846441949</v>
      </c>
      <c r="F212" s="5">
        <f>Tabela10[[#This Row],[Tensão (Pa)]]/1000000</f>
        <v>2.6621722846441949</v>
      </c>
    </row>
    <row r="213" spans="1:6" x14ac:dyDescent="0.3">
      <c r="A213" s="1">
        <v>31.817</v>
      </c>
      <c r="B213" s="1">
        <v>2.6438000000000001</v>
      </c>
      <c r="C213" s="5">
        <f>Tabela10[[#This Row],[Alongamento (mm/mm)]]/$I$2</f>
        <v>5.2876000000000006E-2</v>
      </c>
      <c r="D213" s="1">
        <v>84.198999999999998</v>
      </c>
      <c r="E213" s="5">
        <f>Tabela10[[#This Row],[Força (N)]]/$I$5</f>
        <v>2683847.3185114353</v>
      </c>
      <c r="F213" s="5">
        <f>Tabela10[[#This Row],[Tensão (Pa)]]/1000000</f>
        <v>2.6838473185114351</v>
      </c>
    </row>
    <row r="214" spans="1:6" x14ac:dyDescent="0.3">
      <c r="A214" s="1">
        <v>31.882999999999999</v>
      </c>
      <c r="B214" s="1">
        <v>2.6493000000000002</v>
      </c>
      <c r="C214" s="5">
        <f>Tabela10[[#This Row],[Alongamento (mm/mm)]]/$I$2</f>
        <v>5.2986000000000005E-2</v>
      </c>
      <c r="D214" s="1">
        <v>84.879000000000005</v>
      </c>
      <c r="E214" s="5">
        <f>Tabela10[[#This Row],[Força (N)]]/$I$5</f>
        <v>2705522.3523786757</v>
      </c>
      <c r="F214" s="5">
        <f>Tabela10[[#This Row],[Tensão (Pa)]]/1000000</f>
        <v>2.7055223523786758</v>
      </c>
    </row>
    <row r="215" spans="1:6" x14ac:dyDescent="0.3">
      <c r="A215" s="1">
        <v>31.966999999999999</v>
      </c>
      <c r="B215" s="1">
        <v>2.6562000000000001</v>
      </c>
      <c r="C215" s="5">
        <f>Tabela10[[#This Row],[Alongamento (mm/mm)]]/$I$2</f>
        <v>5.3124000000000005E-2</v>
      </c>
      <c r="D215" s="1">
        <v>85.56</v>
      </c>
      <c r="E215" s="5">
        <f>Tabela10[[#This Row],[Força (N)]]/$I$5</f>
        <v>2727229.2612957209</v>
      </c>
      <c r="F215" s="5">
        <f>Tabela10[[#This Row],[Tensão (Pa)]]/1000000</f>
        <v>2.727229261295721</v>
      </c>
    </row>
    <row r="216" spans="1:6" x14ac:dyDescent="0.3">
      <c r="A216" s="1">
        <v>32.049999999999997</v>
      </c>
      <c r="B216" s="1">
        <v>2.6631</v>
      </c>
      <c r="C216" s="5">
        <f>Tabela10[[#This Row],[Alongamento (mm/mm)]]/$I$2</f>
        <v>5.3262000000000004E-2</v>
      </c>
      <c r="D216" s="1">
        <v>86.24</v>
      </c>
      <c r="E216" s="5">
        <f>Tabela10[[#This Row],[Força (N)]]/$I$5</f>
        <v>2748904.2951629614</v>
      </c>
      <c r="F216" s="5">
        <f>Tabela10[[#This Row],[Tensão (Pa)]]/1000000</f>
        <v>2.7489042951629612</v>
      </c>
    </row>
    <row r="217" spans="1:6" x14ac:dyDescent="0.3">
      <c r="A217" s="1">
        <v>32.116999999999997</v>
      </c>
      <c r="B217" s="1">
        <v>2.6686999999999999</v>
      </c>
      <c r="C217" s="5">
        <f>Tabela10[[#This Row],[Alongamento (mm/mm)]]/$I$2</f>
        <v>5.3373999999999998E-2</v>
      </c>
      <c r="D217" s="1">
        <v>86.92</v>
      </c>
      <c r="E217" s="5">
        <f>Tabela10[[#This Row],[Força (N)]]/$I$5</f>
        <v>2770579.3290302018</v>
      </c>
      <c r="F217" s="5">
        <f>Tabela10[[#This Row],[Tensão (Pa)]]/1000000</f>
        <v>2.7705793290302019</v>
      </c>
    </row>
    <row r="218" spans="1:6" x14ac:dyDescent="0.3">
      <c r="A218" s="1">
        <v>32.200000000000003</v>
      </c>
      <c r="B218" s="1">
        <v>2.6756000000000002</v>
      </c>
      <c r="C218" s="5">
        <f>Tabela10[[#This Row],[Alongamento (mm/mm)]]/$I$2</f>
        <v>5.3512000000000004E-2</v>
      </c>
      <c r="D218" s="1">
        <v>87.600999999999999</v>
      </c>
      <c r="E218" s="5">
        <f>Tabela10[[#This Row],[Força (N)]]/$I$5</f>
        <v>2792286.237947247</v>
      </c>
      <c r="F218" s="5">
        <f>Tabela10[[#This Row],[Tensão (Pa)]]/1000000</f>
        <v>2.7922862379472471</v>
      </c>
    </row>
    <row r="219" spans="1:6" x14ac:dyDescent="0.3">
      <c r="A219" s="1">
        <v>32.267000000000003</v>
      </c>
      <c r="B219" s="1">
        <v>2.6812</v>
      </c>
      <c r="C219" s="5">
        <f>Tabela10[[#This Row],[Alongamento (mm/mm)]]/$I$2</f>
        <v>5.3623999999999998E-2</v>
      </c>
      <c r="D219" s="1">
        <v>88.281000000000006</v>
      </c>
      <c r="E219" s="5">
        <f>Tabela10[[#This Row],[Força (N)]]/$I$5</f>
        <v>2813961.2718144874</v>
      </c>
      <c r="F219" s="5">
        <f>Tabela10[[#This Row],[Tensão (Pa)]]/1000000</f>
        <v>2.8139612718144873</v>
      </c>
    </row>
    <row r="220" spans="1:6" x14ac:dyDescent="0.3">
      <c r="A220" s="1">
        <v>32.35</v>
      </c>
      <c r="B220" s="1">
        <v>2.6880999999999999</v>
      </c>
      <c r="C220" s="5">
        <f>Tabela10[[#This Row],[Alongamento (mm/mm)]]/$I$2</f>
        <v>5.3761999999999997E-2</v>
      </c>
      <c r="D220" s="1">
        <v>88.962000000000003</v>
      </c>
      <c r="E220" s="5">
        <f>Tabela10[[#This Row],[Força (N)]]/$I$5</f>
        <v>2835668.1807315326</v>
      </c>
      <c r="F220" s="5">
        <f>Tabela10[[#This Row],[Tensão (Pa)]]/1000000</f>
        <v>2.8356681807315325</v>
      </c>
    </row>
    <row r="221" spans="1:6" x14ac:dyDescent="0.3">
      <c r="A221" s="1">
        <v>32.433</v>
      </c>
      <c r="B221" s="1">
        <v>2.6951000000000001</v>
      </c>
      <c r="C221" s="5">
        <f>Tabela10[[#This Row],[Alongamento (mm/mm)]]/$I$2</f>
        <v>5.3901999999999999E-2</v>
      </c>
      <c r="D221" s="1">
        <v>89.641999999999996</v>
      </c>
      <c r="E221" s="5">
        <f>Tabela10[[#This Row],[Força (N)]]/$I$5</f>
        <v>2857343.214598773</v>
      </c>
      <c r="F221" s="5">
        <f>Tabela10[[#This Row],[Tensão (Pa)]]/1000000</f>
        <v>2.8573432145987732</v>
      </c>
    </row>
    <row r="222" spans="1:6" x14ac:dyDescent="0.3">
      <c r="A222" s="1">
        <v>32.517000000000003</v>
      </c>
      <c r="B222" s="1">
        <v>2.702</v>
      </c>
      <c r="C222" s="5">
        <f>Tabela10[[#This Row],[Alongamento (mm/mm)]]/$I$2</f>
        <v>5.4039999999999998E-2</v>
      </c>
      <c r="D222" s="1">
        <v>90.322000000000003</v>
      </c>
      <c r="E222" s="5">
        <f>Tabela10[[#This Row],[Força (N)]]/$I$5</f>
        <v>2879018.2484660135</v>
      </c>
      <c r="F222" s="5">
        <f>Tabela10[[#This Row],[Tensão (Pa)]]/1000000</f>
        <v>2.8790182484660134</v>
      </c>
    </row>
    <row r="223" spans="1:6" x14ac:dyDescent="0.3">
      <c r="A223" s="1">
        <v>32.6</v>
      </c>
      <c r="B223" s="1">
        <v>2.7088999999999999</v>
      </c>
      <c r="C223" s="5">
        <f>Tabela10[[#This Row],[Alongamento (mm/mm)]]/$I$2</f>
        <v>5.4177999999999997E-2</v>
      </c>
      <c r="D223" s="1">
        <v>91.003</v>
      </c>
      <c r="E223" s="5">
        <f>Tabela10[[#This Row],[Força (N)]]/$I$5</f>
        <v>2900725.1573830587</v>
      </c>
      <c r="F223" s="5">
        <f>Tabela10[[#This Row],[Tensão (Pa)]]/1000000</f>
        <v>2.9007251573830586</v>
      </c>
    </row>
    <row r="224" spans="1:6" x14ac:dyDescent="0.3">
      <c r="A224" s="1">
        <v>32.683</v>
      </c>
      <c r="B224" s="1">
        <v>2.7159</v>
      </c>
      <c r="C224" s="5">
        <f>Tabela10[[#This Row],[Alongamento (mm/mm)]]/$I$2</f>
        <v>5.4317999999999998E-2</v>
      </c>
      <c r="D224" s="1">
        <v>91.683000000000007</v>
      </c>
      <c r="E224" s="5">
        <f>Tabela10[[#This Row],[Força (N)]]/$I$5</f>
        <v>2922400.1912502991</v>
      </c>
      <c r="F224" s="5">
        <f>Tabela10[[#This Row],[Tensão (Pa)]]/1000000</f>
        <v>2.9224001912502993</v>
      </c>
    </row>
    <row r="225" spans="1:6" x14ac:dyDescent="0.3">
      <c r="A225" s="1">
        <v>32.767000000000003</v>
      </c>
      <c r="B225" s="1">
        <v>2.7229000000000001</v>
      </c>
      <c r="C225" s="5">
        <f>Tabela10[[#This Row],[Alongamento (mm/mm)]]/$I$2</f>
        <v>5.4457999999999999E-2</v>
      </c>
      <c r="D225" s="1">
        <v>92.364000000000004</v>
      </c>
      <c r="E225" s="5">
        <f>Tabela10[[#This Row],[Força (N)]]/$I$5</f>
        <v>2944107.1001673443</v>
      </c>
      <c r="F225" s="5">
        <f>Tabela10[[#This Row],[Tensão (Pa)]]/1000000</f>
        <v>2.9441071001673444</v>
      </c>
    </row>
    <row r="226" spans="1:6" x14ac:dyDescent="0.3">
      <c r="A226" s="1">
        <v>32.85</v>
      </c>
      <c r="B226" s="1">
        <v>2.7298</v>
      </c>
      <c r="C226" s="5">
        <f>Tabela10[[#This Row],[Alongamento (mm/mm)]]/$I$2</f>
        <v>5.4595999999999999E-2</v>
      </c>
      <c r="D226" s="1">
        <v>93.043999999999997</v>
      </c>
      <c r="E226" s="5">
        <f>Tabela10[[#This Row],[Força (N)]]/$I$5</f>
        <v>2965782.1340345843</v>
      </c>
      <c r="F226" s="5">
        <f>Tabela10[[#This Row],[Tensão (Pa)]]/1000000</f>
        <v>2.9657821340345842</v>
      </c>
    </row>
    <row r="227" spans="1:6" x14ac:dyDescent="0.3">
      <c r="A227" s="1">
        <v>32.933</v>
      </c>
      <c r="B227" s="1">
        <v>2.7366999999999999</v>
      </c>
      <c r="C227" s="5">
        <f>Tabela10[[#This Row],[Alongamento (mm/mm)]]/$I$2</f>
        <v>5.4733999999999998E-2</v>
      </c>
      <c r="D227" s="1">
        <v>93.724000000000004</v>
      </c>
      <c r="E227" s="5">
        <f>Tabela10[[#This Row],[Força (N)]]/$I$5</f>
        <v>2987457.1679018252</v>
      </c>
      <c r="F227" s="5">
        <f>Tabela10[[#This Row],[Tensão (Pa)]]/1000000</f>
        <v>2.9874571679018254</v>
      </c>
    </row>
    <row r="228" spans="1:6" x14ac:dyDescent="0.3">
      <c r="A228" s="1">
        <v>33.017000000000003</v>
      </c>
      <c r="B228" s="1">
        <v>2.7437</v>
      </c>
      <c r="C228" s="5">
        <f>Tabela10[[#This Row],[Alongamento (mm/mm)]]/$I$2</f>
        <v>5.4873999999999999E-2</v>
      </c>
      <c r="D228" s="1">
        <v>94.405000000000001</v>
      </c>
      <c r="E228" s="5">
        <f>Tabela10[[#This Row],[Força (N)]]/$I$5</f>
        <v>3009164.0768188704</v>
      </c>
      <c r="F228" s="5">
        <f>Tabela10[[#This Row],[Tensão (Pa)]]/1000000</f>
        <v>3.0091640768188705</v>
      </c>
    </row>
    <row r="229" spans="1:6" x14ac:dyDescent="0.3">
      <c r="A229" s="1">
        <v>33.1</v>
      </c>
      <c r="B229" s="1">
        <v>2.7505999999999999</v>
      </c>
      <c r="C229" s="5">
        <f>Tabela10[[#This Row],[Alongamento (mm/mm)]]/$I$2</f>
        <v>5.5011999999999998E-2</v>
      </c>
      <c r="D229" s="1">
        <v>95.084999999999994</v>
      </c>
      <c r="E229" s="5">
        <f>Tabela10[[#This Row],[Força (N)]]/$I$5</f>
        <v>3030839.1106861103</v>
      </c>
      <c r="F229" s="5">
        <f>Tabela10[[#This Row],[Tensão (Pa)]]/1000000</f>
        <v>3.0308391106861103</v>
      </c>
    </row>
    <row r="230" spans="1:6" x14ac:dyDescent="0.3">
      <c r="A230" s="1">
        <v>33.200000000000003</v>
      </c>
      <c r="B230" s="1">
        <v>2.7589999999999999</v>
      </c>
      <c r="C230" s="5">
        <f>Tabela10[[#This Row],[Alongamento (mm/mm)]]/$I$2</f>
        <v>5.518E-2</v>
      </c>
      <c r="D230" s="1">
        <v>95.766000000000005</v>
      </c>
      <c r="E230" s="5">
        <f>Tabela10[[#This Row],[Força (N)]]/$I$5</f>
        <v>3052546.019603156</v>
      </c>
      <c r="F230" s="5">
        <f>Tabela10[[#This Row],[Tensão (Pa)]]/1000000</f>
        <v>3.052546019603156</v>
      </c>
    </row>
    <row r="231" spans="1:6" x14ac:dyDescent="0.3">
      <c r="A231" s="1">
        <v>33.283000000000001</v>
      </c>
      <c r="B231" s="1">
        <v>2.7658999999999998</v>
      </c>
      <c r="C231" s="5">
        <f>Tabela10[[#This Row],[Alongamento (mm/mm)]]/$I$2</f>
        <v>5.5317999999999999E-2</v>
      </c>
      <c r="D231" s="1">
        <v>96.445999999999998</v>
      </c>
      <c r="E231" s="5">
        <f>Tabela10[[#This Row],[Força (N)]]/$I$5</f>
        <v>3074221.053470396</v>
      </c>
      <c r="F231" s="5">
        <f>Tabela10[[#This Row],[Tensão (Pa)]]/1000000</f>
        <v>3.0742210534703958</v>
      </c>
    </row>
    <row r="232" spans="1:6" x14ac:dyDescent="0.3">
      <c r="A232" s="1">
        <v>33.366999999999997</v>
      </c>
      <c r="B232" s="1">
        <v>2.7728000000000002</v>
      </c>
      <c r="C232" s="5">
        <f>Tabela10[[#This Row],[Alongamento (mm/mm)]]/$I$2</f>
        <v>5.5456000000000005E-2</v>
      </c>
      <c r="D232" s="1">
        <v>97.126000000000005</v>
      </c>
      <c r="E232" s="5">
        <f>Tabela10[[#This Row],[Força (N)]]/$I$5</f>
        <v>3095896.0873376369</v>
      </c>
      <c r="F232" s="5">
        <f>Tabela10[[#This Row],[Tensão (Pa)]]/1000000</f>
        <v>3.0958960873376369</v>
      </c>
    </row>
    <row r="233" spans="1:6" x14ac:dyDescent="0.3">
      <c r="A233" s="1">
        <v>33.450000000000003</v>
      </c>
      <c r="B233" s="1">
        <v>2.7797999999999998</v>
      </c>
      <c r="C233" s="5">
        <f>Tabela10[[#This Row],[Alongamento (mm/mm)]]/$I$2</f>
        <v>5.5596E-2</v>
      </c>
      <c r="D233" s="1">
        <v>97.807000000000002</v>
      </c>
      <c r="E233" s="5">
        <f>Tabela10[[#This Row],[Força (N)]]/$I$5</f>
        <v>3117602.9962546821</v>
      </c>
      <c r="F233" s="5">
        <f>Tabela10[[#This Row],[Tensão (Pa)]]/1000000</f>
        <v>3.1176029962546821</v>
      </c>
    </row>
    <row r="234" spans="1:6" x14ac:dyDescent="0.3">
      <c r="A234" s="1">
        <v>33.533000000000001</v>
      </c>
      <c r="B234" s="1">
        <v>2.7867000000000002</v>
      </c>
      <c r="C234" s="5">
        <f>Tabela10[[#This Row],[Alongamento (mm/mm)]]/$I$2</f>
        <v>5.5734000000000006E-2</v>
      </c>
      <c r="D234" s="1">
        <v>98.486999999999995</v>
      </c>
      <c r="E234" s="5">
        <f>Tabela10[[#This Row],[Força (N)]]/$I$5</f>
        <v>3139278.030121922</v>
      </c>
      <c r="F234" s="5">
        <f>Tabela10[[#This Row],[Tensão (Pa)]]/1000000</f>
        <v>3.1392780301219219</v>
      </c>
    </row>
    <row r="235" spans="1:6" x14ac:dyDescent="0.3">
      <c r="A235" s="1">
        <v>33.616999999999997</v>
      </c>
      <c r="B235" s="1">
        <v>2.7936999999999999</v>
      </c>
      <c r="C235" s="5">
        <f>Tabela10[[#This Row],[Alongamento (mm/mm)]]/$I$2</f>
        <v>5.5874E-2</v>
      </c>
      <c r="D235" s="1">
        <v>99.168000000000006</v>
      </c>
      <c r="E235" s="5">
        <f>Tabela10[[#This Row],[Força (N)]]/$I$5</f>
        <v>3160984.9390389677</v>
      </c>
      <c r="F235" s="5">
        <f>Tabela10[[#This Row],[Tensão (Pa)]]/1000000</f>
        <v>3.1609849390389679</v>
      </c>
    </row>
    <row r="236" spans="1:6" x14ac:dyDescent="0.3">
      <c r="A236" s="1">
        <v>33.683</v>
      </c>
      <c r="B236" s="1">
        <v>2.7993000000000001</v>
      </c>
      <c r="C236" s="5">
        <f>Tabela10[[#This Row],[Alongamento (mm/mm)]]/$I$2</f>
        <v>5.5986000000000001E-2</v>
      </c>
      <c r="D236" s="1">
        <v>99.847999999999999</v>
      </c>
      <c r="E236" s="5">
        <f>Tabela10[[#This Row],[Força (N)]]/$I$5</f>
        <v>3182659.9729062077</v>
      </c>
      <c r="F236" s="5">
        <f>Tabela10[[#This Row],[Tensão (Pa)]]/1000000</f>
        <v>3.1826599729062077</v>
      </c>
    </row>
    <row r="237" spans="1:6" x14ac:dyDescent="0.3">
      <c r="A237" s="1">
        <v>33.767000000000003</v>
      </c>
      <c r="B237" s="1">
        <v>2.8062</v>
      </c>
      <c r="C237" s="5">
        <f>Tabela10[[#This Row],[Alongamento (mm/mm)]]/$I$2</f>
        <v>5.6124E-2</v>
      </c>
      <c r="D237" s="1">
        <v>100.53</v>
      </c>
      <c r="E237" s="5">
        <f>Tabela10[[#This Row],[Força (N)]]/$I$5</f>
        <v>3204398.7568730577</v>
      </c>
      <c r="F237" s="5">
        <f>Tabela10[[#This Row],[Tensão (Pa)]]/1000000</f>
        <v>3.2043987568730579</v>
      </c>
    </row>
    <row r="238" spans="1:6" x14ac:dyDescent="0.3">
      <c r="A238" s="1">
        <v>33.85</v>
      </c>
      <c r="B238" s="1">
        <v>2.8130999999999999</v>
      </c>
      <c r="C238" s="5">
        <f>Tabela10[[#This Row],[Alongamento (mm/mm)]]/$I$2</f>
        <v>5.6262E-2</v>
      </c>
      <c r="D238" s="1">
        <v>101.21</v>
      </c>
      <c r="E238" s="5">
        <f>Tabela10[[#This Row],[Força (N)]]/$I$5</f>
        <v>3226073.7907402981</v>
      </c>
      <c r="F238" s="5">
        <f>Tabela10[[#This Row],[Tensão (Pa)]]/1000000</f>
        <v>3.2260737907402981</v>
      </c>
    </row>
    <row r="239" spans="1:6" x14ac:dyDescent="0.3">
      <c r="A239" s="1">
        <v>33.950000000000003</v>
      </c>
      <c r="B239" s="1">
        <v>2.8214000000000001</v>
      </c>
      <c r="C239" s="5">
        <f>Tabela10[[#This Row],[Alongamento (mm/mm)]]/$I$2</f>
        <v>5.6428000000000006E-2</v>
      </c>
      <c r="D239" s="1">
        <v>101.89</v>
      </c>
      <c r="E239" s="5">
        <f>Tabela10[[#This Row],[Força (N)]]/$I$5</f>
        <v>3247748.8246075385</v>
      </c>
      <c r="F239" s="5">
        <f>Tabela10[[#This Row],[Tensão (Pa)]]/1000000</f>
        <v>3.2477488246075383</v>
      </c>
    </row>
    <row r="240" spans="1:6" x14ac:dyDescent="0.3">
      <c r="A240" s="1">
        <v>34.049999999999997</v>
      </c>
      <c r="B240" s="1">
        <v>2.8298999999999999</v>
      </c>
      <c r="C240" s="5">
        <f>Tabela10[[#This Row],[Alongamento (mm/mm)]]/$I$2</f>
        <v>5.6597999999999996E-2</v>
      </c>
      <c r="D240" s="1">
        <v>102.57</v>
      </c>
      <c r="E240" s="5">
        <f>Tabela10[[#This Row],[Força (N)]]/$I$5</f>
        <v>3269423.8584747789</v>
      </c>
      <c r="F240" s="5">
        <f>Tabela10[[#This Row],[Tensão (Pa)]]/1000000</f>
        <v>3.269423858474779</v>
      </c>
    </row>
    <row r="241" spans="1:6" x14ac:dyDescent="0.3">
      <c r="A241" s="1">
        <v>34.133000000000003</v>
      </c>
      <c r="B241" s="1">
        <v>2.8368000000000002</v>
      </c>
      <c r="C241" s="5">
        <f>Tabela10[[#This Row],[Alongamento (mm/mm)]]/$I$2</f>
        <v>5.6736000000000002E-2</v>
      </c>
      <c r="D241" s="1">
        <v>103.25</v>
      </c>
      <c r="E241" s="5">
        <f>Tabela10[[#This Row],[Força (N)]]/$I$5</f>
        <v>3291098.8923420194</v>
      </c>
      <c r="F241" s="5">
        <f>Tabela10[[#This Row],[Tensão (Pa)]]/1000000</f>
        <v>3.2910988923420192</v>
      </c>
    </row>
    <row r="242" spans="1:6" x14ac:dyDescent="0.3">
      <c r="A242" s="1">
        <v>34.232999999999997</v>
      </c>
      <c r="B242" s="1">
        <v>2.8451</v>
      </c>
      <c r="C242" s="5">
        <f>Tabela10[[#This Row],[Alongamento (mm/mm)]]/$I$2</f>
        <v>5.6902000000000001E-2</v>
      </c>
      <c r="D242" s="1">
        <v>103.93</v>
      </c>
      <c r="E242" s="5">
        <f>Tabela10[[#This Row],[Força (N)]]/$I$5</f>
        <v>3312773.9262092602</v>
      </c>
      <c r="F242" s="5">
        <f>Tabela10[[#This Row],[Tensão (Pa)]]/1000000</f>
        <v>3.3127739262092604</v>
      </c>
    </row>
    <row r="243" spans="1:6" x14ac:dyDescent="0.3">
      <c r="A243" s="1">
        <v>34.317</v>
      </c>
      <c r="B243" s="1">
        <v>2.8519999999999999</v>
      </c>
      <c r="C243" s="5">
        <f>Tabela10[[#This Row],[Alongamento (mm/mm)]]/$I$2</f>
        <v>5.704E-2</v>
      </c>
      <c r="D243" s="1">
        <v>104.61</v>
      </c>
      <c r="E243" s="5">
        <f>Tabela10[[#This Row],[Força (N)]]/$I$5</f>
        <v>3334448.9600765002</v>
      </c>
      <c r="F243" s="5">
        <f>Tabela10[[#This Row],[Tensão (Pa)]]/1000000</f>
        <v>3.3344489600765002</v>
      </c>
    </row>
    <row r="244" spans="1:6" x14ac:dyDescent="0.3">
      <c r="A244" s="1">
        <v>34.383000000000003</v>
      </c>
      <c r="B244" s="1">
        <v>2.8576000000000001</v>
      </c>
      <c r="C244" s="5">
        <f>Tabela10[[#This Row],[Alongamento (mm/mm)]]/$I$2</f>
        <v>5.7152000000000001E-2</v>
      </c>
      <c r="D244" s="1">
        <v>105.29</v>
      </c>
      <c r="E244" s="5">
        <f>Tabela10[[#This Row],[Força (N)]]/$I$5</f>
        <v>3356123.9939437411</v>
      </c>
      <c r="F244" s="5">
        <f>Tabela10[[#This Row],[Tensão (Pa)]]/1000000</f>
        <v>3.3561239939437413</v>
      </c>
    </row>
    <row r="245" spans="1:6" x14ac:dyDescent="0.3">
      <c r="A245" s="1">
        <v>34.466999999999999</v>
      </c>
      <c r="B245" s="1">
        <v>2.8645</v>
      </c>
      <c r="C245" s="5">
        <f>Tabela10[[#This Row],[Alongamento (mm/mm)]]/$I$2</f>
        <v>5.7290000000000001E-2</v>
      </c>
      <c r="D245" s="1">
        <v>105.97</v>
      </c>
      <c r="E245" s="5">
        <f>Tabela10[[#This Row],[Força (N)]]/$I$5</f>
        <v>3377799.027810981</v>
      </c>
      <c r="F245" s="5">
        <f>Tabela10[[#This Row],[Tensão (Pa)]]/1000000</f>
        <v>3.3777990278109811</v>
      </c>
    </row>
    <row r="246" spans="1:6" x14ac:dyDescent="0.3">
      <c r="A246" s="1">
        <v>34.549999999999997</v>
      </c>
      <c r="B246" s="1">
        <v>2.8715000000000002</v>
      </c>
      <c r="C246" s="5">
        <f>Tabela10[[#This Row],[Alongamento (mm/mm)]]/$I$2</f>
        <v>5.7430000000000002E-2</v>
      </c>
      <c r="D246" s="1">
        <v>106.65</v>
      </c>
      <c r="E246" s="5">
        <f>Tabela10[[#This Row],[Força (N)]]/$I$5</f>
        <v>3399474.0616782219</v>
      </c>
      <c r="F246" s="5">
        <f>Tabela10[[#This Row],[Tensão (Pa)]]/1000000</f>
        <v>3.3994740616782217</v>
      </c>
    </row>
    <row r="247" spans="1:6" x14ac:dyDescent="0.3">
      <c r="A247" s="1">
        <v>34.633000000000003</v>
      </c>
      <c r="B247" s="1">
        <v>2.8784999999999998</v>
      </c>
      <c r="C247" s="5">
        <f>Tabela10[[#This Row],[Alongamento (mm/mm)]]/$I$2</f>
        <v>5.7569999999999996E-2</v>
      </c>
      <c r="D247" s="1">
        <v>107.33</v>
      </c>
      <c r="E247" s="5">
        <f>Tabela10[[#This Row],[Força (N)]]/$I$5</f>
        <v>3421149.0955454619</v>
      </c>
      <c r="F247" s="5">
        <f>Tabela10[[#This Row],[Tensão (Pa)]]/1000000</f>
        <v>3.421149095545462</v>
      </c>
    </row>
    <row r="248" spans="1:6" x14ac:dyDescent="0.3">
      <c r="A248" s="1">
        <v>34.716999999999999</v>
      </c>
      <c r="B248" s="1">
        <v>2.8854000000000002</v>
      </c>
      <c r="C248" s="5">
        <f>Tabela10[[#This Row],[Alongamento (mm/mm)]]/$I$2</f>
        <v>5.7708000000000002E-2</v>
      </c>
      <c r="D248" s="1">
        <v>108.01</v>
      </c>
      <c r="E248" s="5">
        <f>Tabela10[[#This Row],[Força (N)]]/$I$5</f>
        <v>3442824.1294127028</v>
      </c>
      <c r="F248" s="5">
        <f>Tabela10[[#This Row],[Tensão (Pa)]]/1000000</f>
        <v>3.4428241294127027</v>
      </c>
    </row>
    <row r="249" spans="1:6" x14ac:dyDescent="0.3">
      <c r="A249" s="1">
        <v>34.783000000000001</v>
      </c>
      <c r="B249" s="1">
        <v>2.8908999999999998</v>
      </c>
      <c r="C249" s="5">
        <f>Tabela10[[#This Row],[Alongamento (mm/mm)]]/$I$2</f>
        <v>5.7817999999999994E-2</v>
      </c>
      <c r="D249" s="1">
        <v>108.69</v>
      </c>
      <c r="E249" s="5">
        <f>Tabela10[[#This Row],[Força (N)]]/$I$5</f>
        <v>3464499.1632799427</v>
      </c>
      <c r="F249" s="5">
        <f>Tabela10[[#This Row],[Tensão (Pa)]]/1000000</f>
        <v>3.4644991632799429</v>
      </c>
    </row>
    <row r="250" spans="1:6" x14ac:dyDescent="0.3">
      <c r="A250" s="1">
        <v>34.866999999999997</v>
      </c>
      <c r="B250" s="1">
        <v>2.8978999999999999</v>
      </c>
      <c r="C250" s="5">
        <f>Tabela10[[#This Row],[Alongamento (mm/mm)]]/$I$2</f>
        <v>5.7957999999999996E-2</v>
      </c>
      <c r="D250" s="1">
        <v>109.37</v>
      </c>
      <c r="E250" s="5">
        <f>Tabela10[[#This Row],[Força (N)]]/$I$5</f>
        <v>3486174.1971471836</v>
      </c>
      <c r="F250" s="5">
        <f>Tabela10[[#This Row],[Tensão (Pa)]]/1000000</f>
        <v>3.4861741971471836</v>
      </c>
    </row>
    <row r="251" spans="1:6" x14ac:dyDescent="0.3">
      <c r="A251" s="1">
        <v>34.933</v>
      </c>
      <c r="B251" s="1">
        <v>2.9034</v>
      </c>
      <c r="C251" s="5">
        <f>Tabela10[[#This Row],[Alongamento (mm/mm)]]/$I$2</f>
        <v>5.8068000000000002E-2</v>
      </c>
      <c r="D251" s="1">
        <v>110.05</v>
      </c>
      <c r="E251" s="5">
        <f>Tabela10[[#This Row],[Força (N)]]/$I$5</f>
        <v>3507849.2310144235</v>
      </c>
      <c r="F251" s="5">
        <f>Tabela10[[#This Row],[Tensão (Pa)]]/1000000</f>
        <v>3.5078492310144234</v>
      </c>
    </row>
    <row r="252" spans="1:6" x14ac:dyDescent="0.3">
      <c r="A252" s="1">
        <v>35</v>
      </c>
      <c r="B252" s="1">
        <v>2.9089999999999998</v>
      </c>
      <c r="C252" s="5">
        <f>Tabela10[[#This Row],[Alongamento (mm/mm)]]/$I$2</f>
        <v>5.8179999999999996E-2</v>
      </c>
      <c r="D252" s="1">
        <v>110.73</v>
      </c>
      <c r="E252" s="5">
        <f>Tabela10[[#This Row],[Força (N)]]/$I$5</f>
        <v>3529524.2648816644</v>
      </c>
      <c r="F252" s="5">
        <f>Tabela10[[#This Row],[Tensão (Pa)]]/1000000</f>
        <v>3.5295242648816645</v>
      </c>
    </row>
    <row r="253" spans="1:6" x14ac:dyDescent="0.3">
      <c r="A253" s="1">
        <v>35.067</v>
      </c>
      <c r="B253" s="1">
        <v>2.9144999999999999</v>
      </c>
      <c r="C253" s="5">
        <f>Tabela10[[#This Row],[Alongamento (mm/mm)]]/$I$2</f>
        <v>5.8289999999999995E-2</v>
      </c>
      <c r="D253" s="1">
        <v>111.41</v>
      </c>
      <c r="E253" s="5">
        <f>Tabela10[[#This Row],[Força (N)]]/$I$5</f>
        <v>3551199.2987489044</v>
      </c>
      <c r="F253" s="5">
        <f>Tabela10[[#This Row],[Tensão (Pa)]]/1000000</f>
        <v>3.5511992987489043</v>
      </c>
    </row>
    <row r="254" spans="1:6" x14ac:dyDescent="0.3">
      <c r="A254" s="1">
        <v>35.133000000000003</v>
      </c>
      <c r="B254" s="1">
        <v>2.9201000000000001</v>
      </c>
      <c r="C254" s="5">
        <f>Tabela10[[#This Row],[Alongamento (mm/mm)]]/$I$2</f>
        <v>5.8402000000000003E-2</v>
      </c>
      <c r="D254" s="1">
        <v>112.1</v>
      </c>
      <c r="E254" s="5">
        <f>Tabela10[[#This Row],[Força (N)]]/$I$5</f>
        <v>3573193.0831141924</v>
      </c>
      <c r="F254" s="5">
        <f>Tabela10[[#This Row],[Tensão (Pa)]]/1000000</f>
        <v>3.5731930831141923</v>
      </c>
    </row>
    <row r="255" spans="1:6" x14ac:dyDescent="0.3">
      <c r="A255" s="1">
        <v>35.183</v>
      </c>
      <c r="B255" s="1">
        <v>2.9243000000000001</v>
      </c>
      <c r="C255" s="5">
        <f>Tabela10[[#This Row],[Alongamento (mm/mm)]]/$I$2</f>
        <v>5.8486000000000003E-2</v>
      </c>
      <c r="D255" s="1">
        <v>112.78</v>
      </c>
      <c r="E255" s="5">
        <f>Tabela10[[#This Row],[Força (N)]]/$I$5</f>
        <v>3594868.1169814332</v>
      </c>
      <c r="F255" s="5">
        <f>Tabela10[[#This Row],[Tensão (Pa)]]/1000000</f>
        <v>3.5948681169814334</v>
      </c>
    </row>
    <row r="256" spans="1:6" x14ac:dyDescent="0.3">
      <c r="A256" s="1">
        <v>35.25</v>
      </c>
      <c r="B256" s="1">
        <v>2.9298000000000002</v>
      </c>
      <c r="C256" s="5">
        <f>Tabela10[[#This Row],[Alongamento (mm/mm)]]/$I$2</f>
        <v>5.8596000000000002E-2</v>
      </c>
      <c r="D256" s="1">
        <v>113.46</v>
      </c>
      <c r="E256" s="5">
        <f>Tabela10[[#This Row],[Força (N)]]/$I$5</f>
        <v>3616543.1508486732</v>
      </c>
      <c r="F256" s="5">
        <f>Tabela10[[#This Row],[Tensão (Pa)]]/1000000</f>
        <v>3.6165431508486732</v>
      </c>
    </row>
    <row r="257" spans="1:6" x14ac:dyDescent="0.3">
      <c r="A257" s="1">
        <v>35.317</v>
      </c>
      <c r="B257" s="1">
        <v>2.9352999999999998</v>
      </c>
      <c r="C257" s="5">
        <f>Tabela10[[#This Row],[Alongamento (mm/mm)]]/$I$2</f>
        <v>5.8705999999999994E-2</v>
      </c>
      <c r="D257" s="1">
        <v>114.31</v>
      </c>
      <c r="E257" s="5">
        <f>Tabela10[[#This Row],[Força (N)]]/$I$5</f>
        <v>3643636.9431827241</v>
      </c>
      <c r="F257" s="5">
        <f>Tabela10[[#This Row],[Tensão (Pa)]]/1000000</f>
        <v>3.6436369431827242</v>
      </c>
    </row>
    <row r="258" spans="1:6" x14ac:dyDescent="0.3">
      <c r="A258" s="1">
        <v>35.383000000000003</v>
      </c>
      <c r="B258" s="1">
        <v>2.9409000000000001</v>
      </c>
      <c r="C258" s="5">
        <f>Tabela10[[#This Row],[Alongamento (mm/mm)]]/$I$2</f>
        <v>5.8818000000000002E-2</v>
      </c>
      <c r="D258" s="1">
        <v>114.99</v>
      </c>
      <c r="E258" s="5">
        <f>Tabela10[[#This Row],[Força (N)]]/$I$5</f>
        <v>3665311.977049964</v>
      </c>
      <c r="F258" s="5">
        <f>Tabela10[[#This Row],[Tensão (Pa)]]/1000000</f>
        <v>3.665311977049964</v>
      </c>
    </row>
    <row r="259" spans="1:6" x14ac:dyDescent="0.3">
      <c r="A259" s="1">
        <v>35.433</v>
      </c>
      <c r="B259" s="1">
        <v>2.9451000000000001</v>
      </c>
      <c r="C259" s="5">
        <f>Tabela10[[#This Row],[Alongamento (mm/mm)]]/$I$2</f>
        <v>5.8902000000000003E-2</v>
      </c>
      <c r="D259" s="1">
        <v>115.67</v>
      </c>
      <c r="E259" s="5">
        <f>Tabela10[[#This Row],[Força (N)]]/$I$5</f>
        <v>3686987.0109172049</v>
      </c>
      <c r="F259" s="5">
        <f>Tabela10[[#This Row],[Tensão (Pa)]]/1000000</f>
        <v>3.6869870109172047</v>
      </c>
    </row>
    <row r="260" spans="1:6" x14ac:dyDescent="0.3">
      <c r="A260" s="1">
        <v>35.5</v>
      </c>
      <c r="B260" s="1">
        <v>2.9506999999999999</v>
      </c>
      <c r="C260" s="5">
        <f>Tabela10[[#This Row],[Alongamento (mm/mm)]]/$I$2</f>
        <v>5.9013999999999997E-2</v>
      </c>
      <c r="D260" s="1">
        <v>116.35</v>
      </c>
      <c r="E260" s="5">
        <f>Tabela10[[#This Row],[Força (N)]]/$I$5</f>
        <v>3708662.0447844448</v>
      </c>
      <c r="F260" s="5">
        <f>Tabela10[[#This Row],[Tensão (Pa)]]/1000000</f>
        <v>3.7086620447844449</v>
      </c>
    </row>
    <row r="261" spans="1:6" x14ac:dyDescent="0.3">
      <c r="A261" s="1">
        <v>35.549999999999997</v>
      </c>
      <c r="B261" s="1">
        <v>2.9548999999999999</v>
      </c>
      <c r="C261" s="5">
        <f>Tabela10[[#This Row],[Alongamento (mm/mm)]]/$I$2</f>
        <v>5.9097999999999998E-2</v>
      </c>
      <c r="D261" s="1">
        <v>117.03</v>
      </c>
      <c r="E261" s="5">
        <f>Tabela10[[#This Row],[Força (N)]]/$I$5</f>
        <v>3730337.0786516857</v>
      </c>
      <c r="F261" s="5">
        <f>Tabela10[[#This Row],[Tensão (Pa)]]/1000000</f>
        <v>3.7303370786516856</v>
      </c>
    </row>
    <row r="262" spans="1:6" x14ac:dyDescent="0.3">
      <c r="A262" s="1">
        <v>35.616999999999997</v>
      </c>
      <c r="B262" s="1">
        <v>2.9603999999999999</v>
      </c>
      <c r="C262" s="5">
        <f>Tabela10[[#This Row],[Alongamento (mm/mm)]]/$I$2</f>
        <v>5.9207999999999997E-2</v>
      </c>
      <c r="D262" s="1">
        <v>117.88</v>
      </c>
      <c r="E262" s="5">
        <f>Tabela10[[#This Row],[Força (N)]]/$I$5</f>
        <v>3757430.8709857361</v>
      </c>
      <c r="F262" s="5">
        <f>Tabela10[[#This Row],[Tensão (Pa)]]/1000000</f>
        <v>3.7574308709857362</v>
      </c>
    </row>
    <row r="263" spans="1:6" x14ac:dyDescent="0.3">
      <c r="A263" s="1">
        <v>35.683</v>
      </c>
      <c r="B263" s="1">
        <v>2.9659</v>
      </c>
      <c r="C263" s="5">
        <f>Tabela10[[#This Row],[Alongamento (mm/mm)]]/$I$2</f>
        <v>5.9318000000000003E-2</v>
      </c>
      <c r="D263" s="1">
        <v>118.56</v>
      </c>
      <c r="E263" s="5">
        <f>Tabela10[[#This Row],[Força (N)]]/$I$5</f>
        <v>3779105.9048529766</v>
      </c>
      <c r="F263" s="5">
        <f>Tabela10[[#This Row],[Tensão (Pa)]]/1000000</f>
        <v>3.7791059048529765</v>
      </c>
    </row>
    <row r="264" spans="1:6" x14ac:dyDescent="0.3">
      <c r="A264" s="1">
        <v>35.732999999999997</v>
      </c>
      <c r="B264" s="1">
        <v>2.9701</v>
      </c>
      <c r="C264" s="5">
        <f>Tabela10[[#This Row],[Alongamento (mm/mm)]]/$I$2</f>
        <v>5.9401999999999996E-2</v>
      </c>
      <c r="D264" s="1">
        <v>119.24</v>
      </c>
      <c r="E264" s="5">
        <f>Tabela10[[#This Row],[Força (N)]]/$I$5</f>
        <v>3800780.938720217</v>
      </c>
      <c r="F264" s="5">
        <f>Tabela10[[#This Row],[Tensão (Pa)]]/1000000</f>
        <v>3.8007809387202172</v>
      </c>
    </row>
    <row r="265" spans="1:6" x14ac:dyDescent="0.3">
      <c r="A265" s="1">
        <v>35.783000000000001</v>
      </c>
      <c r="B265" s="1">
        <v>2.9742999999999999</v>
      </c>
      <c r="C265" s="5">
        <f>Tabela10[[#This Row],[Alongamento (mm/mm)]]/$I$2</f>
        <v>5.9485999999999997E-2</v>
      </c>
      <c r="D265" s="1">
        <v>119.92</v>
      </c>
      <c r="E265" s="5">
        <f>Tabela10[[#This Row],[Força (N)]]/$I$5</f>
        <v>3822455.9725874574</v>
      </c>
      <c r="F265" s="5">
        <f>Tabela10[[#This Row],[Tensão (Pa)]]/1000000</f>
        <v>3.8224559725874574</v>
      </c>
    </row>
    <row r="266" spans="1:6" x14ac:dyDescent="0.3">
      <c r="A266" s="1">
        <v>35.832999999999998</v>
      </c>
      <c r="B266" s="1">
        <v>2.9784000000000002</v>
      </c>
      <c r="C266" s="5">
        <f>Tabela10[[#This Row],[Alongamento (mm/mm)]]/$I$2</f>
        <v>5.9568000000000003E-2</v>
      </c>
      <c r="D266" s="1">
        <v>120.6</v>
      </c>
      <c r="E266" s="5">
        <f>Tabela10[[#This Row],[Força (N)]]/$I$5</f>
        <v>3844131.0064546978</v>
      </c>
      <c r="F266" s="5">
        <f>Tabela10[[#This Row],[Tensão (Pa)]]/1000000</f>
        <v>3.8441310064546976</v>
      </c>
    </row>
    <row r="267" spans="1:6" x14ac:dyDescent="0.3">
      <c r="A267" s="1">
        <v>35.883000000000003</v>
      </c>
      <c r="B267" s="1">
        <v>2.9824999999999999</v>
      </c>
      <c r="C267" s="5">
        <f>Tabela10[[#This Row],[Alongamento (mm/mm)]]/$I$2</f>
        <v>5.9650000000000002E-2</v>
      </c>
      <c r="D267" s="1">
        <v>121.28</v>
      </c>
      <c r="E267" s="5">
        <f>Tabela10[[#This Row],[Força (N)]]/$I$5</f>
        <v>3865806.0403219382</v>
      </c>
      <c r="F267" s="5">
        <f>Tabela10[[#This Row],[Tensão (Pa)]]/1000000</f>
        <v>3.8658060403219383</v>
      </c>
    </row>
    <row r="268" spans="1:6" x14ac:dyDescent="0.3">
      <c r="A268" s="1">
        <v>35.950000000000003</v>
      </c>
      <c r="B268" s="1">
        <v>2.9881000000000002</v>
      </c>
      <c r="C268" s="5">
        <f>Tabela10[[#This Row],[Alongamento (mm/mm)]]/$I$2</f>
        <v>5.9762000000000003E-2</v>
      </c>
      <c r="D268" s="1">
        <v>121.96</v>
      </c>
      <c r="E268" s="5">
        <f>Tabela10[[#This Row],[Força (N)]]/$I$5</f>
        <v>3887481.0741891786</v>
      </c>
      <c r="F268" s="5">
        <f>Tabela10[[#This Row],[Tensão (Pa)]]/1000000</f>
        <v>3.8874810741891785</v>
      </c>
    </row>
    <row r="269" spans="1:6" x14ac:dyDescent="0.3">
      <c r="A269" s="1">
        <v>36</v>
      </c>
      <c r="B269" s="1">
        <v>2.9923000000000002</v>
      </c>
      <c r="C269" s="5">
        <f>Tabela10[[#This Row],[Alongamento (mm/mm)]]/$I$2</f>
        <v>5.9846000000000003E-2</v>
      </c>
      <c r="D269" s="1">
        <v>122.64</v>
      </c>
      <c r="E269" s="5">
        <f>Tabela10[[#This Row],[Força (N)]]/$I$5</f>
        <v>3909156.1080564191</v>
      </c>
      <c r="F269" s="5">
        <f>Tabela10[[#This Row],[Tensão (Pa)]]/1000000</f>
        <v>3.9091561080564192</v>
      </c>
    </row>
    <row r="270" spans="1:6" x14ac:dyDescent="0.3">
      <c r="A270" s="1">
        <v>36.067</v>
      </c>
      <c r="B270" s="1">
        <v>2.9979</v>
      </c>
      <c r="C270" s="5">
        <f>Tabela10[[#This Row],[Alongamento (mm/mm)]]/$I$2</f>
        <v>5.9957999999999997E-2</v>
      </c>
      <c r="D270" s="1">
        <v>123.49</v>
      </c>
      <c r="E270" s="5">
        <f>Tabela10[[#This Row],[Força (N)]]/$I$5</f>
        <v>3936249.9003904695</v>
      </c>
      <c r="F270" s="5">
        <f>Tabela10[[#This Row],[Tensão (Pa)]]/1000000</f>
        <v>3.9362499003904694</v>
      </c>
    </row>
    <row r="271" spans="1:6" x14ac:dyDescent="0.3">
      <c r="A271" s="1">
        <v>36.116999999999997</v>
      </c>
      <c r="B271" s="1">
        <v>3.0021</v>
      </c>
      <c r="C271" s="5">
        <f>Tabela10[[#This Row],[Alongamento (mm/mm)]]/$I$2</f>
        <v>6.0041999999999998E-2</v>
      </c>
      <c r="D271" s="1">
        <v>124.17</v>
      </c>
      <c r="E271" s="5">
        <f>Tabela10[[#This Row],[Força (N)]]/$I$5</f>
        <v>3957924.9342577099</v>
      </c>
      <c r="F271" s="5">
        <f>Tabela10[[#This Row],[Tensão (Pa)]]/1000000</f>
        <v>3.9579249342577101</v>
      </c>
    </row>
    <row r="272" spans="1:6" x14ac:dyDescent="0.3">
      <c r="A272" s="1">
        <v>36.183</v>
      </c>
      <c r="B272" s="1">
        <v>3.0074999999999998</v>
      </c>
      <c r="C272" s="5">
        <f>Tabela10[[#This Row],[Alongamento (mm/mm)]]/$I$2</f>
        <v>6.0149999999999995E-2</v>
      </c>
      <c r="D272" s="1">
        <v>125.02</v>
      </c>
      <c r="E272" s="5">
        <f>Tabela10[[#This Row],[Força (N)]]/$I$5</f>
        <v>3985018.7265917603</v>
      </c>
      <c r="F272" s="5">
        <f>Tabela10[[#This Row],[Tensão (Pa)]]/1000000</f>
        <v>3.9850187265917603</v>
      </c>
    </row>
    <row r="273" spans="1:6" x14ac:dyDescent="0.3">
      <c r="A273" s="1">
        <v>36.25</v>
      </c>
      <c r="B273" s="1">
        <v>3.0131000000000001</v>
      </c>
      <c r="C273" s="5">
        <f>Tabela10[[#This Row],[Alongamento (mm/mm)]]/$I$2</f>
        <v>6.0262000000000003E-2</v>
      </c>
      <c r="D273" s="1">
        <v>125.87</v>
      </c>
      <c r="E273" s="5">
        <f>Tabela10[[#This Row],[Força (N)]]/$I$5</f>
        <v>4012112.5189258112</v>
      </c>
      <c r="F273" s="5">
        <f>Tabela10[[#This Row],[Tensão (Pa)]]/1000000</f>
        <v>4.0121125189258109</v>
      </c>
    </row>
    <row r="274" spans="1:6" x14ac:dyDescent="0.3">
      <c r="A274" s="1">
        <v>36.317</v>
      </c>
      <c r="B274" s="1">
        <v>3.0186999999999999</v>
      </c>
      <c r="C274" s="5">
        <f>Tabela10[[#This Row],[Alongamento (mm/mm)]]/$I$2</f>
        <v>6.0373999999999997E-2</v>
      </c>
      <c r="D274" s="1">
        <v>126.72</v>
      </c>
      <c r="E274" s="5">
        <f>Tabela10[[#This Row],[Força (N)]]/$I$5</f>
        <v>4039206.3112598616</v>
      </c>
      <c r="F274" s="5">
        <f>Tabela10[[#This Row],[Tensão (Pa)]]/1000000</f>
        <v>4.0392063112598615</v>
      </c>
    </row>
    <row r="275" spans="1:6" x14ac:dyDescent="0.3">
      <c r="A275" s="1">
        <v>36.383000000000003</v>
      </c>
      <c r="B275" s="1">
        <v>3.0242</v>
      </c>
      <c r="C275" s="5">
        <f>Tabela10[[#This Row],[Alongamento (mm/mm)]]/$I$2</f>
        <v>6.0484000000000003E-2</v>
      </c>
      <c r="D275" s="1">
        <v>127.57</v>
      </c>
      <c r="E275" s="5">
        <f>Tabela10[[#This Row],[Força (N)]]/$I$5</f>
        <v>4066300.103593912</v>
      </c>
      <c r="F275" s="5">
        <f>Tabela10[[#This Row],[Tensão (Pa)]]/1000000</f>
        <v>4.0663001035939121</v>
      </c>
    </row>
    <row r="276" spans="1:6" x14ac:dyDescent="0.3">
      <c r="A276" s="1">
        <v>36.450000000000003</v>
      </c>
      <c r="B276" s="1">
        <v>3.0297999999999998</v>
      </c>
      <c r="C276" s="5">
        <f>Tabela10[[#This Row],[Alongamento (mm/mm)]]/$I$2</f>
        <v>6.0595999999999997E-2</v>
      </c>
      <c r="D276" s="1">
        <v>128.25</v>
      </c>
      <c r="E276" s="5">
        <f>Tabela10[[#This Row],[Força (N)]]/$I$5</f>
        <v>4087975.1374611524</v>
      </c>
      <c r="F276" s="5">
        <f>Tabela10[[#This Row],[Tensão (Pa)]]/1000000</f>
        <v>4.0879751374611528</v>
      </c>
    </row>
    <row r="277" spans="1:6" x14ac:dyDescent="0.3">
      <c r="A277" s="1">
        <v>36.5</v>
      </c>
      <c r="B277" s="1">
        <v>3.0339999999999998</v>
      </c>
      <c r="C277" s="5">
        <f>Tabela10[[#This Row],[Alongamento (mm/mm)]]/$I$2</f>
        <v>6.0679999999999998E-2</v>
      </c>
      <c r="D277" s="1">
        <v>128.93</v>
      </c>
      <c r="E277" s="5">
        <f>Tabela10[[#This Row],[Força (N)]]/$I$5</f>
        <v>4109650.1713283933</v>
      </c>
      <c r="F277" s="5">
        <f>Tabela10[[#This Row],[Tensão (Pa)]]/1000000</f>
        <v>4.1096501713283935</v>
      </c>
    </row>
    <row r="278" spans="1:6" x14ac:dyDescent="0.3">
      <c r="A278" s="1">
        <v>36.549999999999997</v>
      </c>
      <c r="B278" s="1">
        <v>3.0381999999999998</v>
      </c>
      <c r="C278" s="5">
        <f>Tabela10[[#This Row],[Alongamento (mm/mm)]]/$I$2</f>
        <v>6.0763999999999999E-2</v>
      </c>
      <c r="D278" s="1">
        <v>129.62</v>
      </c>
      <c r="E278" s="5">
        <f>Tabela10[[#This Row],[Força (N)]]/$I$5</f>
        <v>4131643.9556936813</v>
      </c>
      <c r="F278" s="5">
        <f>Tabela10[[#This Row],[Tensão (Pa)]]/1000000</f>
        <v>4.131643955693681</v>
      </c>
    </row>
    <row r="279" spans="1:6" x14ac:dyDescent="0.3">
      <c r="A279" s="1">
        <v>36.616999999999997</v>
      </c>
      <c r="B279" s="1">
        <v>3.0436000000000001</v>
      </c>
      <c r="C279" s="5">
        <f>Tabela10[[#This Row],[Alongamento (mm/mm)]]/$I$2</f>
        <v>6.0872000000000002E-2</v>
      </c>
      <c r="D279" s="1">
        <v>130.47</v>
      </c>
      <c r="E279" s="5">
        <f>Tabela10[[#This Row],[Força (N)]]/$I$5</f>
        <v>4158737.7480277317</v>
      </c>
      <c r="F279" s="5">
        <f>Tabela10[[#This Row],[Tensão (Pa)]]/1000000</f>
        <v>4.1587377480277317</v>
      </c>
    </row>
    <row r="280" spans="1:6" x14ac:dyDescent="0.3">
      <c r="A280" s="1">
        <v>36.683</v>
      </c>
      <c r="B280" s="1">
        <v>3.0491999999999999</v>
      </c>
      <c r="C280" s="5">
        <f>Tabela10[[#This Row],[Alongamento (mm/mm)]]/$I$2</f>
        <v>6.0983999999999997E-2</v>
      </c>
      <c r="D280" s="1">
        <v>131.15</v>
      </c>
      <c r="E280" s="5">
        <f>Tabela10[[#This Row],[Força (N)]]/$I$5</f>
        <v>4180412.7818949721</v>
      </c>
      <c r="F280" s="5">
        <f>Tabela10[[#This Row],[Tensão (Pa)]]/1000000</f>
        <v>4.1804127818949723</v>
      </c>
    </row>
    <row r="281" spans="1:6" x14ac:dyDescent="0.3">
      <c r="A281" s="1">
        <v>36.767000000000003</v>
      </c>
      <c r="B281" s="1">
        <v>3.0560999999999998</v>
      </c>
      <c r="C281" s="5">
        <f>Tabela10[[#This Row],[Alongamento (mm/mm)]]/$I$2</f>
        <v>6.1121999999999996E-2</v>
      </c>
      <c r="D281" s="1">
        <v>132.34</v>
      </c>
      <c r="E281" s="5">
        <f>Tabela10[[#This Row],[Força (N)]]/$I$5</f>
        <v>4218344.0911626425</v>
      </c>
      <c r="F281" s="5">
        <f>Tabela10[[#This Row],[Tensão (Pa)]]/1000000</f>
        <v>4.2183440911626429</v>
      </c>
    </row>
    <row r="282" spans="1:6" x14ac:dyDescent="0.3">
      <c r="A282" s="1">
        <v>36.85</v>
      </c>
      <c r="B282" s="1">
        <v>3.0630999999999999</v>
      </c>
      <c r="C282" s="5">
        <f>Tabela10[[#This Row],[Alongamento (mm/mm)]]/$I$2</f>
        <v>6.1261999999999997E-2</v>
      </c>
      <c r="D282" s="1">
        <v>133.36000000000001</v>
      </c>
      <c r="E282" s="5">
        <f>Tabela10[[#This Row],[Força (N)]]/$I$5</f>
        <v>4250856.6419635033</v>
      </c>
      <c r="F282" s="5">
        <f>Tabela10[[#This Row],[Tensão (Pa)]]/1000000</f>
        <v>4.2508566419635034</v>
      </c>
    </row>
    <row r="283" spans="1:6" x14ac:dyDescent="0.3">
      <c r="A283" s="1">
        <v>36.933</v>
      </c>
      <c r="B283" s="1">
        <v>3.07</v>
      </c>
      <c r="C283" s="5">
        <f>Tabela10[[#This Row],[Alongamento (mm/mm)]]/$I$2</f>
        <v>6.1399999999999996E-2</v>
      </c>
      <c r="D283" s="1">
        <v>134.38</v>
      </c>
      <c r="E283" s="5">
        <f>Tabela10[[#This Row],[Força (N)]]/$I$5</f>
        <v>4283369.1927643642</v>
      </c>
      <c r="F283" s="5">
        <f>Tabela10[[#This Row],[Tensão (Pa)]]/1000000</f>
        <v>4.283369192764364</v>
      </c>
    </row>
    <row r="284" spans="1:6" x14ac:dyDescent="0.3">
      <c r="A284" s="1">
        <v>37.017000000000003</v>
      </c>
      <c r="B284" s="1">
        <v>3.0771000000000002</v>
      </c>
      <c r="C284" s="5">
        <f>Tabela10[[#This Row],[Alongamento (mm/mm)]]/$I$2</f>
        <v>6.1542000000000006E-2</v>
      </c>
      <c r="D284" s="1">
        <v>135.4</v>
      </c>
      <c r="E284" s="5">
        <f>Tabela10[[#This Row],[Força (N)]]/$I$5</f>
        <v>4315881.743565225</v>
      </c>
      <c r="F284" s="5">
        <f>Tabela10[[#This Row],[Tensão (Pa)]]/1000000</f>
        <v>4.3158817435652255</v>
      </c>
    </row>
    <row r="285" spans="1:6" x14ac:dyDescent="0.3">
      <c r="A285" s="1">
        <v>37.1</v>
      </c>
      <c r="B285" s="1">
        <v>3.0840000000000001</v>
      </c>
      <c r="C285" s="5">
        <f>Tabela10[[#This Row],[Alongamento (mm/mm)]]/$I$2</f>
        <v>6.1679999999999999E-2</v>
      </c>
      <c r="D285" s="1">
        <v>136.59</v>
      </c>
      <c r="E285" s="5">
        <f>Tabela10[[#This Row],[Força (N)]]/$I$5</f>
        <v>4353813.052832895</v>
      </c>
      <c r="F285" s="5">
        <f>Tabela10[[#This Row],[Tensão (Pa)]]/1000000</f>
        <v>4.3538130528328951</v>
      </c>
    </row>
    <row r="286" spans="1:6" x14ac:dyDescent="0.3">
      <c r="A286" s="1">
        <v>37.183</v>
      </c>
      <c r="B286" s="1">
        <v>3.0909</v>
      </c>
      <c r="C286" s="5">
        <f>Tabela10[[#This Row],[Alongamento (mm/mm)]]/$I$2</f>
        <v>6.1817999999999998E-2</v>
      </c>
      <c r="D286" s="1">
        <v>137.61000000000001</v>
      </c>
      <c r="E286" s="5">
        <f>Tabela10[[#This Row],[Força (N)]]/$I$5</f>
        <v>4386325.6036337567</v>
      </c>
      <c r="F286" s="5">
        <f>Tabela10[[#This Row],[Tensão (Pa)]]/1000000</f>
        <v>4.3863256036337566</v>
      </c>
    </row>
    <row r="287" spans="1:6" x14ac:dyDescent="0.3">
      <c r="A287" s="1">
        <v>37.25</v>
      </c>
      <c r="B287" s="1">
        <v>3.0964</v>
      </c>
      <c r="C287" s="5">
        <f>Tabela10[[#This Row],[Alongamento (mm/mm)]]/$I$2</f>
        <v>6.1928000000000004E-2</v>
      </c>
      <c r="D287" s="1">
        <v>138.63</v>
      </c>
      <c r="E287" s="5">
        <f>Tabela10[[#This Row],[Força (N)]]/$I$5</f>
        <v>4418838.1544346167</v>
      </c>
      <c r="F287" s="5">
        <f>Tabela10[[#This Row],[Tensão (Pa)]]/1000000</f>
        <v>4.4188381544346162</v>
      </c>
    </row>
    <row r="288" spans="1:6" x14ac:dyDescent="0.3">
      <c r="A288" s="1">
        <v>37.332999999999998</v>
      </c>
      <c r="B288" s="1">
        <v>3.1034000000000002</v>
      </c>
      <c r="C288" s="5">
        <f>Tabela10[[#This Row],[Alongamento (mm/mm)]]/$I$2</f>
        <v>6.2068000000000005E-2</v>
      </c>
      <c r="D288" s="1">
        <v>139.82</v>
      </c>
      <c r="E288" s="5">
        <f>Tabela10[[#This Row],[Força (N)]]/$I$5</f>
        <v>4456769.4637022875</v>
      </c>
      <c r="F288" s="5">
        <f>Tabela10[[#This Row],[Tensão (Pa)]]/1000000</f>
        <v>4.4567694637022877</v>
      </c>
    </row>
    <row r="289" spans="1:6" x14ac:dyDescent="0.3">
      <c r="A289" s="1">
        <v>37.417000000000002</v>
      </c>
      <c r="B289" s="1">
        <v>3.1103999999999998</v>
      </c>
      <c r="C289" s="5">
        <f>Tabela10[[#This Row],[Alongamento (mm/mm)]]/$I$2</f>
        <v>6.2207999999999999E-2</v>
      </c>
      <c r="D289" s="1">
        <v>140.84</v>
      </c>
      <c r="E289" s="5">
        <f>Tabela10[[#This Row],[Força (N)]]/$I$5</f>
        <v>4489282.0145031484</v>
      </c>
      <c r="F289" s="5">
        <f>Tabela10[[#This Row],[Tensão (Pa)]]/1000000</f>
        <v>4.4892820145031482</v>
      </c>
    </row>
    <row r="290" spans="1:6" x14ac:dyDescent="0.3">
      <c r="A290" s="1">
        <v>37.482999999999997</v>
      </c>
      <c r="B290" s="1">
        <v>3.1158999999999999</v>
      </c>
      <c r="C290" s="5">
        <f>Tabela10[[#This Row],[Alongamento (mm/mm)]]/$I$2</f>
        <v>6.2317999999999998E-2</v>
      </c>
      <c r="D290" s="1">
        <v>141.86000000000001</v>
      </c>
      <c r="E290" s="5">
        <f>Tabela10[[#This Row],[Força (N)]]/$I$5</f>
        <v>4521794.5653040092</v>
      </c>
      <c r="F290" s="5">
        <f>Tabela10[[#This Row],[Tensão (Pa)]]/1000000</f>
        <v>4.5217945653040088</v>
      </c>
    </row>
    <row r="291" spans="1:6" x14ac:dyDescent="0.3">
      <c r="A291" s="1">
        <v>37.549999999999997</v>
      </c>
      <c r="B291" s="1">
        <v>3.1214</v>
      </c>
      <c r="C291" s="5">
        <f>Tabela10[[#This Row],[Alongamento (mm/mm)]]/$I$2</f>
        <v>6.2427999999999997E-2</v>
      </c>
      <c r="D291" s="1">
        <v>142.88</v>
      </c>
      <c r="E291" s="5">
        <f>Tabela10[[#This Row],[Força (N)]]/$I$5</f>
        <v>4554307.1161048692</v>
      </c>
      <c r="F291" s="5">
        <f>Tabela10[[#This Row],[Tensão (Pa)]]/1000000</f>
        <v>4.5543071161048694</v>
      </c>
    </row>
    <row r="292" spans="1:6" x14ac:dyDescent="0.3">
      <c r="A292" s="1">
        <v>37.633000000000003</v>
      </c>
      <c r="B292" s="1">
        <v>3.1284000000000001</v>
      </c>
      <c r="C292" s="5">
        <f>Tabela10[[#This Row],[Alongamento (mm/mm)]]/$I$2</f>
        <v>6.2567999999999999E-2</v>
      </c>
      <c r="D292" s="1">
        <v>144.07</v>
      </c>
      <c r="E292" s="5">
        <f>Tabela10[[#This Row],[Força (N)]]/$I$5</f>
        <v>4592238.42537254</v>
      </c>
      <c r="F292" s="5">
        <f>Tabela10[[#This Row],[Tensão (Pa)]]/1000000</f>
        <v>4.5922384253725399</v>
      </c>
    </row>
    <row r="293" spans="1:6" x14ac:dyDescent="0.3">
      <c r="A293" s="1">
        <v>37.716999999999999</v>
      </c>
      <c r="B293" s="1">
        <v>3.1354000000000002</v>
      </c>
      <c r="C293" s="5">
        <f>Tabela10[[#This Row],[Alongamento (mm/mm)]]/$I$2</f>
        <v>6.2708E-2</v>
      </c>
      <c r="D293" s="1">
        <v>145.26</v>
      </c>
      <c r="E293" s="5">
        <f>Tabela10[[#This Row],[Força (N)]]/$I$5</f>
        <v>4630169.7346402099</v>
      </c>
      <c r="F293" s="5">
        <f>Tabela10[[#This Row],[Tensão (Pa)]]/1000000</f>
        <v>4.6301697346402095</v>
      </c>
    </row>
    <row r="294" spans="1:6" x14ac:dyDescent="0.3">
      <c r="A294" s="1">
        <v>37.799999999999997</v>
      </c>
      <c r="B294" s="1">
        <v>3.1423000000000001</v>
      </c>
      <c r="C294" s="5">
        <f>Tabela10[[#This Row],[Alongamento (mm/mm)]]/$I$2</f>
        <v>6.2845999999999999E-2</v>
      </c>
      <c r="D294" s="1">
        <v>146.46</v>
      </c>
      <c r="E294" s="5">
        <f>Tabela10[[#This Row],[Força (N)]]/$I$5</f>
        <v>4668419.7944059297</v>
      </c>
      <c r="F294" s="5">
        <f>Tabela10[[#This Row],[Tensão (Pa)]]/1000000</f>
        <v>4.6684197944059296</v>
      </c>
    </row>
    <row r="295" spans="1:6" x14ac:dyDescent="0.3">
      <c r="A295" s="1">
        <v>37.866999999999997</v>
      </c>
      <c r="B295" s="1">
        <v>3.1478000000000002</v>
      </c>
      <c r="C295" s="5">
        <f>Tabela10[[#This Row],[Alongamento (mm/mm)]]/$I$2</f>
        <v>6.2955999999999998E-2</v>
      </c>
      <c r="D295" s="1">
        <v>147.47999999999999</v>
      </c>
      <c r="E295" s="5">
        <f>Tabela10[[#This Row],[Força (N)]]/$I$5</f>
        <v>4700932.3452067897</v>
      </c>
      <c r="F295" s="5">
        <f>Tabela10[[#This Row],[Tensão (Pa)]]/1000000</f>
        <v>4.7009323452067893</v>
      </c>
    </row>
    <row r="296" spans="1:6" x14ac:dyDescent="0.3">
      <c r="A296" s="1">
        <v>37.933</v>
      </c>
      <c r="B296" s="1">
        <v>3.1534</v>
      </c>
      <c r="C296" s="5">
        <f>Tabela10[[#This Row],[Alongamento (mm/mm)]]/$I$2</f>
        <v>6.3067999999999999E-2</v>
      </c>
      <c r="D296" s="1">
        <v>148.5</v>
      </c>
      <c r="E296" s="5">
        <f>Tabela10[[#This Row],[Força (N)]]/$I$5</f>
        <v>4733444.8960076505</v>
      </c>
      <c r="F296" s="5">
        <f>Tabela10[[#This Row],[Tensão (Pa)]]/1000000</f>
        <v>4.7334448960076507</v>
      </c>
    </row>
    <row r="297" spans="1:6" x14ac:dyDescent="0.3">
      <c r="A297" s="1">
        <v>38</v>
      </c>
      <c r="B297" s="1">
        <v>3.1589</v>
      </c>
      <c r="C297" s="5">
        <f>Tabela10[[#This Row],[Alongamento (mm/mm)]]/$I$2</f>
        <v>6.3177999999999998E-2</v>
      </c>
      <c r="D297" s="1">
        <v>149.52000000000001</v>
      </c>
      <c r="E297" s="5">
        <f>Tabela10[[#This Row],[Força (N)]]/$I$5</f>
        <v>4765957.4468085114</v>
      </c>
      <c r="F297" s="5">
        <f>Tabela10[[#This Row],[Tensão (Pa)]]/1000000</f>
        <v>4.7659574468085113</v>
      </c>
    </row>
    <row r="298" spans="1:6" x14ac:dyDescent="0.3">
      <c r="A298" s="1">
        <v>38.067</v>
      </c>
      <c r="B298" s="1">
        <v>3.1644999999999999</v>
      </c>
      <c r="C298" s="5">
        <f>Tabela10[[#This Row],[Alongamento (mm/mm)]]/$I$2</f>
        <v>6.3289999999999999E-2</v>
      </c>
      <c r="D298" s="1">
        <v>150.54</v>
      </c>
      <c r="E298" s="5">
        <f>Tabela10[[#This Row],[Força (N)]]/$I$5</f>
        <v>4798469.9976093713</v>
      </c>
      <c r="F298" s="5">
        <f>Tabela10[[#This Row],[Tensão (Pa)]]/1000000</f>
        <v>4.798469997609371</v>
      </c>
    </row>
    <row r="299" spans="1:6" x14ac:dyDescent="0.3">
      <c r="A299" s="1">
        <v>38.15</v>
      </c>
      <c r="B299" s="1">
        <v>3.1714000000000002</v>
      </c>
      <c r="C299" s="5">
        <f>Tabela10[[#This Row],[Alongamento (mm/mm)]]/$I$2</f>
        <v>6.3427999999999998E-2</v>
      </c>
      <c r="D299" s="1">
        <v>151.72999999999999</v>
      </c>
      <c r="E299" s="5">
        <f>Tabela10[[#This Row],[Força (N)]]/$I$5</f>
        <v>4836401.3068770422</v>
      </c>
      <c r="F299" s="5">
        <f>Tabela10[[#This Row],[Tensão (Pa)]]/1000000</f>
        <v>4.8364013068770424</v>
      </c>
    </row>
    <row r="300" spans="1:6" x14ac:dyDescent="0.3">
      <c r="A300" s="1">
        <v>38.216999999999999</v>
      </c>
      <c r="B300" s="1">
        <v>3.1770999999999998</v>
      </c>
      <c r="C300" s="5">
        <f>Tabela10[[#This Row],[Alongamento (mm/mm)]]/$I$2</f>
        <v>6.3542000000000001E-2</v>
      </c>
      <c r="D300" s="1">
        <v>152.75</v>
      </c>
      <c r="E300" s="5">
        <f>Tabela10[[#This Row],[Força (N)]]/$I$5</f>
        <v>4868913.857677903</v>
      </c>
      <c r="F300" s="5">
        <f>Tabela10[[#This Row],[Tensão (Pa)]]/1000000</f>
        <v>4.868913857677903</v>
      </c>
    </row>
    <row r="301" spans="1:6" x14ac:dyDescent="0.3">
      <c r="A301" s="1">
        <v>38.283000000000001</v>
      </c>
      <c r="B301" s="1">
        <v>3.1825999999999999</v>
      </c>
      <c r="C301" s="5">
        <f>Tabela10[[#This Row],[Alongamento (mm/mm)]]/$I$2</f>
        <v>6.3652E-2</v>
      </c>
      <c r="D301" s="1">
        <v>153.77000000000001</v>
      </c>
      <c r="E301" s="5">
        <f>Tabela10[[#This Row],[Força (N)]]/$I$5</f>
        <v>4901426.4084787639</v>
      </c>
      <c r="F301" s="5">
        <f>Tabela10[[#This Row],[Tensão (Pa)]]/1000000</f>
        <v>4.9014264084787635</v>
      </c>
    </row>
    <row r="302" spans="1:6" x14ac:dyDescent="0.3">
      <c r="A302" s="1">
        <v>38.35</v>
      </c>
      <c r="B302" s="1">
        <v>3.1882000000000001</v>
      </c>
      <c r="C302" s="5">
        <f>Tabela10[[#This Row],[Alongamento (mm/mm)]]/$I$2</f>
        <v>6.3764000000000001E-2</v>
      </c>
      <c r="D302" s="1">
        <v>154.96</v>
      </c>
      <c r="E302" s="5">
        <f>Tabela10[[#This Row],[Força (N)]]/$I$5</f>
        <v>4939357.7177464347</v>
      </c>
      <c r="F302" s="5">
        <f>Tabela10[[#This Row],[Tensão (Pa)]]/1000000</f>
        <v>4.939357717746435</v>
      </c>
    </row>
    <row r="303" spans="1:6" x14ac:dyDescent="0.3">
      <c r="A303" s="1">
        <v>38.417000000000002</v>
      </c>
      <c r="B303" s="1">
        <v>3.1937000000000002</v>
      </c>
      <c r="C303" s="5">
        <f>Tabela10[[#This Row],[Alongamento (mm/mm)]]/$I$2</f>
        <v>6.3874E-2</v>
      </c>
      <c r="D303" s="1">
        <v>155.97999999999999</v>
      </c>
      <c r="E303" s="5">
        <f>Tabela10[[#This Row],[Força (N)]]/$I$5</f>
        <v>4971870.2685472947</v>
      </c>
      <c r="F303" s="5">
        <f>Tabela10[[#This Row],[Tensão (Pa)]]/1000000</f>
        <v>4.9718702685472946</v>
      </c>
    </row>
    <row r="304" spans="1:6" x14ac:dyDescent="0.3">
      <c r="A304" s="1">
        <v>38.482999999999997</v>
      </c>
      <c r="B304" s="1">
        <v>3.1991999999999998</v>
      </c>
      <c r="C304" s="5">
        <f>Tabela10[[#This Row],[Alongamento (mm/mm)]]/$I$2</f>
        <v>6.3983999999999999E-2</v>
      </c>
      <c r="D304" s="1">
        <v>157</v>
      </c>
      <c r="E304" s="5">
        <f>Tabela10[[#This Row],[Força (N)]]/$I$5</f>
        <v>5004382.8193481555</v>
      </c>
      <c r="F304" s="5">
        <f>Tabela10[[#This Row],[Tensão (Pa)]]/1000000</f>
        <v>5.0043828193481552</v>
      </c>
    </row>
    <row r="305" spans="1:6" x14ac:dyDescent="0.3">
      <c r="A305" s="1">
        <v>38.549999999999997</v>
      </c>
      <c r="B305" s="1">
        <v>3.2048000000000001</v>
      </c>
      <c r="C305" s="5">
        <f>Tabela10[[#This Row],[Alongamento (mm/mm)]]/$I$2</f>
        <v>6.4096E-2</v>
      </c>
      <c r="D305" s="1">
        <v>158.02000000000001</v>
      </c>
      <c r="E305" s="5">
        <f>Tabela10[[#This Row],[Força (N)]]/$I$5</f>
        <v>5036895.3701490164</v>
      </c>
      <c r="F305" s="5">
        <f>Tabela10[[#This Row],[Tensão (Pa)]]/1000000</f>
        <v>5.0368953701490167</v>
      </c>
    </row>
    <row r="306" spans="1:6" x14ac:dyDescent="0.3">
      <c r="A306" s="1">
        <v>38.616999999999997</v>
      </c>
      <c r="B306" s="1">
        <v>3.2103000000000002</v>
      </c>
      <c r="C306" s="5">
        <f>Tabela10[[#This Row],[Alongamento (mm/mm)]]/$I$2</f>
        <v>6.4205999999999999E-2</v>
      </c>
      <c r="D306" s="1">
        <v>159.04</v>
      </c>
      <c r="E306" s="5">
        <f>Tabela10[[#This Row],[Força (N)]]/$I$5</f>
        <v>5069407.9209498763</v>
      </c>
      <c r="F306" s="5">
        <f>Tabela10[[#This Row],[Tensão (Pa)]]/1000000</f>
        <v>5.0694079209498764</v>
      </c>
    </row>
    <row r="307" spans="1:6" x14ac:dyDescent="0.3">
      <c r="A307" s="1">
        <v>38.683</v>
      </c>
      <c r="B307" s="1">
        <v>3.2159</v>
      </c>
      <c r="C307" s="5">
        <f>Tabela10[[#This Row],[Alongamento (mm/mm)]]/$I$2</f>
        <v>6.4318E-2</v>
      </c>
      <c r="D307" s="1">
        <v>160.06</v>
      </c>
      <c r="E307" s="5">
        <f>Tabela10[[#This Row],[Força (N)]]/$I$5</f>
        <v>5101920.4717507372</v>
      </c>
      <c r="F307" s="5">
        <f>Tabela10[[#This Row],[Tensão (Pa)]]/1000000</f>
        <v>5.1019204717507369</v>
      </c>
    </row>
    <row r="308" spans="1:6" x14ac:dyDescent="0.3">
      <c r="A308" s="1">
        <v>38.75</v>
      </c>
      <c r="B308" s="1">
        <v>3.2214999999999998</v>
      </c>
      <c r="C308" s="5">
        <f>Tabela10[[#This Row],[Alongamento (mm/mm)]]/$I$2</f>
        <v>6.4430000000000001E-2</v>
      </c>
      <c r="D308" s="1">
        <v>161.08000000000001</v>
      </c>
      <c r="E308" s="5">
        <f>Tabela10[[#This Row],[Força (N)]]/$I$5</f>
        <v>5134433.022551598</v>
      </c>
      <c r="F308" s="5">
        <f>Tabela10[[#This Row],[Tensão (Pa)]]/1000000</f>
        <v>5.1344330225515984</v>
      </c>
    </row>
    <row r="309" spans="1:6" x14ac:dyDescent="0.3">
      <c r="A309" s="1">
        <v>38.817</v>
      </c>
      <c r="B309" s="1">
        <v>3.2269999999999999</v>
      </c>
      <c r="C309" s="5">
        <f>Tabela10[[#This Row],[Alongamento (mm/mm)]]/$I$2</f>
        <v>6.454E-2</v>
      </c>
      <c r="D309" s="1">
        <v>162.1</v>
      </c>
      <c r="E309" s="5">
        <f>Tabela10[[#This Row],[Força (N)]]/$I$5</f>
        <v>5166945.5733524589</v>
      </c>
      <c r="F309" s="5">
        <f>Tabela10[[#This Row],[Tensão (Pa)]]/1000000</f>
        <v>5.166945573352459</v>
      </c>
    </row>
    <row r="310" spans="1:6" x14ac:dyDescent="0.3">
      <c r="A310" s="1">
        <v>38.883000000000003</v>
      </c>
      <c r="B310" s="1">
        <v>3.2326000000000001</v>
      </c>
      <c r="C310" s="5">
        <f>Tabela10[[#This Row],[Alongamento (mm/mm)]]/$I$2</f>
        <v>6.4652000000000001E-2</v>
      </c>
      <c r="D310" s="1">
        <v>163.12</v>
      </c>
      <c r="E310" s="5">
        <f>Tabela10[[#This Row],[Força (N)]]/$I$5</f>
        <v>5199458.1241533197</v>
      </c>
      <c r="F310" s="5">
        <f>Tabela10[[#This Row],[Tensão (Pa)]]/1000000</f>
        <v>5.1994581241533195</v>
      </c>
    </row>
    <row r="311" spans="1:6" x14ac:dyDescent="0.3">
      <c r="A311" s="1">
        <v>38.950000000000003</v>
      </c>
      <c r="B311" s="1">
        <v>3.2381000000000002</v>
      </c>
      <c r="C311" s="5">
        <f>Tabela10[[#This Row],[Alongamento (mm/mm)]]/$I$2</f>
        <v>6.4762E-2</v>
      </c>
      <c r="D311" s="1">
        <v>164.32</v>
      </c>
      <c r="E311" s="5">
        <f>Tabela10[[#This Row],[Força (N)]]/$I$5</f>
        <v>5237708.1839190377</v>
      </c>
      <c r="F311" s="5">
        <f>Tabela10[[#This Row],[Tensão (Pa)]]/1000000</f>
        <v>5.2377081839190378</v>
      </c>
    </row>
    <row r="312" spans="1:6" x14ac:dyDescent="0.3">
      <c r="A312" s="1">
        <v>39.017000000000003</v>
      </c>
      <c r="B312" s="1">
        <v>3.2437</v>
      </c>
      <c r="C312" s="5">
        <f>Tabela10[[#This Row],[Alongamento (mm/mm)]]/$I$2</f>
        <v>6.4874000000000001E-2</v>
      </c>
      <c r="D312" s="1">
        <v>165.34</v>
      </c>
      <c r="E312" s="5">
        <f>Tabela10[[#This Row],[Força (N)]]/$I$5</f>
        <v>5270220.7347198986</v>
      </c>
      <c r="F312" s="5">
        <f>Tabela10[[#This Row],[Tensão (Pa)]]/1000000</f>
        <v>5.2702207347198984</v>
      </c>
    </row>
    <row r="313" spans="1:6" x14ac:dyDescent="0.3">
      <c r="A313" s="1">
        <v>39.082999999999998</v>
      </c>
      <c r="B313" s="1">
        <v>3.2492999999999999</v>
      </c>
      <c r="C313" s="5">
        <f>Tabela10[[#This Row],[Alongamento (mm/mm)]]/$I$2</f>
        <v>6.4986000000000002E-2</v>
      </c>
      <c r="D313" s="1">
        <v>166.53</v>
      </c>
      <c r="E313" s="5">
        <f>Tabela10[[#This Row],[Força (N)]]/$I$5</f>
        <v>5308152.0439875694</v>
      </c>
      <c r="F313" s="5">
        <f>Tabela10[[#This Row],[Tensão (Pa)]]/1000000</f>
        <v>5.3081520439875698</v>
      </c>
    </row>
    <row r="314" spans="1:6" x14ac:dyDescent="0.3">
      <c r="A314" s="1">
        <v>39.15</v>
      </c>
      <c r="B314" s="1">
        <v>3.2547999999999999</v>
      </c>
      <c r="C314" s="5">
        <f>Tabela10[[#This Row],[Alongamento (mm/mm)]]/$I$2</f>
        <v>6.5096000000000001E-2</v>
      </c>
      <c r="D314" s="1">
        <v>167.55</v>
      </c>
      <c r="E314" s="5">
        <f>Tabela10[[#This Row],[Força (N)]]/$I$5</f>
        <v>5340664.5947884303</v>
      </c>
      <c r="F314" s="5">
        <f>Tabela10[[#This Row],[Tensão (Pa)]]/1000000</f>
        <v>5.3406645947884304</v>
      </c>
    </row>
    <row r="315" spans="1:6" x14ac:dyDescent="0.3">
      <c r="A315" s="1">
        <v>39.216999999999999</v>
      </c>
      <c r="B315" s="1">
        <v>3.2604000000000002</v>
      </c>
      <c r="C315" s="5">
        <f>Tabela10[[#This Row],[Alongamento (mm/mm)]]/$I$2</f>
        <v>6.5208000000000002E-2</v>
      </c>
      <c r="D315" s="1">
        <v>168.74</v>
      </c>
      <c r="E315" s="5">
        <f>Tabela10[[#This Row],[Força (N)]]/$I$5</f>
        <v>5378595.9040561011</v>
      </c>
      <c r="F315" s="5">
        <f>Tabela10[[#This Row],[Tensão (Pa)]]/1000000</f>
        <v>5.3785959040561009</v>
      </c>
    </row>
    <row r="316" spans="1:6" x14ac:dyDescent="0.3">
      <c r="A316" s="1">
        <v>39.283000000000001</v>
      </c>
      <c r="B316" s="1">
        <v>3.2658999999999998</v>
      </c>
      <c r="C316" s="5">
        <f>Tabela10[[#This Row],[Alongamento (mm/mm)]]/$I$2</f>
        <v>6.5318000000000001E-2</v>
      </c>
      <c r="D316" s="1">
        <v>169.76</v>
      </c>
      <c r="E316" s="5">
        <f>Tabela10[[#This Row],[Força (N)]]/$I$5</f>
        <v>5411108.454856961</v>
      </c>
      <c r="F316" s="5">
        <f>Tabela10[[#This Row],[Tensão (Pa)]]/1000000</f>
        <v>5.4111084548569615</v>
      </c>
    </row>
    <row r="317" spans="1:6" x14ac:dyDescent="0.3">
      <c r="A317" s="1">
        <v>39.332999999999998</v>
      </c>
      <c r="B317" s="1">
        <v>3.2700999999999998</v>
      </c>
      <c r="C317" s="5">
        <f>Tabela10[[#This Row],[Alongamento (mm/mm)]]/$I$2</f>
        <v>6.5402000000000002E-2</v>
      </c>
      <c r="D317" s="1">
        <v>170.78</v>
      </c>
      <c r="E317" s="5">
        <f>Tabela10[[#This Row],[Força (N)]]/$I$5</f>
        <v>5443621.0056578219</v>
      </c>
      <c r="F317" s="5">
        <f>Tabela10[[#This Row],[Tensão (Pa)]]/1000000</f>
        <v>5.443621005657822</v>
      </c>
    </row>
    <row r="318" spans="1:6" x14ac:dyDescent="0.3">
      <c r="A318" s="1">
        <v>39.4</v>
      </c>
      <c r="B318" s="1">
        <v>3.2755999999999998</v>
      </c>
      <c r="C318" s="5">
        <f>Tabela10[[#This Row],[Alongamento (mm/mm)]]/$I$2</f>
        <v>6.5512000000000001E-2</v>
      </c>
      <c r="D318" s="1">
        <v>171.97</v>
      </c>
      <c r="E318" s="5">
        <f>Tabela10[[#This Row],[Força (N)]]/$I$5</f>
        <v>5481552.3149254927</v>
      </c>
      <c r="F318" s="5">
        <f>Tabela10[[#This Row],[Tensão (Pa)]]/1000000</f>
        <v>5.4815523149254926</v>
      </c>
    </row>
    <row r="319" spans="1:6" x14ac:dyDescent="0.3">
      <c r="A319" s="1">
        <v>39.466999999999999</v>
      </c>
      <c r="B319" s="1">
        <v>3.2812000000000001</v>
      </c>
      <c r="C319" s="5">
        <f>Tabela10[[#This Row],[Alongamento (mm/mm)]]/$I$2</f>
        <v>6.5624000000000002E-2</v>
      </c>
      <c r="D319" s="1">
        <v>172.99</v>
      </c>
      <c r="E319" s="5">
        <f>Tabela10[[#This Row],[Força (N)]]/$I$5</f>
        <v>5514064.8657263536</v>
      </c>
      <c r="F319" s="5">
        <f>Tabela10[[#This Row],[Tensão (Pa)]]/1000000</f>
        <v>5.514064865726354</v>
      </c>
    </row>
    <row r="320" spans="1:6" x14ac:dyDescent="0.3">
      <c r="A320" s="1">
        <v>39.517000000000003</v>
      </c>
      <c r="B320" s="1">
        <v>3.2854000000000001</v>
      </c>
      <c r="C320" s="5">
        <f>Tabela10[[#This Row],[Alongamento (mm/mm)]]/$I$2</f>
        <v>6.5708000000000003E-2</v>
      </c>
      <c r="D320" s="1">
        <v>174.01</v>
      </c>
      <c r="E320" s="5">
        <f>Tabela10[[#This Row],[Força (N)]]/$I$5</f>
        <v>5546577.4165272135</v>
      </c>
      <c r="F320" s="5">
        <f>Tabela10[[#This Row],[Tensão (Pa)]]/1000000</f>
        <v>5.5465774165272137</v>
      </c>
    </row>
    <row r="321" spans="1:6" x14ac:dyDescent="0.3">
      <c r="A321" s="1">
        <v>39.582999999999998</v>
      </c>
      <c r="B321" s="1">
        <v>3.2909000000000002</v>
      </c>
      <c r="C321" s="5">
        <f>Tabela10[[#This Row],[Alongamento (mm/mm)]]/$I$2</f>
        <v>6.5818000000000002E-2</v>
      </c>
      <c r="D321" s="1">
        <v>175.2</v>
      </c>
      <c r="E321" s="5">
        <f>Tabela10[[#This Row],[Força (N)]]/$I$5</f>
        <v>5584508.7257948844</v>
      </c>
      <c r="F321" s="5">
        <f>Tabela10[[#This Row],[Tensão (Pa)]]/1000000</f>
        <v>5.5845087257948842</v>
      </c>
    </row>
    <row r="322" spans="1:6" x14ac:dyDescent="0.3">
      <c r="A322" s="1">
        <v>39.667000000000002</v>
      </c>
      <c r="B322" s="1">
        <v>3.2978999999999998</v>
      </c>
      <c r="C322" s="5">
        <f>Tabela10[[#This Row],[Alongamento (mm/mm)]]/$I$2</f>
        <v>6.5958000000000003E-2</v>
      </c>
      <c r="D322" s="1">
        <v>176.73</v>
      </c>
      <c r="E322" s="5">
        <f>Tabela10[[#This Row],[Força (N)]]/$I$5</f>
        <v>5633277.5519961752</v>
      </c>
      <c r="F322" s="5">
        <f>Tabela10[[#This Row],[Tensão (Pa)]]/1000000</f>
        <v>5.6332775519961755</v>
      </c>
    </row>
    <row r="323" spans="1:6" x14ac:dyDescent="0.3">
      <c r="A323" s="1">
        <v>39.75</v>
      </c>
      <c r="B323" s="1">
        <v>3.3048999999999999</v>
      </c>
      <c r="C323" s="5">
        <f>Tabela10[[#This Row],[Alongamento (mm/mm)]]/$I$2</f>
        <v>6.6098000000000004E-2</v>
      </c>
      <c r="D323" s="1">
        <v>178.26</v>
      </c>
      <c r="E323" s="5">
        <f>Tabela10[[#This Row],[Força (N)]]/$I$5</f>
        <v>5682046.378197466</v>
      </c>
      <c r="F323" s="5">
        <f>Tabela10[[#This Row],[Tensão (Pa)]]/1000000</f>
        <v>5.6820463781974659</v>
      </c>
    </row>
    <row r="324" spans="1:6" x14ac:dyDescent="0.3">
      <c r="A324" s="1">
        <v>39.832999999999998</v>
      </c>
      <c r="B324" s="1">
        <v>3.3117000000000001</v>
      </c>
      <c r="C324" s="5">
        <f>Tabela10[[#This Row],[Alongamento (mm/mm)]]/$I$2</f>
        <v>6.6234000000000001E-2</v>
      </c>
      <c r="D324" s="1">
        <v>179.62</v>
      </c>
      <c r="E324" s="5">
        <f>Tabela10[[#This Row],[Força (N)]]/$I$5</f>
        <v>5725396.4459319469</v>
      </c>
      <c r="F324" s="5">
        <f>Tabela10[[#This Row],[Tensão (Pa)]]/1000000</f>
        <v>5.7253964459319473</v>
      </c>
    </row>
    <row r="325" spans="1:6" x14ac:dyDescent="0.3">
      <c r="A325" s="1">
        <v>39.9</v>
      </c>
      <c r="B325" s="1">
        <v>3.3172999999999999</v>
      </c>
      <c r="C325" s="5">
        <f>Tabela10[[#This Row],[Alongamento (mm/mm)]]/$I$2</f>
        <v>6.6346000000000002E-2</v>
      </c>
      <c r="D325" s="1">
        <v>180.99</v>
      </c>
      <c r="E325" s="5">
        <f>Tabela10[[#This Row],[Força (N)]]/$I$5</f>
        <v>5769065.2641644757</v>
      </c>
      <c r="F325" s="5">
        <f>Tabela10[[#This Row],[Tensão (Pa)]]/1000000</f>
        <v>5.7690652641644755</v>
      </c>
    </row>
    <row r="326" spans="1:6" x14ac:dyDescent="0.3">
      <c r="A326" s="1">
        <v>39.982999999999997</v>
      </c>
      <c r="B326" s="1">
        <v>3.3241999999999998</v>
      </c>
      <c r="C326" s="5">
        <f>Tabela10[[#This Row],[Alongamento (mm/mm)]]/$I$2</f>
        <v>6.6484000000000001E-2</v>
      </c>
      <c r="D326" s="1">
        <v>182.52</v>
      </c>
      <c r="E326" s="5">
        <f>Tabela10[[#This Row],[Força (N)]]/$I$5</f>
        <v>5817834.0903657665</v>
      </c>
      <c r="F326" s="5">
        <f>Tabela10[[#This Row],[Tensão (Pa)]]/1000000</f>
        <v>5.8178340903657668</v>
      </c>
    </row>
    <row r="327" spans="1:6" x14ac:dyDescent="0.3">
      <c r="A327" s="1">
        <v>40.067</v>
      </c>
      <c r="B327" s="1">
        <v>3.3311999999999999</v>
      </c>
      <c r="C327" s="5">
        <f>Tabela10[[#This Row],[Alongamento (mm/mm)]]/$I$2</f>
        <v>6.6624000000000003E-2</v>
      </c>
      <c r="D327" s="1">
        <v>184.05</v>
      </c>
      <c r="E327" s="5">
        <f>Tabela10[[#This Row],[Força (N)]]/$I$5</f>
        <v>5866602.9165670574</v>
      </c>
      <c r="F327" s="5">
        <f>Tabela10[[#This Row],[Tensão (Pa)]]/1000000</f>
        <v>5.8666029165670572</v>
      </c>
    </row>
    <row r="328" spans="1:6" x14ac:dyDescent="0.3">
      <c r="A328" s="1">
        <v>40.15</v>
      </c>
      <c r="B328" s="1">
        <v>3.3382000000000001</v>
      </c>
      <c r="C328" s="5">
        <f>Tabela10[[#This Row],[Alongamento (mm/mm)]]/$I$2</f>
        <v>6.6764000000000004E-2</v>
      </c>
      <c r="D328" s="1">
        <v>185.58</v>
      </c>
      <c r="E328" s="5">
        <f>Tabela10[[#This Row],[Força (N)]]/$I$5</f>
        <v>5915371.7427683491</v>
      </c>
      <c r="F328" s="5">
        <f>Tabela10[[#This Row],[Tensão (Pa)]]/1000000</f>
        <v>5.9153717427683494</v>
      </c>
    </row>
    <row r="329" spans="1:6" x14ac:dyDescent="0.3">
      <c r="A329" s="1">
        <v>40.232999999999997</v>
      </c>
      <c r="B329" s="1">
        <v>3.3451</v>
      </c>
      <c r="C329" s="5">
        <f>Tabela10[[#This Row],[Alongamento (mm/mm)]]/$I$2</f>
        <v>6.6902000000000003E-2</v>
      </c>
      <c r="D329" s="1">
        <v>187.11</v>
      </c>
      <c r="E329" s="5">
        <f>Tabela10[[#This Row],[Força (N)]]/$I$5</f>
        <v>5964140.5689696399</v>
      </c>
      <c r="F329" s="5">
        <f>Tabela10[[#This Row],[Tensão (Pa)]]/1000000</f>
        <v>5.9641405689696398</v>
      </c>
    </row>
    <row r="330" spans="1:6" x14ac:dyDescent="0.3">
      <c r="A330" s="1">
        <v>40.299999999999997</v>
      </c>
      <c r="B330" s="1">
        <v>3.3506</v>
      </c>
      <c r="C330" s="5">
        <f>Tabela10[[#This Row],[Alongamento (mm/mm)]]/$I$2</f>
        <v>6.7012000000000002E-2</v>
      </c>
      <c r="D330" s="1">
        <v>188.47</v>
      </c>
      <c r="E330" s="5">
        <f>Tabela10[[#This Row],[Força (N)]]/$I$5</f>
        <v>6007490.6367041199</v>
      </c>
      <c r="F330" s="5">
        <f>Tabela10[[#This Row],[Tensão (Pa)]]/1000000</f>
        <v>6.0074906367041194</v>
      </c>
    </row>
    <row r="331" spans="1:6" x14ac:dyDescent="0.3">
      <c r="A331" s="1">
        <v>40.366999999999997</v>
      </c>
      <c r="B331" s="1">
        <v>3.3561000000000001</v>
      </c>
      <c r="C331" s="5">
        <f>Tabela10[[#This Row],[Alongamento (mm/mm)]]/$I$2</f>
        <v>6.7122000000000001E-2</v>
      </c>
      <c r="D331" s="1">
        <v>189.83</v>
      </c>
      <c r="E331" s="5">
        <f>Tabela10[[#This Row],[Força (N)]]/$I$5</f>
        <v>6050840.7044386016</v>
      </c>
      <c r="F331" s="5">
        <f>Tabela10[[#This Row],[Tensão (Pa)]]/1000000</f>
        <v>6.0508407044386017</v>
      </c>
    </row>
    <row r="332" spans="1:6" x14ac:dyDescent="0.3">
      <c r="A332" s="1">
        <v>40.450000000000003</v>
      </c>
      <c r="B332" s="1">
        <v>3.3631000000000002</v>
      </c>
      <c r="C332" s="5">
        <f>Tabela10[[#This Row],[Alongamento (mm/mm)]]/$I$2</f>
        <v>6.7262000000000002E-2</v>
      </c>
      <c r="D332" s="1">
        <v>191.36</v>
      </c>
      <c r="E332" s="5">
        <f>Tabela10[[#This Row],[Força (N)]]/$I$5</f>
        <v>6099609.5306398924</v>
      </c>
      <c r="F332" s="5">
        <f>Tabela10[[#This Row],[Tensão (Pa)]]/1000000</f>
        <v>6.0996095306398921</v>
      </c>
    </row>
    <row r="333" spans="1:6" x14ac:dyDescent="0.3">
      <c r="A333" s="1">
        <v>40.533000000000001</v>
      </c>
      <c r="B333" s="1">
        <v>3.37</v>
      </c>
      <c r="C333" s="5">
        <f>Tabela10[[#This Row],[Alongamento (mm/mm)]]/$I$2</f>
        <v>6.7400000000000002E-2</v>
      </c>
      <c r="D333" s="1">
        <v>192.89</v>
      </c>
      <c r="E333" s="5">
        <f>Tabela10[[#This Row],[Força (N)]]/$I$5</f>
        <v>6148378.3568411823</v>
      </c>
      <c r="F333" s="5">
        <f>Tabela10[[#This Row],[Tensão (Pa)]]/1000000</f>
        <v>6.1483783568411825</v>
      </c>
    </row>
    <row r="334" spans="1:6" x14ac:dyDescent="0.3">
      <c r="A334" s="1">
        <v>40.6</v>
      </c>
      <c r="B334" s="1">
        <v>3.3755999999999999</v>
      </c>
      <c r="C334" s="5">
        <f>Tabela10[[#This Row],[Alongamento (mm/mm)]]/$I$2</f>
        <v>6.7512000000000003E-2</v>
      </c>
      <c r="D334" s="1">
        <v>194.25</v>
      </c>
      <c r="E334" s="5">
        <f>Tabela10[[#This Row],[Força (N)]]/$I$5</f>
        <v>6191728.4245756641</v>
      </c>
      <c r="F334" s="5">
        <f>Tabela10[[#This Row],[Tensão (Pa)]]/1000000</f>
        <v>6.1917284245756639</v>
      </c>
    </row>
    <row r="335" spans="1:6" x14ac:dyDescent="0.3">
      <c r="A335" s="1">
        <v>40.683</v>
      </c>
      <c r="B335" s="1">
        <v>3.3826000000000001</v>
      </c>
      <c r="C335" s="5">
        <f>Tabela10[[#This Row],[Alongamento (mm/mm)]]/$I$2</f>
        <v>6.7652000000000004E-2</v>
      </c>
      <c r="D335" s="1">
        <v>195.78</v>
      </c>
      <c r="E335" s="5">
        <f>Tabela10[[#This Row],[Força (N)]]/$I$5</f>
        <v>6240497.2507769549</v>
      </c>
      <c r="F335" s="5">
        <f>Tabela10[[#This Row],[Tensão (Pa)]]/1000000</f>
        <v>6.2404972507769552</v>
      </c>
    </row>
    <row r="336" spans="1:6" x14ac:dyDescent="0.3">
      <c r="A336" s="1">
        <v>40.75</v>
      </c>
      <c r="B336" s="1">
        <v>3.3881000000000001</v>
      </c>
      <c r="C336" s="5">
        <f>Tabela10[[#This Row],[Alongamento (mm/mm)]]/$I$2</f>
        <v>6.7762000000000003E-2</v>
      </c>
      <c r="D336" s="1">
        <v>197.14</v>
      </c>
      <c r="E336" s="5">
        <f>Tabela10[[#This Row],[Força (N)]]/$I$5</f>
        <v>6283847.3185114348</v>
      </c>
      <c r="F336" s="5">
        <f>Tabela10[[#This Row],[Tensão (Pa)]]/1000000</f>
        <v>6.2838473185114347</v>
      </c>
    </row>
    <row r="337" spans="1:6" x14ac:dyDescent="0.3">
      <c r="A337" s="1">
        <v>40.832999999999998</v>
      </c>
      <c r="B337" s="1">
        <v>3.3950999999999998</v>
      </c>
      <c r="C337" s="5">
        <f>Tabela10[[#This Row],[Alongamento (mm/mm)]]/$I$2</f>
        <v>6.790199999999999E-2</v>
      </c>
      <c r="D337" s="1">
        <v>198.68</v>
      </c>
      <c r="E337" s="5">
        <f>Tabela10[[#This Row],[Força (N)]]/$I$5</f>
        <v>6332934.8952107746</v>
      </c>
      <c r="F337" s="5">
        <f>Tabela10[[#This Row],[Tensão (Pa)]]/1000000</f>
        <v>6.3329348952107747</v>
      </c>
    </row>
    <row r="338" spans="1:6" x14ac:dyDescent="0.3">
      <c r="A338" s="1">
        <v>40.9</v>
      </c>
      <c r="B338" s="1">
        <v>3.4005999999999998</v>
      </c>
      <c r="C338" s="5">
        <f>Tabela10[[#This Row],[Alongamento (mm/mm)]]/$I$2</f>
        <v>6.8012000000000003E-2</v>
      </c>
      <c r="D338" s="1">
        <v>200.04</v>
      </c>
      <c r="E338" s="5">
        <f>Tabela10[[#This Row],[Força (N)]]/$I$5</f>
        <v>6376284.9629452545</v>
      </c>
      <c r="F338" s="5">
        <f>Tabela10[[#This Row],[Tensão (Pa)]]/1000000</f>
        <v>6.3762849629452543</v>
      </c>
    </row>
    <row r="339" spans="1:6" x14ac:dyDescent="0.3">
      <c r="A339" s="1">
        <v>40.982999999999997</v>
      </c>
      <c r="B339" s="1">
        <v>3.4076</v>
      </c>
      <c r="C339" s="5">
        <f>Tabela10[[#This Row],[Alongamento (mm/mm)]]/$I$2</f>
        <v>6.8152000000000004E-2</v>
      </c>
      <c r="D339" s="1">
        <v>201.57</v>
      </c>
      <c r="E339" s="5">
        <f>Tabela10[[#This Row],[Força (N)]]/$I$5</f>
        <v>6425053.7891465453</v>
      </c>
      <c r="F339" s="5">
        <f>Tabela10[[#This Row],[Tensão (Pa)]]/1000000</f>
        <v>6.4250537891465456</v>
      </c>
    </row>
    <row r="340" spans="1:6" x14ac:dyDescent="0.3">
      <c r="A340" s="1">
        <v>41.05</v>
      </c>
      <c r="B340" s="1">
        <v>3.4131</v>
      </c>
      <c r="C340" s="5">
        <f>Tabela10[[#This Row],[Alongamento (mm/mm)]]/$I$2</f>
        <v>6.8262000000000003E-2</v>
      </c>
      <c r="D340" s="1">
        <v>202.93</v>
      </c>
      <c r="E340" s="5">
        <f>Tabela10[[#This Row],[Força (N)]]/$I$5</f>
        <v>6468403.8568810271</v>
      </c>
      <c r="F340" s="5">
        <f>Tabela10[[#This Row],[Tensão (Pa)]]/1000000</f>
        <v>6.4684038568810269</v>
      </c>
    </row>
    <row r="341" spans="1:6" x14ac:dyDescent="0.3">
      <c r="A341" s="1">
        <v>41.133000000000003</v>
      </c>
      <c r="B341" s="1">
        <v>3.4201000000000001</v>
      </c>
      <c r="C341" s="5">
        <f>Tabela10[[#This Row],[Alongamento (mm/mm)]]/$I$2</f>
        <v>6.8402000000000004E-2</v>
      </c>
      <c r="D341" s="1">
        <v>204.46</v>
      </c>
      <c r="E341" s="5">
        <f>Tabela10[[#This Row],[Força (N)]]/$I$5</f>
        <v>6517172.6830823179</v>
      </c>
      <c r="F341" s="5">
        <f>Tabela10[[#This Row],[Tensão (Pa)]]/1000000</f>
        <v>6.5171726830823182</v>
      </c>
    </row>
    <row r="342" spans="1:6" x14ac:dyDescent="0.3">
      <c r="A342" s="1">
        <v>41.2</v>
      </c>
      <c r="B342" s="1">
        <v>3.4257</v>
      </c>
      <c r="C342" s="5">
        <f>Tabela10[[#This Row],[Alongamento (mm/mm)]]/$I$2</f>
        <v>6.8514000000000005E-2</v>
      </c>
      <c r="D342" s="1">
        <v>205.82</v>
      </c>
      <c r="E342" s="5">
        <f>Tabela10[[#This Row],[Força (N)]]/$I$5</f>
        <v>6560522.7508167988</v>
      </c>
      <c r="F342" s="5">
        <f>Tabela10[[#This Row],[Tensão (Pa)]]/1000000</f>
        <v>6.5605227508167987</v>
      </c>
    </row>
    <row r="343" spans="1:6" x14ac:dyDescent="0.3">
      <c r="A343" s="1">
        <v>41.267000000000003</v>
      </c>
      <c r="B343" s="1">
        <v>3.4312</v>
      </c>
      <c r="C343" s="5">
        <f>Tabela10[[#This Row],[Alongamento (mm/mm)]]/$I$2</f>
        <v>6.8624000000000004E-2</v>
      </c>
      <c r="D343" s="1">
        <v>207.18</v>
      </c>
      <c r="E343" s="5">
        <f>Tabela10[[#This Row],[Força (N)]]/$I$5</f>
        <v>6603872.8185512796</v>
      </c>
      <c r="F343" s="5">
        <f>Tabela10[[#This Row],[Tensão (Pa)]]/1000000</f>
        <v>6.6038728185512792</v>
      </c>
    </row>
    <row r="344" spans="1:6" x14ac:dyDescent="0.3">
      <c r="A344" s="1">
        <v>41.332999999999998</v>
      </c>
      <c r="B344" s="1">
        <v>3.4367000000000001</v>
      </c>
      <c r="C344" s="5">
        <f>Tabela10[[#This Row],[Alongamento (mm/mm)]]/$I$2</f>
        <v>6.8734000000000003E-2</v>
      </c>
      <c r="D344" s="1">
        <v>208.71</v>
      </c>
      <c r="E344" s="5">
        <f>Tabela10[[#This Row],[Força (N)]]/$I$5</f>
        <v>6652641.6447525704</v>
      </c>
      <c r="F344" s="5">
        <f>Tabela10[[#This Row],[Tensão (Pa)]]/1000000</f>
        <v>6.6526416447525705</v>
      </c>
    </row>
    <row r="345" spans="1:6" x14ac:dyDescent="0.3">
      <c r="A345" s="1">
        <v>41.4</v>
      </c>
      <c r="B345" s="1">
        <v>3.4422000000000001</v>
      </c>
      <c r="C345" s="5">
        <f>Tabela10[[#This Row],[Alongamento (mm/mm)]]/$I$2</f>
        <v>6.8844000000000002E-2</v>
      </c>
      <c r="D345" s="1">
        <v>210.07</v>
      </c>
      <c r="E345" s="5">
        <f>Tabela10[[#This Row],[Força (N)]]/$I$5</f>
        <v>6695991.7124870513</v>
      </c>
      <c r="F345" s="5">
        <f>Tabela10[[#This Row],[Tensão (Pa)]]/1000000</f>
        <v>6.6959917124870509</v>
      </c>
    </row>
    <row r="346" spans="1:6" x14ac:dyDescent="0.3">
      <c r="A346" s="1">
        <v>41.466999999999999</v>
      </c>
      <c r="B346" s="1">
        <v>3.4478</v>
      </c>
      <c r="C346" s="5">
        <f>Tabela10[[#This Row],[Alongamento (mm/mm)]]/$I$2</f>
        <v>6.8956000000000003E-2</v>
      </c>
      <c r="D346" s="1">
        <v>211.43</v>
      </c>
      <c r="E346" s="5">
        <f>Tabela10[[#This Row],[Força (N)]]/$I$5</f>
        <v>6739341.7802215321</v>
      </c>
      <c r="F346" s="5">
        <f>Tabela10[[#This Row],[Tensão (Pa)]]/1000000</f>
        <v>6.7393417802215323</v>
      </c>
    </row>
    <row r="347" spans="1:6" x14ac:dyDescent="0.3">
      <c r="A347" s="1">
        <v>41.533000000000001</v>
      </c>
      <c r="B347" s="1">
        <v>3.4533999999999998</v>
      </c>
      <c r="C347" s="5">
        <f>Tabela10[[#This Row],[Alongamento (mm/mm)]]/$I$2</f>
        <v>6.9067999999999991E-2</v>
      </c>
      <c r="D347" s="1">
        <v>212.79</v>
      </c>
      <c r="E347" s="5">
        <f>Tabela10[[#This Row],[Força (N)]]/$I$5</f>
        <v>6782691.8479560129</v>
      </c>
      <c r="F347" s="5">
        <f>Tabela10[[#This Row],[Tensão (Pa)]]/1000000</f>
        <v>6.7826918479560128</v>
      </c>
    </row>
    <row r="348" spans="1:6" x14ac:dyDescent="0.3">
      <c r="A348" s="1">
        <v>41.6</v>
      </c>
      <c r="B348" s="1">
        <v>3.4588999999999999</v>
      </c>
      <c r="C348" s="5">
        <f>Tabela10[[#This Row],[Alongamento (mm/mm)]]/$I$2</f>
        <v>6.9178000000000003E-2</v>
      </c>
      <c r="D348" s="1">
        <v>214.15</v>
      </c>
      <c r="E348" s="5">
        <f>Tabela10[[#This Row],[Força (N)]]/$I$5</f>
        <v>6826041.9156904938</v>
      </c>
      <c r="F348" s="5">
        <f>Tabela10[[#This Row],[Tensão (Pa)]]/1000000</f>
        <v>6.8260419156904941</v>
      </c>
    </row>
    <row r="349" spans="1:6" x14ac:dyDescent="0.3">
      <c r="A349" s="1">
        <v>41.667000000000002</v>
      </c>
      <c r="B349" s="1">
        <v>3.4645000000000001</v>
      </c>
      <c r="C349" s="5">
        <f>Tabela10[[#This Row],[Alongamento (mm/mm)]]/$I$2</f>
        <v>6.9290000000000004E-2</v>
      </c>
      <c r="D349" s="1">
        <v>215.52</v>
      </c>
      <c r="E349" s="5">
        <f>Tabela10[[#This Row],[Força (N)]]/$I$5</f>
        <v>6869710.7339230226</v>
      </c>
      <c r="F349" s="5">
        <f>Tabela10[[#This Row],[Tensão (Pa)]]/1000000</f>
        <v>6.8697107339230223</v>
      </c>
    </row>
    <row r="350" spans="1:6" x14ac:dyDescent="0.3">
      <c r="A350" s="1">
        <v>41.732999999999997</v>
      </c>
      <c r="B350" s="1">
        <v>3.4701</v>
      </c>
      <c r="C350" s="5">
        <f>Tabela10[[#This Row],[Alongamento (mm/mm)]]/$I$2</f>
        <v>6.9402000000000005E-2</v>
      </c>
      <c r="D350" s="1">
        <v>216.88</v>
      </c>
      <c r="E350" s="5">
        <f>Tabela10[[#This Row],[Força (N)]]/$I$5</f>
        <v>6913060.8016575025</v>
      </c>
      <c r="F350" s="5">
        <f>Tabela10[[#This Row],[Tensão (Pa)]]/1000000</f>
        <v>6.9130608016575028</v>
      </c>
    </row>
    <row r="351" spans="1:6" x14ac:dyDescent="0.3">
      <c r="A351" s="1">
        <v>41.8</v>
      </c>
      <c r="B351" s="1">
        <v>3.4756</v>
      </c>
      <c r="C351" s="5">
        <f>Tabela10[[#This Row],[Alongamento (mm/mm)]]/$I$2</f>
        <v>6.9512000000000004E-2</v>
      </c>
      <c r="D351" s="1">
        <v>218.41</v>
      </c>
      <c r="E351" s="5">
        <f>Tabela10[[#This Row],[Força (N)]]/$I$5</f>
        <v>6961829.6278587934</v>
      </c>
      <c r="F351" s="5">
        <f>Tabela10[[#This Row],[Tensão (Pa)]]/1000000</f>
        <v>6.9618296278587932</v>
      </c>
    </row>
    <row r="352" spans="1:6" x14ac:dyDescent="0.3">
      <c r="A352" s="1">
        <v>41.883000000000003</v>
      </c>
      <c r="B352" s="1">
        <v>3.4826000000000001</v>
      </c>
      <c r="C352" s="5">
        <f>Tabela10[[#This Row],[Alongamento (mm/mm)]]/$I$2</f>
        <v>6.9652000000000006E-2</v>
      </c>
      <c r="D352" s="1">
        <v>220.11</v>
      </c>
      <c r="E352" s="5">
        <f>Tabela10[[#This Row],[Força (N)]]/$I$5</f>
        <v>7016017.2125268951</v>
      </c>
      <c r="F352" s="5">
        <f>Tabela10[[#This Row],[Tensão (Pa)]]/1000000</f>
        <v>7.0160172125268954</v>
      </c>
    </row>
    <row r="353" spans="1:6" x14ac:dyDescent="0.3">
      <c r="A353" s="1">
        <v>41.966999999999999</v>
      </c>
      <c r="B353" s="1">
        <v>3.4895</v>
      </c>
      <c r="C353" s="5">
        <f>Tabela10[[#This Row],[Alongamento (mm/mm)]]/$I$2</f>
        <v>6.9790000000000005E-2</v>
      </c>
      <c r="D353" s="1">
        <v>221.81</v>
      </c>
      <c r="E353" s="5">
        <f>Tabela10[[#This Row],[Força (N)]]/$I$5</f>
        <v>7070204.7971949959</v>
      </c>
      <c r="F353" s="5">
        <f>Tabela10[[#This Row],[Tensão (Pa)]]/1000000</f>
        <v>7.0702047971949957</v>
      </c>
    </row>
    <row r="354" spans="1:6" x14ac:dyDescent="0.3">
      <c r="A354" s="1">
        <v>42.05</v>
      </c>
      <c r="B354" s="1">
        <v>3.4965000000000002</v>
      </c>
      <c r="C354" s="5">
        <f>Tabela10[[#This Row],[Alongamento (mm/mm)]]/$I$2</f>
        <v>6.9930000000000006E-2</v>
      </c>
      <c r="D354" s="1">
        <v>223.68</v>
      </c>
      <c r="E354" s="5">
        <f>Tabela10[[#This Row],[Força (N)]]/$I$5</f>
        <v>7129811.1403299076</v>
      </c>
      <c r="F354" s="5">
        <f>Tabela10[[#This Row],[Tensão (Pa)]]/1000000</f>
        <v>7.1298111403299078</v>
      </c>
    </row>
    <row r="355" spans="1:6" x14ac:dyDescent="0.3">
      <c r="A355" s="1">
        <v>42.133000000000003</v>
      </c>
      <c r="B355" s="1">
        <v>3.5034000000000001</v>
      </c>
      <c r="C355" s="5">
        <f>Tabela10[[#This Row],[Alongamento (mm/mm)]]/$I$2</f>
        <v>7.0068000000000005E-2</v>
      </c>
      <c r="D355" s="1">
        <v>225.38</v>
      </c>
      <c r="E355" s="5">
        <f>Tabela10[[#This Row],[Força (N)]]/$I$5</f>
        <v>7183998.7249980085</v>
      </c>
      <c r="F355" s="5">
        <f>Tabela10[[#This Row],[Tensão (Pa)]]/1000000</f>
        <v>7.1839987249980082</v>
      </c>
    </row>
    <row r="356" spans="1:6" x14ac:dyDescent="0.3">
      <c r="A356" s="1">
        <v>42.216999999999999</v>
      </c>
      <c r="B356" s="1">
        <v>3.5103</v>
      </c>
      <c r="C356" s="5">
        <f>Tabela10[[#This Row],[Alongamento (mm/mm)]]/$I$2</f>
        <v>7.0206000000000005E-2</v>
      </c>
      <c r="D356" s="1">
        <v>227.08</v>
      </c>
      <c r="E356" s="5">
        <f>Tabela10[[#This Row],[Força (N)]]/$I$5</f>
        <v>7238186.3096661093</v>
      </c>
      <c r="F356" s="5">
        <f>Tabela10[[#This Row],[Tensão (Pa)]]/1000000</f>
        <v>7.2381863096661094</v>
      </c>
    </row>
    <row r="357" spans="1:6" x14ac:dyDescent="0.3">
      <c r="A357" s="1">
        <v>42.3</v>
      </c>
      <c r="B357" s="1">
        <v>3.5173000000000001</v>
      </c>
      <c r="C357" s="5">
        <f>Tabela10[[#This Row],[Alongamento (mm/mm)]]/$I$2</f>
        <v>7.0346000000000006E-2</v>
      </c>
      <c r="D357" s="1">
        <v>228.95</v>
      </c>
      <c r="E357" s="5">
        <f>Tabela10[[#This Row],[Força (N)]]/$I$5</f>
        <v>7297792.6528010201</v>
      </c>
      <c r="F357" s="5">
        <f>Tabela10[[#This Row],[Tensão (Pa)]]/1000000</f>
        <v>7.2977926528010197</v>
      </c>
    </row>
    <row r="358" spans="1:6" x14ac:dyDescent="0.3">
      <c r="A358" s="1">
        <v>42.383000000000003</v>
      </c>
      <c r="B358" s="1">
        <v>3.5243000000000002</v>
      </c>
      <c r="C358" s="5">
        <f>Tabela10[[#This Row],[Alongamento (mm/mm)]]/$I$2</f>
        <v>7.0486000000000007E-2</v>
      </c>
      <c r="D358" s="1">
        <v>230.65</v>
      </c>
      <c r="E358" s="5">
        <f>Tabela10[[#This Row],[Força (N)]]/$I$5</f>
        <v>7351980.2374691218</v>
      </c>
      <c r="F358" s="5">
        <f>Tabela10[[#This Row],[Tensão (Pa)]]/1000000</f>
        <v>7.3519802374691219</v>
      </c>
    </row>
    <row r="359" spans="1:6" x14ac:dyDescent="0.3">
      <c r="A359" s="1">
        <v>42.466999999999999</v>
      </c>
      <c r="B359" s="1">
        <v>3.5312000000000001</v>
      </c>
      <c r="C359" s="5">
        <f>Tabela10[[#This Row],[Alongamento (mm/mm)]]/$I$2</f>
        <v>7.0624000000000006E-2</v>
      </c>
      <c r="D359" s="1">
        <v>232.53</v>
      </c>
      <c r="E359" s="5">
        <f>Tabela10[[#This Row],[Força (N)]]/$I$5</f>
        <v>7411905.3311020806</v>
      </c>
      <c r="F359" s="5">
        <f>Tabela10[[#This Row],[Tensão (Pa)]]/1000000</f>
        <v>7.4119053311020808</v>
      </c>
    </row>
    <row r="360" spans="1:6" x14ac:dyDescent="0.3">
      <c r="A360" s="1">
        <v>42.55</v>
      </c>
      <c r="B360" s="1">
        <v>3.5381999999999998</v>
      </c>
      <c r="C360" s="5">
        <f>Tabela10[[#This Row],[Alongamento (mm/mm)]]/$I$2</f>
        <v>7.0763999999999994E-2</v>
      </c>
      <c r="D360" s="1">
        <v>234.23</v>
      </c>
      <c r="E360" s="5">
        <f>Tabela10[[#This Row],[Força (N)]]/$I$5</f>
        <v>7466092.9157701815</v>
      </c>
      <c r="F360" s="5">
        <f>Tabela10[[#This Row],[Tensão (Pa)]]/1000000</f>
        <v>7.4660929157701812</v>
      </c>
    </row>
    <row r="361" spans="1:6" x14ac:dyDescent="0.3">
      <c r="A361" s="1">
        <v>42.633000000000003</v>
      </c>
      <c r="B361" s="1">
        <v>3.5449999999999999</v>
      </c>
      <c r="C361" s="5">
        <f>Tabela10[[#This Row],[Alongamento (mm/mm)]]/$I$2</f>
        <v>7.0900000000000005E-2</v>
      </c>
      <c r="D361" s="1">
        <v>236.1</v>
      </c>
      <c r="E361" s="5">
        <f>Tabela10[[#This Row],[Força (N)]]/$I$5</f>
        <v>7525699.2589050923</v>
      </c>
      <c r="F361" s="5">
        <f>Tabela10[[#This Row],[Tensão (Pa)]]/1000000</f>
        <v>7.5256992589050924</v>
      </c>
    </row>
    <row r="362" spans="1:6" x14ac:dyDescent="0.3">
      <c r="A362" s="1">
        <v>42.716999999999999</v>
      </c>
      <c r="B362" s="1">
        <v>3.552</v>
      </c>
      <c r="C362" s="5">
        <f>Tabela10[[#This Row],[Alongamento (mm/mm)]]/$I$2</f>
        <v>7.1040000000000006E-2</v>
      </c>
      <c r="D362" s="1">
        <v>237.97</v>
      </c>
      <c r="E362" s="5">
        <f>Tabela10[[#This Row],[Força (N)]]/$I$5</f>
        <v>7585305.602040004</v>
      </c>
      <c r="F362" s="5">
        <f>Tabela10[[#This Row],[Tensão (Pa)]]/1000000</f>
        <v>7.5853056020400036</v>
      </c>
    </row>
    <row r="363" spans="1:6" x14ac:dyDescent="0.3">
      <c r="A363" s="1">
        <v>42.8</v>
      </c>
      <c r="B363" s="1">
        <v>3.5590000000000002</v>
      </c>
      <c r="C363" s="5">
        <f>Tabela10[[#This Row],[Alongamento (mm/mm)]]/$I$2</f>
        <v>7.1180000000000007E-2</v>
      </c>
      <c r="D363" s="1">
        <v>239.84</v>
      </c>
      <c r="E363" s="5">
        <f>Tabela10[[#This Row],[Força (N)]]/$I$5</f>
        <v>7644911.9451749148</v>
      </c>
      <c r="F363" s="5">
        <f>Tabela10[[#This Row],[Tensão (Pa)]]/1000000</f>
        <v>7.6449119451749148</v>
      </c>
    </row>
    <row r="364" spans="1:6" x14ac:dyDescent="0.3">
      <c r="A364" s="1">
        <v>42.883000000000003</v>
      </c>
      <c r="B364" s="1">
        <v>3.5659000000000001</v>
      </c>
      <c r="C364" s="5">
        <f>Tabela10[[#This Row],[Alongamento (mm/mm)]]/$I$2</f>
        <v>7.1318000000000006E-2</v>
      </c>
      <c r="D364" s="1">
        <v>241.54</v>
      </c>
      <c r="E364" s="5">
        <f>Tabela10[[#This Row],[Força (N)]]/$I$5</f>
        <v>7699099.5298430156</v>
      </c>
      <c r="F364" s="5">
        <f>Tabela10[[#This Row],[Tensão (Pa)]]/1000000</f>
        <v>7.6990995298430152</v>
      </c>
    </row>
    <row r="365" spans="1:6" x14ac:dyDescent="0.3">
      <c r="A365" s="1">
        <v>42.966999999999999</v>
      </c>
      <c r="B365" s="1">
        <v>3.5729000000000002</v>
      </c>
      <c r="C365" s="5">
        <f>Tabela10[[#This Row],[Alongamento (mm/mm)]]/$I$2</f>
        <v>7.1458000000000008E-2</v>
      </c>
      <c r="D365" s="1">
        <v>243.41</v>
      </c>
      <c r="E365" s="5">
        <f>Tabela10[[#This Row],[Força (N)]]/$I$5</f>
        <v>7758705.8729779273</v>
      </c>
      <c r="F365" s="5">
        <f>Tabela10[[#This Row],[Tensão (Pa)]]/1000000</f>
        <v>7.7587058729779272</v>
      </c>
    </row>
    <row r="366" spans="1:6" x14ac:dyDescent="0.3">
      <c r="A366" s="1">
        <v>43.05</v>
      </c>
      <c r="B366" s="1">
        <v>3.5798000000000001</v>
      </c>
      <c r="C366" s="5">
        <f>Tabela10[[#This Row],[Alongamento (mm/mm)]]/$I$2</f>
        <v>7.1596000000000007E-2</v>
      </c>
      <c r="D366" s="1">
        <v>245.28</v>
      </c>
      <c r="E366" s="5">
        <f>Tabela10[[#This Row],[Força (N)]]/$I$5</f>
        <v>7818312.2161128381</v>
      </c>
      <c r="F366" s="5">
        <f>Tabela10[[#This Row],[Tensão (Pa)]]/1000000</f>
        <v>7.8183122161128384</v>
      </c>
    </row>
    <row r="367" spans="1:6" x14ac:dyDescent="0.3">
      <c r="A367" s="1">
        <v>43.133000000000003</v>
      </c>
      <c r="B367" s="1">
        <v>3.5867</v>
      </c>
      <c r="C367" s="5">
        <f>Tabela10[[#This Row],[Alongamento (mm/mm)]]/$I$2</f>
        <v>7.1734000000000006E-2</v>
      </c>
      <c r="D367" s="1">
        <v>247.15</v>
      </c>
      <c r="E367" s="5">
        <f>Tabela10[[#This Row],[Força (N)]]/$I$5</f>
        <v>7877918.5592477499</v>
      </c>
      <c r="F367" s="5">
        <f>Tabela10[[#This Row],[Tensão (Pa)]]/1000000</f>
        <v>7.8779185592477496</v>
      </c>
    </row>
    <row r="368" spans="1:6" x14ac:dyDescent="0.3">
      <c r="A368" s="1">
        <v>43.216999999999999</v>
      </c>
      <c r="B368" s="1">
        <v>3.5937000000000001</v>
      </c>
      <c r="C368" s="5">
        <f>Tabela10[[#This Row],[Alongamento (mm/mm)]]/$I$2</f>
        <v>7.1874000000000007E-2</v>
      </c>
      <c r="D368" s="1">
        <v>248.85</v>
      </c>
      <c r="E368" s="5">
        <f>Tabela10[[#This Row],[Força (N)]]/$I$5</f>
        <v>7932106.1439158497</v>
      </c>
      <c r="F368" s="5">
        <f>Tabela10[[#This Row],[Tensão (Pa)]]/1000000</f>
        <v>7.93210614391585</v>
      </c>
    </row>
    <row r="369" spans="1:6" x14ac:dyDescent="0.3">
      <c r="A369" s="1">
        <v>43.3</v>
      </c>
      <c r="B369" s="1">
        <v>3.6006999999999998</v>
      </c>
      <c r="C369" s="5">
        <f>Tabela10[[#This Row],[Alongamento (mm/mm)]]/$I$2</f>
        <v>7.2013999999999995E-2</v>
      </c>
      <c r="D369" s="1">
        <v>250.73</v>
      </c>
      <c r="E369" s="5">
        <f>Tabela10[[#This Row],[Força (N)]]/$I$5</f>
        <v>7992031.2375488086</v>
      </c>
      <c r="F369" s="5">
        <f>Tabela10[[#This Row],[Tensão (Pa)]]/1000000</f>
        <v>7.992031237548809</v>
      </c>
    </row>
    <row r="370" spans="1:6" x14ac:dyDescent="0.3">
      <c r="A370" s="1">
        <v>43.383000000000003</v>
      </c>
      <c r="B370" s="1">
        <v>3.6076000000000001</v>
      </c>
      <c r="C370" s="5">
        <f>Tabela10[[#This Row],[Alongamento (mm/mm)]]/$I$2</f>
        <v>7.2152000000000008E-2</v>
      </c>
      <c r="D370" s="1">
        <v>252.6</v>
      </c>
      <c r="E370" s="5">
        <f>Tabela10[[#This Row],[Força (N)]]/$I$5</f>
        <v>8051637.5806837203</v>
      </c>
      <c r="F370" s="5">
        <f>Tabela10[[#This Row],[Tensão (Pa)]]/1000000</f>
        <v>8.051637580683721</v>
      </c>
    </row>
    <row r="371" spans="1:6" x14ac:dyDescent="0.3">
      <c r="A371" s="1">
        <v>43.466999999999999</v>
      </c>
      <c r="B371" s="1">
        <v>3.6145</v>
      </c>
      <c r="C371" s="5">
        <f>Tabela10[[#This Row],[Alongamento (mm/mm)]]/$I$2</f>
        <v>7.2290000000000007E-2</v>
      </c>
      <c r="D371" s="1">
        <v>254.64</v>
      </c>
      <c r="E371" s="5">
        <f>Tabela10[[#This Row],[Força (N)]]/$I$5</f>
        <v>8116662.6822854411</v>
      </c>
      <c r="F371" s="5">
        <f>Tabela10[[#This Row],[Tensão (Pa)]]/1000000</f>
        <v>8.1166626822854404</v>
      </c>
    </row>
    <row r="372" spans="1:6" x14ac:dyDescent="0.3">
      <c r="A372" s="1">
        <v>43.55</v>
      </c>
      <c r="B372" s="1">
        <v>3.6214</v>
      </c>
      <c r="C372" s="5">
        <f>Tabela10[[#This Row],[Alongamento (mm/mm)]]/$I$2</f>
        <v>7.2427999999999992E-2</v>
      </c>
      <c r="D372" s="1">
        <v>256.51</v>
      </c>
      <c r="E372" s="5">
        <f>Tabela10[[#This Row],[Força (N)]]/$I$5</f>
        <v>8176269.0254203528</v>
      </c>
      <c r="F372" s="5">
        <f>Tabela10[[#This Row],[Tensão (Pa)]]/1000000</f>
        <v>8.1762690254203534</v>
      </c>
    </row>
    <row r="373" spans="1:6" x14ac:dyDescent="0.3">
      <c r="A373" s="1">
        <v>43.633000000000003</v>
      </c>
      <c r="B373" s="1">
        <v>3.6282999999999999</v>
      </c>
      <c r="C373" s="5">
        <f>Tabela10[[#This Row],[Alongamento (mm/mm)]]/$I$2</f>
        <v>7.2565999999999992E-2</v>
      </c>
      <c r="D373" s="1">
        <v>258.38</v>
      </c>
      <c r="E373" s="5">
        <f>Tabela10[[#This Row],[Força (N)]]/$I$5</f>
        <v>8235875.3685552636</v>
      </c>
      <c r="F373" s="5">
        <f>Tabela10[[#This Row],[Tensão (Pa)]]/1000000</f>
        <v>8.2358753685552628</v>
      </c>
    </row>
    <row r="374" spans="1:6" x14ac:dyDescent="0.3">
      <c r="A374" s="1">
        <v>43.716999999999999</v>
      </c>
      <c r="B374" s="1">
        <v>3.6353</v>
      </c>
      <c r="C374" s="5">
        <f>Tabela10[[#This Row],[Alongamento (mm/mm)]]/$I$2</f>
        <v>7.2705999999999993E-2</v>
      </c>
      <c r="D374" s="1">
        <v>260.42</v>
      </c>
      <c r="E374" s="5">
        <f>Tabela10[[#This Row],[Força (N)]]/$I$5</f>
        <v>8300900.4701569853</v>
      </c>
      <c r="F374" s="5">
        <f>Tabela10[[#This Row],[Tensão (Pa)]]/1000000</f>
        <v>8.3009004701569857</v>
      </c>
    </row>
    <row r="375" spans="1:6" x14ac:dyDescent="0.3">
      <c r="A375" s="1">
        <v>43.8</v>
      </c>
      <c r="B375" s="1">
        <v>3.6423000000000001</v>
      </c>
      <c r="C375" s="5">
        <f>Tabela10[[#This Row],[Alongamento (mm/mm)]]/$I$2</f>
        <v>7.2846000000000008E-2</v>
      </c>
      <c r="D375" s="1">
        <v>262.29000000000002</v>
      </c>
      <c r="E375" s="5">
        <f>Tabela10[[#This Row],[Força (N)]]/$I$5</f>
        <v>8360506.8132918971</v>
      </c>
      <c r="F375" s="5">
        <f>Tabela10[[#This Row],[Tensão (Pa)]]/1000000</f>
        <v>8.3605068132918969</v>
      </c>
    </row>
    <row r="376" spans="1:6" x14ac:dyDescent="0.3">
      <c r="A376" s="1">
        <v>43.9</v>
      </c>
      <c r="B376" s="1">
        <v>3.6507000000000001</v>
      </c>
      <c r="C376" s="5">
        <f>Tabela10[[#This Row],[Alongamento (mm/mm)]]/$I$2</f>
        <v>7.3013999999999996E-2</v>
      </c>
      <c r="D376" s="1">
        <v>264.67</v>
      </c>
      <c r="E376" s="5">
        <f>Tabela10[[#This Row],[Força (N)]]/$I$5</f>
        <v>8436369.4318272378</v>
      </c>
      <c r="F376" s="5">
        <f>Tabela10[[#This Row],[Tensão (Pa)]]/1000000</f>
        <v>8.436369431827238</v>
      </c>
    </row>
    <row r="377" spans="1:6" x14ac:dyDescent="0.3">
      <c r="A377" s="1">
        <v>44</v>
      </c>
      <c r="B377" s="1">
        <v>3.6589</v>
      </c>
      <c r="C377" s="5">
        <f>Tabela10[[#This Row],[Alongamento (mm/mm)]]/$I$2</f>
        <v>7.3178000000000007E-2</v>
      </c>
      <c r="D377" s="1">
        <v>266.89</v>
      </c>
      <c r="E377" s="5">
        <f>Tabela10[[#This Row],[Força (N)]]/$I$5</f>
        <v>8507132.0423938166</v>
      </c>
      <c r="F377" s="5">
        <f>Tabela10[[#This Row],[Tensão (Pa)]]/1000000</f>
        <v>8.5071320423938168</v>
      </c>
    </row>
    <row r="378" spans="1:6" x14ac:dyDescent="0.3">
      <c r="A378" s="1">
        <v>44.1</v>
      </c>
      <c r="B378" s="1">
        <v>3.6673</v>
      </c>
      <c r="C378" s="5">
        <f>Tabela10[[#This Row],[Alongamento (mm/mm)]]/$I$2</f>
        <v>7.3345999999999995E-2</v>
      </c>
      <c r="D378" s="1">
        <v>269.27</v>
      </c>
      <c r="E378" s="5">
        <f>Tabela10[[#This Row],[Força (N)]]/$I$5</f>
        <v>8582994.6609291583</v>
      </c>
      <c r="F378" s="5">
        <f>Tabela10[[#This Row],[Tensão (Pa)]]/1000000</f>
        <v>8.5829946609291579</v>
      </c>
    </row>
    <row r="379" spans="1:6" x14ac:dyDescent="0.3">
      <c r="A379" s="1">
        <v>44.2</v>
      </c>
      <c r="B379" s="1">
        <v>3.6756000000000002</v>
      </c>
      <c r="C379" s="5">
        <f>Tabela10[[#This Row],[Alongamento (mm/mm)]]/$I$2</f>
        <v>7.3512000000000008E-2</v>
      </c>
      <c r="D379" s="1">
        <v>271.48</v>
      </c>
      <c r="E379" s="5">
        <f>Tabela10[[#This Row],[Força (N)]]/$I$5</f>
        <v>8653438.52099769</v>
      </c>
      <c r="F379" s="5">
        <f>Tabela10[[#This Row],[Tensão (Pa)]]/1000000</f>
        <v>8.6534385209976907</v>
      </c>
    </row>
    <row r="380" spans="1:6" x14ac:dyDescent="0.3">
      <c r="A380" s="1">
        <v>44.283000000000001</v>
      </c>
      <c r="B380" s="1">
        <v>3.6825999999999999</v>
      </c>
      <c r="C380" s="5">
        <f>Tabela10[[#This Row],[Alongamento (mm/mm)]]/$I$2</f>
        <v>7.3651999999999995E-2</v>
      </c>
      <c r="D380" s="1">
        <v>273.52</v>
      </c>
      <c r="E380" s="5">
        <f>Tabela10[[#This Row],[Força (N)]]/$I$5</f>
        <v>8718463.6225994099</v>
      </c>
      <c r="F380" s="5">
        <f>Tabela10[[#This Row],[Tensão (Pa)]]/1000000</f>
        <v>8.7184636225994101</v>
      </c>
    </row>
    <row r="381" spans="1:6" x14ac:dyDescent="0.3">
      <c r="A381" s="1">
        <v>44.383000000000003</v>
      </c>
      <c r="B381" s="1">
        <v>3.6907999999999999</v>
      </c>
      <c r="C381" s="5">
        <f>Tabela10[[#This Row],[Alongamento (mm/mm)]]/$I$2</f>
        <v>7.3815999999999993E-2</v>
      </c>
      <c r="D381" s="1">
        <v>275.89999999999998</v>
      </c>
      <c r="E381" s="5">
        <f>Tabela10[[#This Row],[Força (N)]]/$I$5</f>
        <v>8794326.2411347516</v>
      </c>
      <c r="F381" s="5">
        <f>Tabela10[[#This Row],[Tensão (Pa)]]/1000000</f>
        <v>8.7943262411347511</v>
      </c>
    </row>
    <row r="382" spans="1:6" x14ac:dyDescent="0.3">
      <c r="A382" s="1">
        <v>44.482999999999997</v>
      </c>
      <c r="B382" s="1">
        <v>3.6991999999999998</v>
      </c>
      <c r="C382" s="5">
        <f>Tabela10[[#This Row],[Alongamento (mm/mm)]]/$I$2</f>
        <v>7.3983999999999994E-2</v>
      </c>
      <c r="D382" s="1">
        <v>278.27999999999997</v>
      </c>
      <c r="E382" s="5">
        <f>Tabela10[[#This Row],[Força (N)]]/$I$5</f>
        <v>8870188.8596700933</v>
      </c>
      <c r="F382" s="5">
        <f>Tabela10[[#This Row],[Tensão (Pa)]]/1000000</f>
        <v>8.870188859670094</v>
      </c>
    </row>
    <row r="383" spans="1:6" x14ac:dyDescent="0.3">
      <c r="A383" s="1">
        <v>44.582999999999998</v>
      </c>
      <c r="B383" s="1">
        <v>3.7075</v>
      </c>
      <c r="C383" s="5">
        <f>Tabela10[[#This Row],[Alongamento (mm/mm)]]/$I$2</f>
        <v>7.4149999999999994E-2</v>
      </c>
      <c r="D383" s="1">
        <v>280.66000000000003</v>
      </c>
      <c r="E383" s="5">
        <f>Tabela10[[#This Row],[Força (N)]]/$I$5</f>
        <v>8946051.4782054368</v>
      </c>
      <c r="F383" s="5">
        <f>Tabela10[[#This Row],[Tensão (Pa)]]/1000000</f>
        <v>8.9460514782054368</v>
      </c>
    </row>
    <row r="384" spans="1:6" x14ac:dyDescent="0.3">
      <c r="A384" s="1">
        <v>44.667000000000002</v>
      </c>
      <c r="B384" s="1">
        <v>3.7145000000000001</v>
      </c>
      <c r="C384" s="5">
        <f>Tabela10[[#This Row],[Alongamento (mm/mm)]]/$I$2</f>
        <v>7.4290000000000009E-2</v>
      </c>
      <c r="D384" s="1">
        <v>282.7</v>
      </c>
      <c r="E384" s="5">
        <f>Tabela10[[#This Row],[Força (N)]]/$I$5</f>
        <v>9011076.5798071567</v>
      </c>
      <c r="F384" s="5">
        <f>Tabela10[[#This Row],[Tensão (Pa)]]/1000000</f>
        <v>9.0110765798071562</v>
      </c>
    </row>
    <row r="385" spans="1:6" x14ac:dyDescent="0.3">
      <c r="A385" s="1">
        <v>44.767000000000003</v>
      </c>
      <c r="B385" s="1">
        <v>3.7229000000000001</v>
      </c>
      <c r="C385" s="5">
        <f>Tabela10[[#This Row],[Alongamento (mm/mm)]]/$I$2</f>
        <v>7.4457999999999996E-2</v>
      </c>
      <c r="D385" s="1">
        <v>285.08999999999997</v>
      </c>
      <c r="E385" s="5">
        <f>Tabela10[[#This Row],[Força (N)]]/$I$5</f>
        <v>9087257.9488405455</v>
      </c>
      <c r="F385" s="5">
        <f>Tabela10[[#This Row],[Tensão (Pa)]]/1000000</f>
        <v>9.0872579488405449</v>
      </c>
    </row>
    <row r="386" spans="1:6" x14ac:dyDescent="0.3">
      <c r="A386" s="1">
        <v>44.866999999999997</v>
      </c>
      <c r="B386" s="1">
        <v>3.7311999999999999</v>
      </c>
      <c r="C386" s="5">
        <f>Tabela10[[#This Row],[Alongamento (mm/mm)]]/$I$2</f>
        <v>7.4623999999999996E-2</v>
      </c>
      <c r="D386" s="1">
        <v>287.47000000000003</v>
      </c>
      <c r="E386" s="5">
        <f>Tabela10[[#This Row],[Força (N)]]/$I$5</f>
        <v>9163120.5673758872</v>
      </c>
      <c r="F386" s="5">
        <f>Tabela10[[#This Row],[Tensão (Pa)]]/1000000</f>
        <v>9.1631205673758878</v>
      </c>
    </row>
    <row r="387" spans="1:6" x14ac:dyDescent="0.3">
      <c r="A387" s="1">
        <v>44.966999999999999</v>
      </c>
      <c r="B387" s="1">
        <v>3.7395</v>
      </c>
      <c r="C387" s="5">
        <f>Tabela10[[#This Row],[Alongamento (mm/mm)]]/$I$2</f>
        <v>7.4789999999999995E-2</v>
      </c>
      <c r="D387" s="1">
        <v>289.85000000000002</v>
      </c>
      <c r="E387" s="5">
        <f>Tabela10[[#This Row],[Força (N)]]/$I$5</f>
        <v>9238983.1859112289</v>
      </c>
      <c r="F387" s="5">
        <f>Tabela10[[#This Row],[Tensão (Pa)]]/1000000</f>
        <v>9.2389831859112288</v>
      </c>
    </row>
    <row r="388" spans="1:6" x14ac:dyDescent="0.3">
      <c r="A388" s="1">
        <v>45.05</v>
      </c>
      <c r="B388" s="1">
        <v>3.7465000000000002</v>
      </c>
      <c r="C388" s="5">
        <f>Tabela10[[#This Row],[Alongamento (mm/mm)]]/$I$2</f>
        <v>7.4929999999999997E-2</v>
      </c>
      <c r="D388" s="1">
        <v>291.89</v>
      </c>
      <c r="E388" s="5">
        <f>Tabela10[[#This Row],[Força (N)]]/$I$5</f>
        <v>9304008.2875129487</v>
      </c>
      <c r="F388" s="5">
        <f>Tabela10[[#This Row],[Tensão (Pa)]]/1000000</f>
        <v>9.3040082875129482</v>
      </c>
    </row>
    <row r="389" spans="1:6" x14ac:dyDescent="0.3">
      <c r="A389" s="1">
        <v>45.133000000000003</v>
      </c>
      <c r="B389" s="1">
        <v>3.7534000000000001</v>
      </c>
      <c r="C389" s="5">
        <f>Tabela10[[#This Row],[Alongamento (mm/mm)]]/$I$2</f>
        <v>7.5067999999999996E-2</v>
      </c>
      <c r="D389" s="1">
        <v>293.93</v>
      </c>
      <c r="E389" s="5">
        <f>Tabela10[[#This Row],[Força (N)]]/$I$5</f>
        <v>9369033.3891146705</v>
      </c>
      <c r="F389" s="5">
        <f>Tabela10[[#This Row],[Tensão (Pa)]]/1000000</f>
        <v>9.3690333891146711</v>
      </c>
    </row>
    <row r="390" spans="1:6" x14ac:dyDescent="0.3">
      <c r="A390" s="1">
        <v>45.216999999999999</v>
      </c>
      <c r="B390" s="1">
        <v>3.7604000000000002</v>
      </c>
      <c r="C390" s="5">
        <f>Tabela10[[#This Row],[Alongamento (mm/mm)]]/$I$2</f>
        <v>7.5207999999999997E-2</v>
      </c>
      <c r="D390" s="1">
        <v>295.97000000000003</v>
      </c>
      <c r="E390" s="5">
        <f>Tabela10[[#This Row],[Força (N)]]/$I$5</f>
        <v>9434058.490716394</v>
      </c>
      <c r="F390" s="5">
        <f>Tabela10[[#This Row],[Tensão (Pa)]]/1000000</f>
        <v>9.434058490716394</v>
      </c>
    </row>
    <row r="391" spans="1:6" x14ac:dyDescent="0.3">
      <c r="A391" s="1">
        <v>45.317</v>
      </c>
      <c r="B391" s="1">
        <v>3.7686999999999999</v>
      </c>
      <c r="C391" s="5">
        <f>Tabela10[[#This Row],[Alongamento (mm/mm)]]/$I$2</f>
        <v>7.5373999999999997E-2</v>
      </c>
      <c r="D391" s="1">
        <v>298.35000000000002</v>
      </c>
      <c r="E391" s="5">
        <f>Tabela10[[#This Row],[Força (N)]]/$I$5</f>
        <v>9509921.1092517339</v>
      </c>
      <c r="F391" s="5">
        <f>Tabela10[[#This Row],[Tensão (Pa)]]/1000000</f>
        <v>9.5099211092517333</v>
      </c>
    </row>
    <row r="392" spans="1:6" x14ac:dyDescent="0.3">
      <c r="A392" s="1">
        <v>45.4</v>
      </c>
      <c r="B392" s="1">
        <v>3.7755999999999998</v>
      </c>
      <c r="C392" s="5">
        <f>Tabela10[[#This Row],[Alongamento (mm/mm)]]/$I$2</f>
        <v>7.5511999999999996E-2</v>
      </c>
      <c r="D392" s="1">
        <v>300.39</v>
      </c>
      <c r="E392" s="5">
        <f>Tabela10[[#This Row],[Força (N)]]/$I$5</f>
        <v>9574946.2108534537</v>
      </c>
      <c r="F392" s="5">
        <f>Tabela10[[#This Row],[Tensão (Pa)]]/1000000</f>
        <v>9.5749462108534544</v>
      </c>
    </row>
    <row r="393" spans="1:6" x14ac:dyDescent="0.3">
      <c r="A393" s="1">
        <v>45.5</v>
      </c>
      <c r="B393" s="1">
        <v>3.7837999999999998</v>
      </c>
      <c r="C393" s="5">
        <f>Tabela10[[#This Row],[Alongamento (mm/mm)]]/$I$2</f>
        <v>7.5675999999999993E-2</v>
      </c>
      <c r="D393" s="1">
        <v>302.77999999999997</v>
      </c>
      <c r="E393" s="5">
        <f>Tabela10[[#This Row],[Força (N)]]/$I$5</f>
        <v>9651127.5798868425</v>
      </c>
      <c r="F393" s="5">
        <f>Tabela10[[#This Row],[Tensão (Pa)]]/1000000</f>
        <v>9.6511275798868432</v>
      </c>
    </row>
    <row r="394" spans="1:6" x14ac:dyDescent="0.3">
      <c r="A394" s="1">
        <v>45.582999999999998</v>
      </c>
      <c r="B394" s="1">
        <v>3.7909000000000002</v>
      </c>
      <c r="C394" s="5">
        <f>Tabela10[[#This Row],[Alongamento (mm/mm)]]/$I$2</f>
        <v>7.5817999999999997E-2</v>
      </c>
      <c r="D394" s="1">
        <v>304.82</v>
      </c>
      <c r="E394" s="5">
        <f>Tabela10[[#This Row],[Força (N)]]/$I$5</f>
        <v>9716152.6814885642</v>
      </c>
      <c r="F394" s="5">
        <f>Tabela10[[#This Row],[Tensão (Pa)]]/1000000</f>
        <v>9.7161526814885644</v>
      </c>
    </row>
    <row r="395" spans="1:6" x14ac:dyDescent="0.3">
      <c r="A395" s="1">
        <v>45.683</v>
      </c>
      <c r="B395" s="1">
        <v>3.7991999999999999</v>
      </c>
      <c r="C395" s="5">
        <f>Tabela10[[#This Row],[Alongamento (mm/mm)]]/$I$2</f>
        <v>7.5983999999999996E-2</v>
      </c>
      <c r="D395" s="1">
        <v>307.37</v>
      </c>
      <c r="E395" s="5">
        <f>Tabela10[[#This Row],[Força (N)]]/$I$5</f>
        <v>9797434.0584907178</v>
      </c>
      <c r="F395" s="5">
        <f>Tabela10[[#This Row],[Tensão (Pa)]]/1000000</f>
        <v>9.7974340584907171</v>
      </c>
    </row>
    <row r="396" spans="1:6" x14ac:dyDescent="0.3">
      <c r="A396" s="1">
        <v>45.783000000000001</v>
      </c>
      <c r="B396" s="1">
        <v>3.8075999999999999</v>
      </c>
      <c r="C396" s="5">
        <f>Tabela10[[#This Row],[Alongamento (mm/mm)]]/$I$2</f>
        <v>7.6151999999999997E-2</v>
      </c>
      <c r="D396" s="1">
        <v>309.92</v>
      </c>
      <c r="E396" s="5">
        <f>Tabela10[[#This Row],[Força (N)]]/$I$5</f>
        <v>9878715.4354928695</v>
      </c>
      <c r="F396" s="5">
        <f>Tabela10[[#This Row],[Tensão (Pa)]]/1000000</f>
        <v>9.8787154354928699</v>
      </c>
    </row>
    <row r="397" spans="1:6" x14ac:dyDescent="0.3">
      <c r="A397" s="1">
        <v>45.866999999999997</v>
      </c>
      <c r="B397" s="1">
        <v>3.8144</v>
      </c>
      <c r="C397" s="5">
        <f>Tabela10[[#This Row],[Alongamento (mm/mm)]]/$I$2</f>
        <v>7.6287999999999995E-2</v>
      </c>
      <c r="D397" s="1">
        <v>312.47000000000003</v>
      </c>
      <c r="E397" s="5">
        <f>Tabela10[[#This Row],[Força (N)]]/$I$5</f>
        <v>9959996.8124950211</v>
      </c>
      <c r="F397" s="5">
        <f>Tabela10[[#This Row],[Tensão (Pa)]]/1000000</f>
        <v>9.9599968124950209</v>
      </c>
    </row>
    <row r="398" spans="1:6" x14ac:dyDescent="0.3">
      <c r="A398" s="1">
        <v>45.95</v>
      </c>
      <c r="B398" s="1">
        <v>3.8214000000000001</v>
      </c>
      <c r="C398" s="5">
        <f>Tabela10[[#This Row],[Alongamento (mm/mm)]]/$I$2</f>
        <v>7.6427999999999996E-2</v>
      </c>
      <c r="D398" s="1">
        <v>314.85000000000002</v>
      </c>
      <c r="E398" s="5">
        <f>Tabela10[[#This Row],[Força (N)]]/$I$5</f>
        <v>10035859.431030363</v>
      </c>
      <c r="F398" s="5">
        <f>Tabela10[[#This Row],[Tensão (Pa)]]/1000000</f>
        <v>10.035859431030364</v>
      </c>
    </row>
    <row r="399" spans="1:6" x14ac:dyDescent="0.3">
      <c r="A399" s="1">
        <v>46.05</v>
      </c>
      <c r="B399" s="1">
        <v>3.8296999999999999</v>
      </c>
      <c r="C399" s="5">
        <f>Tabela10[[#This Row],[Alongamento (mm/mm)]]/$I$2</f>
        <v>7.6593999999999995E-2</v>
      </c>
      <c r="D399" s="1">
        <v>317.39999999999998</v>
      </c>
      <c r="E399" s="5">
        <f>Tabela10[[#This Row],[Força (N)]]/$I$5</f>
        <v>10117140.808032513</v>
      </c>
      <c r="F399" s="5">
        <f>Tabela10[[#This Row],[Tensão (Pa)]]/1000000</f>
        <v>10.117140808032513</v>
      </c>
    </row>
    <row r="400" spans="1:6" x14ac:dyDescent="0.3">
      <c r="A400" s="1">
        <v>46.15</v>
      </c>
      <c r="B400" s="1">
        <v>3.8380999999999998</v>
      </c>
      <c r="C400" s="5">
        <f>Tabela10[[#This Row],[Alongamento (mm/mm)]]/$I$2</f>
        <v>7.6761999999999997E-2</v>
      </c>
      <c r="D400" s="1">
        <v>319.95999999999998</v>
      </c>
      <c r="E400" s="5">
        <f>Tabela10[[#This Row],[Força (N)]]/$I$5</f>
        <v>10198740.935532711</v>
      </c>
      <c r="F400" s="5">
        <f>Tabela10[[#This Row],[Tensão (Pa)]]/1000000</f>
        <v>10.198740935532712</v>
      </c>
    </row>
    <row r="401" spans="1:6" x14ac:dyDescent="0.3">
      <c r="A401" s="1">
        <v>46.25</v>
      </c>
      <c r="B401" s="1">
        <v>3.8464</v>
      </c>
      <c r="C401" s="5">
        <f>Tabela10[[#This Row],[Alongamento (mm/mm)]]/$I$2</f>
        <v>7.6927999999999996E-2</v>
      </c>
      <c r="D401" s="1">
        <v>322.51</v>
      </c>
      <c r="E401" s="5">
        <f>Tabela10[[#This Row],[Força (N)]]/$I$5</f>
        <v>10280022.312534863</v>
      </c>
      <c r="F401" s="5">
        <f>Tabela10[[#This Row],[Tensão (Pa)]]/1000000</f>
        <v>10.280022312534863</v>
      </c>
    </row>
    <row r="402" spans="1:6" x14ac:dyDescent="0.3">
      <c r="A402" s="1">
        <v>46.35</v>
      </c>
      <c r="B402" s="1">
        <v>3.8548</v>
      </c>
      <c r="C402" s="5">
        <f>Tabela10[[#This Row],[Alongamento (mm/mm)]]/$I$2</f>
        <v>7.7095999999999998E-2</v>
      </c>
      <c r="D402" s="1">
        <v>325.23</v>
      </c>
      <c r="E402" s="5">
        <f>Tabela10[[#This Row],[Força (N)]]/$I$5</f>
        <v>10366722.448003827</v>
      </c>
      <c r="F402" s="5">
        <f>Tabela10[[#This Row],[Tensão (Pa)]]/1000000</f>
        <v>10.366722448003827</v>
      </c>
    </row>
    <row r="403" spans="1:6" x14ac:dyDescent="0.3">
      <c r="A403" s="1">
        <v>46.45</v>
      </c>
      <c r="B403" s="1">
        <v>3.8631000000000002</v>
      </c>
      <c r="C403" s="5">
        <f>Tabela10[[#This Row],[Alongamento (mm/mm)]]/$I$2</f>
        <v>7.7261999999999997E-2</v>
      </c>
      <c r="D403" s="1">
        <v>327.78</v>
      </c>
      <c r="E403" s="5">
        <f>Tabela10[[#This Row],[Força (N)]]/$I$5</f>
        <v>10448003.825005976</v>
      </c>
      <c r="F403" s="5">
        <f>Tabela10[[#This Row],[Tensão (Pa)]]/1000000</f>
        <v>10.448003825005976</v>
      </c>
    </row>
    <row r="404" spans="1:6" x14ac:dyDescent="0.3">
      <c r="A404" s="1">
        <v>46.55</v>
      </c>
      <c r="B404" s="1">
        <v>3.8714</v>
      </c>
      <c r="C404" s="5">
        <f>Tabela10[[#This Row],[Alongamento (mm/mm)]]/$I$2</f>
        <v>7.7427999999999997E-2</v>
      </c>
      <c r="D404" s="1">
        <v>330.5</v>
      </c>
      <c r="E404" s="5">
        <f>Tabela10[[#This Row],[Força (N)]]/$I$5</f>
        <v>10534703.960474938</v>
      </c>
      <c r="F404" s="5">
        <f>Tabela10[[#This Row],[Tensão (Pa)]]/1000000</f>
        <v>10.534703960474937</v>
      </c>
    </row>
    <row r="405" spans="1:6" x14ac:dyDescent="0.3">
      <c r="A405" s="1">
        <v>46.65</v>
      </c>
      <c r="B405" s="1">
        <v>3.8799000000000001</v>
      </c>
      <c r="C405" s="5">
        <f>Tabela10[[#This Row],[Alongamento (mm/mm)]]/$I$2</f>
        <v>7.7598E-2</v>
      </c>
      <c r="D405" s="1">
        <v>333.05</v>
      </c>
      <c r="E405" s="5">
        <f>Tabela10[[#This Row],[Força (N)]]/$I$5</f>
        <v>10615985.337477092</v>
      </c>
      <c r="F405" s="5">
        <f>Tabela10[[#This Row],[Tensão (Pa)]]/1000000</f>
        <v>10.615985337477092</v>
      </c>
    </row>
    <row r="406" spans="1:6" x14ac:dyDescent="0.3">
      <c r="A406" s="1">
        <v>46.75</v>
      </c>
      <c r="B406" s="1">
        <v>3.8881000000000001</v>
      </c>
      <c r="C406" s="5">
        <f>Tabela10[[#This Row],[Alongamento (mm/mm)]]/$I$2</f>
        <v>7.7761999999999998E-2</v>
      </c>
      <c r="D406" s="1">
        <v>335.6</v>
      </c>
      <c r="E406" s="5">
        <f>Tabela10[[#This Row],[Força (N)]]/$I$5</f>
        <v>10697266.714479243</v>
      </c>
      <c r="F406" s="5">
        <f>Tabela10[[#This Row],[Tensão (Pa)]]/1000000</f>
        <v>10.697266714479243</v>
      </c>
    </row>
    <row r="407" spans="1:6" x14ac:dyDescent="0.3">
      <c r="A407" s="1">
        <v>46.85</v>
      </c>
      <c r="B407" s="1">
        <v>3.8965000000000001</v>
      </c>
      <c r="C407" s="5">
        <f>Tabela10[[#This Row],[Alongamento (mm/mm)]]/$I$2</f>
        <v>7.7929999999999999E-2</v>
      </c>
      <c r="D407" s="1">
        <v>338.33</v>
      </c>
      <c r="E407" s="5">
        <f>Tabela10[[#This Row],[Força (N)]]/$I$5</f>
        <v>10784285.60044625</v>
      </c>
      <c r="F407" s="5">
        <f>Tabela10[[#This Row],[Tensão (Pa)]]/1000000</f>
        <v>10.78428560044625</v>
      </c>
    </row>
    <row r="408" spans="1:6" x14ac:dyDescent="0.3">
      <c r="A408" s="1">
        <v>46.95</v>
      </c>
      <c r="B408" s="1">
        <v>3.9047999999999998</v>
      </c>
      <c r="C408" s="5">
        <f>Tabela10[[#This Row],[Alongamento (mm/mm)]]/$I$2</f>
        <v>7.8095999999999999E-2</v>
      </c>
      <c r="D408" s="1">
        <v>341.05</v>
      </c>
      <c r="E408" s="5">
        <f>Tabela10[[#This Row],[Força (N)]]/$I$5</f>
        <v>10870985.735915214</v>
      </c>
      <c r="F408" s="5">
        <f>Tabela10[[#This Row],[Tensão (Pa)]]/1000000</f>
        <v>10.870985735915214</v>
      </c>
    </row>
    <row r="409" spans="1:6" x14ac:dyDescent="0.3">
      <c r="A409" s="1">
        <v>47.05</v>
      </c>
      <c r="B409" s="1">
        <v>3.9131</v>
      </c>
      <c r="C409" s="5">
        <f>Tabela10[[#This Row],[Alongamento (mm/mm)]]/$I$2</f>
        <v>7.8261999999999998E-2</v>
      </c>
      <c r="D409" s="1">
        <v>343.77</v>
      </c>
      <c r="E409" s="5">
        <f>Tabela10[[#This Row],[Força (N)]]/$I$5</f>
        <v>10957685.871384174</v>
      </c>
      <c r="F409" s="5">
        <f>Tabela10[[#This Row],[Tensão (Pa)]]/1000000</f>
        <v>10.957685871384173</v>
      </c>
    </row>
    <row r="410" spans="1:6" x14ac:dyDescent="0.3">
      <c r="A410" s="1">
        <v>47.15</v>
      </c>
      <c r="B410" s="1">
        <v>3.9215</v>
      </c>
      <c r="C410" s="5">
        <f>Tabela10[[#This Row],[Alongamento (mm/mm)]]/$I$2</f>
        <v>7.843E-2</v>
      </c>
      <c r="D410" s="1">
        <v>346.49</v>
      </c>
      <c r="E410" s="5">
        <f>Tabela10[[#This Row],[Força (N)]]/$I$5</f>
        <v>11044386.006853137</v>
      </c>
      <c r="F410" s="5">
        <f>Tabela10[[#This Row],[Tensão (Pa)]]/1000000</f>
        <v>11.044386006853138</v>
      </c>
    </row>
    <row r="411" spans="1:6" x14ac:dyDescent="0.3">
      <c r="A411" s="1">
        <v>47.25</v>
      </c>
      <c r="B411" s="1">
        <v>3.9298000000000002</v>
      </c>
      <c r="C411" s="5">
        <f>Tabela10[[#This Row],[Alongamento (mm/mm)]]/$I$2</f>
        <v>7.8595999999999999E-2</v>
      </c>
      <c r="D411" s="1">
        <v>349.04</v>
      </c>
      <c r="E411" s="5">
        <f>Tabela10[[#This Row],[Força (N)]]/$I$5</f>
        <v>11125667.383855289</v>
      </c>
      <c r="F411" s="5">
        <f>Tabela10[[#This Row],[Tensão (Pa)]]/1000000</f>
        <v>11.125667383855289</v>
      </c>
    </row>
    <row r="412" spans="1:6" x14ac:dyDescent="0.3">
      <c r="A412" s="1">
        <v>47.35</v>
      </c>
      <c r="B412" s="1">
        <v>3.9380999999999999</v>
      </c>
      <c r="C412" s="5">
        <f>Tabela10[[#This Row],[Alongamento (mm/mm)]]/$I$2</f>
        <v>7.8761999999999999E-2</v>
      </c>
      <c r="D412" s="1">
        <v>351.76</v>
      </c>
      <c r="E412" s="5">
        <f>Tabela10[[#This Row],[Força (N)]]/$I$5</f>
        <v>11212367.519324249</v>
      </c>
      <c r="F412" s="5">
        <f>Tabela10[[#This Row],[Tensão (Pa)]]/1000000</f>
        <v>11.212367519324248</v>
      </c>
    </row>
    <row r="413" spans="1:6" x14ac:dyDescent="0.3">
      <c r="A413" s="1">
        <v>47.45</v>
      </c>
      <c r="B413" s="1">
        <v>3.9464999999999999</v>
      </c>
      <c r="C413" s="5">
        <f>Tabela10[[#This Row],[Alongamento (mm/mm)]]/$I$2</f>
        <v>7.893E-2</v>
      </c>
      <c r="D413" s="1">
        <v>354.49</v>
      </c>
      <c r="E413" s="5">
        <f>Tabela10[[#This Row],[Força (N)]]/$I$5</f>
        <v>11299386.405291259</v>
      </c>
      <c r="F413" s="5">
        <f>Tabela10[[#This Row],[Tensão (Pa)]]/1000000</f>
        <v>11.299386405291258</v>
      </c>
    </row>
    <row r="414" spans="1:6" x14ac:dyDescent="0.3">
      <c r="A414" s="1">
        <v>47.55</v>
      </c>
      <c r="B414" s="1">
        <v>3.9548000000000001</v>
      </c>
      <c r="C414" s="5">
        <f>Tabela10[[#This Row],[Alongamento (mm/mm)]]/$I$2</f>
        <v>7.9096E-2</v>
      </c>
      <c r="D414" s="1">
        <v>357.21</v>
      </c>
      <c r="E414" s="5">
        <f>Tabela10[[#This Row],[Força (N)]]/$I$5</f>
        <v>11386086.540760219</v>
      </c>
      <c r="F414" s="5">
        <f>Tabela10[[#This Row],[Tensão (Pa)]]/1000000</f>
        <v>11.386086540760219</v>
      </c>
    </row>
    <row r="415" spans="1:6" x14ac:dyDescent="0.3">
      <c r="A415" s="1">
        <v>47.667000000000002</v>
      </c>
      <c r="B415" s="1">
        <v>3.9645000000000001</v>
      </c>
      <c r="C415" s="5">
        <f>Tabela10[[#This Row],[Alongamento (mm/mm)]]/$I$2</f>
        <v>7.9289999999999999E-2</v>
      </c>
      <c r="D415" s="1">
        <v>360.27</v>
      </c>
      <c r="E415" s="5">
        <f>Tabela10[[#This Row],[Força (N)]]/$I$5</f>
        <v>11483624.193162803</v>
      </c>
      <c r="F415" s="5">
        <f>Tabela10[[#This Row],[Tensão (Pa)]]/1000000</f>
        <v>11.483624193162802</v>
      </c>
    </row>
    <row r="416" spans="1:6" x14ac:dyDescent="0.3">
      <c r="A416" s="1">
        <v>47.767000000000003</v>
      </c>
      <c r="B416" s="1">
        <v>3.9729000000000001</v>
      </c>
      <c r="C416" s="5">
        <f>Tabela10[[#This Row],[Alongamento (mm/mm)]]/$I$2</f>
        <v>7.9458000000000001E-2</v>
      </c>
      <c r="D416" s="1">
        <v>362.99</v>
      </c>
      <c r="E416" s="5">
        <f>Tabela10[[#This Row],[Força (N)]]/$I$5</f>
        <v>11570324.328631764</v>
      </c>
      <c r="F416" s="5">
        <f>Tabela10[[#This Row],[Tensão (Pa)]]/1000000</f>
        <v>11.570324328631765</v>
      </c>
    </row>
    <row r="417" spans="1:6" x14ac:dyDescent="0.3">
      <c r="A417" s="1">
        <v>47.866999999999997</v>
      </c>
      <c r="B417" s="1">
        <v>3.9811999999999999</v>
      </c>
      <c r="C417" s="5">
        <f>Tabela10[[#This Row],[Alongamento (mm/mm)]]/$I$2</f>
        <v>7.9624E-2</v>
      </c>
      <c r="D417" s="1">
        <v>365.71</v>
      </c>
      <c r="E417" s="5">
        <f>Tabela10[[#This Row],[Força (N)]]/$I$5</f>
        <v>11657024.464100726</v>
      </c>
      <c r="F417" s="5">
        <f>Tabela10[[#This Row],[Tensão (Pa)]]/1000000</f>
        <v>11.657024464100726</v>
      </c>
    </row>
    <row r="418" spans="1:6" x14ac:dyDescent="0.3">
      <c r="A418" s="1">
        <v>47.966999999999999</v>
      </c>
      <c r="B418" s="1">
        <v>3.9895999999999998</v>
      </c>
      <c r="C418" s="5">
        <f>Tabela10[[#This Row],[Alongamento (mm/mm)]]/$I$2</f>
        <v>7.9792000000000002E-2</v>
      </c>
      <c r="D418" s="1">
        <v>368.43</v>
      </c>
      <c r="E418" s="5">
        <f>Tabela10[[#This Row],[Força (N)]]/$I$5</f>
        <v>11743724.599569688</v>
      </c>
      <c r="F418" s="5">
        <f>Tabela10[[#This Row],[Tensão (Pa)]]/1000000</f>
        <v>11.743724599569688</v>
      </c>
    </row>
    <row r="419" spans="1:6" x14ac:dyDescent="0.3">
      <c r="A419" s="1">
        <v>48.067</v>
      </c>
      <c r="B419" s="1">
        <v>3.9979</v>
      </c>
      <c r="C419" s="5">
        <f>Tabela10[[#This Row],[Alongamento (mm/mm)]]/$I$2</f>
        <v>7.9958000000000001E-2</v>
      </c>
      <c r="D419" s="1">
        <v>371.33</v>
      </c>
      <c r="E419" s="5">
        <f>Tabela10[[#This Row],[Força (N)]]/$I$5</f>
        <v>11836162.244003506</v>
      </c>
      <c r="F419" s="5">
        <f>Tabela10[[#This Row],[Tensão (Pa)]]/1000000</f>
        <v>11.836162244003507</v>
      </c>
    </row>
    <row r="420" spans="1:6" x14ac:dyDescent="0.3">
      <c r="A420" s="1">
        <v>48.167000000000002</v>
      </c>
      <c r="B420" s="1">
        <v>4.0061</v>
      </c>
      <c r="C420" s="5">
        <f>Tabela10[[#This Row],[Alongamento (mm/mm)]]/$I$2</f>
        <v>8.0121999999999999E-2</v>
      </c>
      <c r="D420" s="1">
        <v>374.05</v>
      </c>
      <c r="E420" s="5">
        <f>Tabela10[[#This Row],[Força (N)]]/$I$5</f>
        <v>11922862.379472468</v>
      </c>
      <c r="F420" s="5">
        <f>Tabela10[[#This Row],[Tensão (Pa)]]/1000000</f>
        <v>11.922862379472468</v>
      </c>
    </row>
    <row r="421" spans="1:6" x14ac:dyDescent="0.3">
      <c r="A421" s="1">
        <v>48.267000000000003</v>
      </c>
      <c r="B421" s="1">
        <v>4.0145</v>
      </c>
      <c r="C421" s="5">
        <f>Tabela10[[#This Row],[Alongamento (mm/mm)]]/$I$2</f>
        <v>8.029E-2</v>
      </c>
      <c r="D421" s="1">
        <v>376.94</v>
      </c>
      <c r="E421" s="5">
        <f>Tabela10[[#This Row],[Força (N)]]/$I$5</f>
        <v>12014981.27340824</v>
      </c>
      <c r="F421" s="5">
        <f>Tabela10[[#This Row],[Tensão (Pa)]]/1000000</f>
        <v>12.014981273408239</v>
      </c>
    </row>
    <row r="422" spans="1:6" x14ac:dyDescent="0.3">
      <c r="A422" s="1">
        <v>48.366999999999997</v>
      </c>
      <c r="B422" s="1">
        <v>4.0228000000000002</v>
      </c>
      <c r="C422" s="5">
        <f>Tabela10[[#This Row],[Alongamento (mm/mm)]]/$I$2</f>
        <v>8.0456E-2</v>
      </c>
      <c r="D422" s="1">
        <v>379.66</v>
      </c>
      <c r="E422" s="5">
        <f>Tabela10[[#This Row],[Força (N)]]/$I$5</f>
        <v>12101681.408877203</v>
      </c>
      <c r="F422" s="5">
        <f>Tabela10[[#This Row],[Tensão (Pa)]]/1000000</f>
        <v>12.101681408877203</v>
      </c>
    </row>
    <row r="423" spans="1:6" x14ac:dyDescent="0.3">
      <c r="A423" s="1">
        <v>48.466999999999999</v>
      </c>
      <c r="B423" s="1">
        <v>4.0312000000000001</v>
      </c>
      <c r="C423" s="5">
        <f>Tabela10[[#This Row],[Alongamento (mm/mm)]]/$I$2</f>
        <v>8.0624000000000001E-2</v>
      </c>
      <c r="D423" s="1">
        <v>382.55</v>
      </c>
      <c r="E423" s="5">
        <f>Tabela10[[#This Row],[Força (N)]]/$I$5</f>
        <v>12193800.302812975</v>
      </c>
      <c r="F423" s="5">
        <f>Tabela10[[#This Row],[Tensão (Pa)]]/1000000</f>
        <v>12.193800302812974</v>
      </c>
    </row>
    <row r="424" spans="1:6" x14ac:dyDescent="0.3">
      <c r="A424" s="1">
        <v>48.567</v>
      </c>
      <c r="B424" s="1">
        <v>4.0396000000000001</v>
      </c>
      <c r="C424" s="5">
        <f>Tabela10[[#This Row],[Alongamento (mm/mm)]]/$I$2</f>
        <v>8.0792000000000003E-2</v>
      </c>
      <c r="D424" s="1">
        <v>385.27</v>
      </c>
      <c r="E424" s="5">
        <f>Tabela10[[#This Row],[Força (N)]]/$I$5</f>
        <v>12280500.438281935</v>
      </c>
      <c r="F424" s="5">
        <f>Tabela10[[#This Row],[Tensão (Pa)]]/1000000</f>
        <v>12.280500438281935</v>
      </c>
    </row>
    <row r="425" spans="1:6" x14ac:dyDescent="0.3">
      <c r="A425" s="1">
        <v>48.667000000000002</v>
      </c>
      <c r="B425" s="1">
        <v>4.0477999999999996</v>
      </c>
      <c r="C425" s="5">
        <f>Tabela10[[#This Row],[Alongamento (mm/mm)]]/$I$2</f>
        <v>8.0955999999999986E-2</v>
      </c>
      <c r="D425" s="1">
        <v>388</v>
      </c>
      <c r="E425" s="5">
        <f>Tabela10[[#This Row],[Força (N)]]/$I$5</f>
        <v>12367519.324248945</v>
      </c>
      <c r="F425" s="5">
        <f>Tabela10[[#This Row],[Tensão (Pa)]]/1000000</f>
        <v>12.367519324248946</v>
      </c>
    </row>
    <row r="426" spans="1:6" x14ac:dyDescent="0.3">
      <c r="A426" s="1">
        <v>48.767000000000003</v>
      </c>
      <c r="B426" s="1">
        <v>4.0561999999999996</v>
      </c>
      <c r="C426" s="5">
        <f>Tabela10[[#This Row],[Alongamento (mm/mm)]]/$I$2</f>
        <v>8.1123999999999988E-2</v>
      </c>
      <c r="D426" s="1">
        <v>390.89</v>
      </c>
      <c r="E426" s="5">
        <f>Tabela10[[#This Row],[Força (N)]]/$I$5</f>
        <v>12459638.218184717</v>
      </c>
      <c r="F426" s="5">
        <f>Tabela10[[#This Row],[Tensão (Pa)]]/1000000</f>
        <v>12.459638218184717</v>
      </c>
    </row>
    <row r="427" spans="1:6" x14ac:dyDescent="0.3">
      <c r="A427" s="1">
        <v>48.866999999999997</v>
      </c>
      <c r="B427" s="1">
        <v>4.0644999999999998</v>
      </c>
      <c r="C427" s="5">
        <f>Tabela10[[#This Row],[Alongamento (mm/mm)]]/$I$2</f>
        <v>8.1290000000000001E-2</v>
      </c>
      <c r="D427" s="1">
        <v>393.61</v>
      </c>
      <c r="E427" s="5">
        <f>Tabela10[[#This Row],[Força (N)]]/$I$5</f>
        <v>12546338.353653679</v>
      </c>
      <c r="F427" s="5">
        <f>Tabela10[[#This Row],[Tensão (Pa)]]/1000000</f>
        <v>12.546338353653679</v>
      </c>
    </row>
    <row r="428" spans="1:6" x14ac:dyDescent="0.3">
      <c r="A428" s="1">
        <v>48.982999999999997</v>
      </c>
      <c r="B428" s="1">
        <v>4.0743</v>
      </c>
      <c r="C428" s="5">
        <f>Tabela10[[#This Row],[Alongamento (mm/mm)]]/$I$2</f>
        <v>8.1486000000000003E-2</v>
      </c>
      <c r="D428" s="1">
        <v>397.01</v>
      </c>
      <c r="E428" s="5">
        <f>Tabela10[[#This Row],[Força (N)]]/$I$5</f>
        <v>12654713.52298988</v>
      </c>
      <c r="F428" s="5">
        <f>Tabela10[[#This Row],[Tensão (Pa)]]/1000000</f>
        <v>12.65471352298988</v>
      </c>
    </row>
    <row r="429" spans="1:6" x14ac:dyDescent="0.3">
      <c r="A429" s="1">
        <v>49.1</v>
      </c>
      <c r="B429" s="1">
        <v>4.0838999999999999</v>
      </c>
      <c r="C429" s="5">
        <f>Tabela10[[#This Row],[Alongamento (mm/mm)]]/$I$2</f>
        <v>8.1678000000000001E-2</v>
      </c>
      <c r="D429" s="1">
        <v>400.24</v>
      </c>
      <c r="E429" s="5">
        <f>Tabela10[[#This Row],[Força (N)]]/$I$5</f>
        <v>12757669.933859272</v>
      </c>
      <c r="F429" s="5">
        <f>Tabela10[[#This Row],[Tensão (Pa)]]/1000000</f>
        <v>12.757669933859273</v>
      </c>
    </row>
    <row r="430" spans="1:6" x14ac:dyDescent="0.3">
      <c r="A430" s="1">
        <v>49.216999999999999</v>
      </c>
      <c r="B430" s="1">
        <v>4.0936000000000003</v>
      </c>
      <c r="C430" s="5">
        <f>Tabela10[[#This Row],[Alongamento (mm/mm)]]/$I$2</f>
        <v>8.1872E-2</v>
      </c>
      <c r="D430" s="1">
        <v>403.64</v>
      </c>
      <c r="E430" s="5">
        <f>Tabela10[[#This Row],[Força (N)]]/$I$5</f>
        <v>12866045.103195474</v>
      </c>
      <c r="F430" s="5">
        <f>Tabela10[[#This Row],[Tensão (Pa)]]/1000000</f>
        <v>12.866045103195473</v>
      </c>
    </row>
    <row r="431" spans="1:6" x14ac:dyDescent="0.3">
      <c r="A431" s="1">
        <v>49.332999999999998</v>
      </c>
      <c r="B431" s="1">
        <v>4.1033999999999997</v>
      </c>
      <c r="C431" s="5">
        <f>Tabela10[[#This Row],[Alongamento (mm/mm)]]/$I$2</f>
        <v>8.2067999999999988E-2</v>
      </c>
      <c r="D431" s="1">
        <v>407.05</v>
      </c>
      <c r="E431" s="5">
        <f>Tabela10[[#This Row],[Força (N)]]/$I$5</f>
        <v>12974739.023029724</v>
      </c>
      <c r="F431" s="5">
        <f>Tabela10[[#This Row],[Tensão (Pa)]]/1000000</f>
        <v>12.974739023029723</v>
      </c>
    </row>
    <row r="432" spans="1:6" x14ac:dyDescent="0.3">
      <c r="A432" s="1">
        <v>49.45</v>
      </c>
      <c r="B432" s="1">
        <v>4.1132</v>
      </c>
      <c r="C432" s="5">
        <f>Tabela10[[#This Row],[Alongamento (mm/mm)]]/$I$2</f>
        <v>8.2264000000000004E-2</v>
      </c>
      <c r="D432" s="1">
        <v>410.28</v>
      </c>
      <c r="E432" s="5">
        <f>Tabela10[[#This Row],[Força (N)]]/$I$5</f>
        <v>13077695.433899116</v>
      </c>
      <c r="F432" s="5">
        <f>Tabela10[[#This Row],[Tensão (Pa)]]/1000000</f>
        <v>13.077695433899116</v>
      </c>
    </row>
    <row r="433" spans="1:6" x14ac:dyDescent="0.3">
      <c r="A433" s="1">
        <v>49.567</v>
      </c>
      <c r="B433" s="1">
        <v>4.1227999999999998</v>
      </c>
      <c r="C433" s="5">
        <f>Tabela10[[#This Row],[Alongamento (mm/mm)]]/$I$2</f>
        <v>8.2456000000000002E-2</v>
      </c>
      <c r="D433" s="1">
        <v>413.68</v>
      </c>
      <c r="E433" s="5">
        <f>Tabela10[[#This Row],[Força (N)]]/$I$5</f>
        <v>13186070.603235319</v>
      </c>
      <c r="F433" s="5">
        <f>Tabela10[[#This Row],[Tensão (Pa)]]/1000000</f>
        <v>13.186070603235319</v>
      </c>
    </row>
    <row r="434" spans="1:6" x14ac:dyDescent="0.3">
      <c r="A434" s="1">
        <v>49.683</v>
      </c>
      <c r="B434" s="1">
        <v>4.1326000000000001</v>
      </c>
      <c r="C434" s="5">
        <f>Tabela10[[#This Row],[Alongamento (mm/mm)]]/$I$2</f>
        <v>8.2652000000000003E-2</v>
      </c>
      <c r="D434" s="1">
        <v>417.08</v>
      </c>
      <c r="E434" s="5">
        <f>Tabela10[[#This Row],[Força (N)]]/$I$5</f>
        <v>13294445.772571519</v>
      </c>
      <c r="F434" s="5">
        <f>Tabela10[[#This Row],[Tensão (Pa)]]/1000000</f>
        <v>13.294445772571519</v>
      </c>
    </row>
    <row r="435" spans="1:6" x14ac:dyDescent="0.3">
      <c r="A435" s="1">
        <v>49.8</v>
      </c>
      <c r="B435" s="1">
        <v>4.1424000000000003</v>
      </c>
      <c r="C435" s="5">
        <f>Tabela10[[#This Row],[Alongamento (mm/mm)]]/$I$2</f>
        <v>8.2848000000000005E-2</v>
      </c>
      <c r="D435" s="1">
        <v>420.48</v>
      </c>
      <c r="E435" s="5">
        <f>Tabela10[[#This Row],[Força (N)]]/$I$5</f>
        <v>13402820.941907723</v>
      </c>
      <c r="F435" s="5">
        <f>Tabela10[[#This Row],[Tensão (Pa)]]/1000000</f>
        <v>13.402820941907722</v>
      </c>
    </row>
    <row r="436" spans="1:6" x14ac:dyDescent="0.3">
      <c r="A436" s="1">
        <v>49.917000000000002</v>
      </c>
      <c r="B436" s="1">
        <v>4.1520999999999999</v>
      </c>
      <c r="C436" s="5">
        <f>Tabela10[[#This Row],[Alongamento (mm/mm)]]/$I$2</f>
        <v>8.3042000000000005E-2</v>
      </c>
      <c r="D436" s="1">
        <v>423.89</v>
      </c>
      <c r="E436" s="5">
        <f>Tabela10[[#This Row],[Força (N)]]/$I$5</f>
        <v>13511514.861741971</v>
      </c>
      <c r="F436" s="5">
        <f>Tabela10[[#This Row],[Tensão (Pa)]]/1000000</f>
        <v>13.511514861741972</v>
      </c>
    </row>
    <row r="437" spans="1:6" x14ac:dyDescent="0.3">
      <c r="A437" s="1">
        <v>50.033000000000001</v>
      </c>
      <c r="B437" s="1">
        <v>4.1616999999999997</v>
      </c>
      <c r="C437" s="5">
        <f>Tabela10[[#This Row],[Alongamento (mm/mm)]]/$I$2</f>
        <v>8.3233999999999989E-2</v>
      </c>
      <c r="D437" s="1">
        <v>427.29</v>
      </c>
      <c r="E437" s="5">
        <f>Tabela10[[#This Row],[Força (N)]]/$I$5</f>
        <v>13619890.031078175</v>
      </c>
      <c r="F437" s="5">
        <f>Tabela10[[#This Row],[Tensão (Pa)]]/1000000</f>
        <v>13.619890031078175</v>
      </c>
    </row>
    <row r="438" spans="1:6" x14ac:dyDescent="0.3">
      <c r="A438" s="1">
        <v>50.15</v>
      </c>
      <c r="B438" s="1">
        <v>4.1714000000000002</v>
      </c>
      <c r="C438" s="5">
        <f>Tabela10[[#This Row],[Alongamento (mm/mm)]]/$I$2</f>
        <v>8.3428000000000002E-2</v>
      </c>
      <c r="D438" s="1">
        <v>430.69</v>
      </c>
      <c r="E438" s="5">
        <f>Tabela10[[#This Row],[Força (N)]]/$I$5</f>
        <v>13728265.200414376</v>
      </c>
      <c r="F438" s="5">
        <f>Tabela10[[#This Row],[Tensão (Pa)]]/1000000</f>
        <v>13.728265200414377</v>
      </c>
    </row>
    <row r="439" spans="1:6" x14ac:dyDescent="0.3">
      <c r="A439" s="1">
        <v>50.25</v>
      </c>
      <c r="B439" s="1">
        <v>4.1798000000000002</v>
      </c>
      <c r="C439" s="5">
        <f>Tabela10[[#This Row],[Alongamento (mm/mm)]]/$I$2</f>
        <v>8.3596000000000004E-2</v>
      </c>
      <c r="D439" s="1">
        <v>433.75</v>
      </c>
      <c r="E439" s="5">
        <f>Tabela10[[#This Row],[Força (N)]]/$I$5</f>
        <v>13825802.852816958</v>
      </c>
      <c r="F439" s="5">
        <f>Tabela10[[#This Row],[Tensão (Pa)]]/1000000</f>
        <v>13.825802852816958</v>
      </c>
    </row>
    <row r="440" spans="1:6" x14ac:dyDescent="0.3">
      <c r="A440" s="1">
        <v>50.35</v>
      </c>
      <c r="B440" s="1">
        <v>4.1882000000000001</v>
      </c>
      <c r="C440" s="5">
        <f>Tabela10[[#This Row],[Alongamento (mm/mm)]]/$I$2</f>
        <v>8.3764000000000005E-2</v>
      </c>
      <c r="D440" s="1">
        <v>436.81</v>
      </c>
      <c r="E440" s="5">
        <f>Tabela10[[#This Row],[Força (N)]]/$I$5</f>
        <v>13923340.50521954</v>
      </c>
      <c r="F440" s="5">
        <f>Tabela10[[#This Row],[Tensão (Pa)]]/1000000</f>
        <v>13.92334050521954</v>
      </c>
    </row>
    <row r="441" spans="1:6" x14ac:dyDescent="0.3">
      <c r="A441" s="1">
        <v>50.466999999999999</v>
      </c>
      <c r="B441" s="1">
        <v>4.1978</v>
      </c>
      <c r="C441" s="5">
        <f>Tabela10[[#This Row],[Alongamento (mm/mm)]]/$I$2</f>
        <v>8.3956000000000003E-2</v>
      </c>
      <c r="D441" s="1">
        <v>440.22</v>
      </c>
      <c r="E441" s="5">
        <f>Tabela10[[#This Row],[Força (N)]]/$I$5</f>
        <v>14032034.42505379</v>
      </c>
      <c r="F441" s="5">
        <f>Tabela10[[#This Row],[Tensão (Pa)]]/1000000</f>
        <v>14.032034425053791</v>
      </c>
    </row>
    <row r="442" spans="1:6" x14ac:dyDescent="0.3">
      <c r="A442" s="1">
        <v>50.582999999999998</v>
      </c>
      <c r="B442" s="1">
        <v>4.2074999999999996</v>
      </c>
      <c r="C442" s="5">
        <f>Tabela10[[#This Row],[Alongamento (mm/mm)]]/$I$2</f>
        <v>8.4149999999999989E-2</v>
      </c>
      <c r="D442" s="1">
        <v>443.79</v>
      </c>
      <c r="E442" s="5">
        <f>Tabela10[[#This Row],[Força (N)]]/$I$5</f>
        <v>14145828.352856804</v>
      </c>
      <c r="F442" s="5">
        <f>Tabela10[[#This Row],[Tensão (Pa)]]/1000000</f>
        <v>14.145828352856803</v>
      </c>
    </row>
    <row r="443" spans="1:6" x14ac:dyDescent="0.3">
      <c r="A443" s="1">
        <v>50.7</v>
      </c>
      <c r="B443" s="1">
        <v>4.2172999999999998</v>
      </c>
      <c r="C443" s="5">
        <f>Tabela10[[#This Row],[Alongamento (mm/mm)]]/$I$2</f>
        <v>8.434599999999999E-2</v>
      </c>
      <c r="D443" s="1">
        <v>447.19</v>
      </c>
      <c r="E443" s="5">
        <f>Tabela10[[#This Row],[Força (N)]]/$I$5</f>
        <v>14254203.522193003</v>
      </c>
      <c r="F443" s="5">
        <f>Tabela10[[#This Row],[Tensão (Pa)]]/1000000</f>
        <v>14.254203522193004</v>
      </c>
    </row>
    <row r="444" spans="1:6" x14ac:dyDescent="0.3">
      <c r="A444" s="1">
        <v>50.817</v>
      </c>
      <c r="B444" s="1">
        <v>4.2271000000000001</v>
      </c>
      <c r="C444" s="5">
        <f>Tabela10[[#This Row],[Alongamento (mm/mm)]]/$I$2</f>
        <v>8.4542000000000006E-2</v>
      </c>
      <c r="D444" s="1">
        <v>450.76</v>
      </c>
      <c r="E444" s="5">
        <f>Tabela10[[#This Row],[Força (N)]]/$I$5</f>
        <v>14367997.449996017</v>
      </c>
      <c r="F444" s="5">
        <f>Tabela10[[#This Row],[Tensão (Pa)]]/1000000</f>
        <v>14.367997449996016</v>
      </c>
    </row>
    <row r="445" spans="1:6" x14ac:dyDescent="0.3">
      <c r="A445" s="1">
        <v>50.933</v>
      </c>
      <c r="B445" s="1">
        <v>4.2366999999999999</v>
      </c>
      <c r="C445" s="5">
        <f>Tabela10[[#This Row],[Alongamento (mm/mm)]]/$I$2</f>
        <v>8.4734000000000004E-2</v>
      </c>
      <c r="D445" s="1">
        <v>454.33</v>
      </c>
      <c r="E445" s="5">
        <f>Tabela10[[#This Row],[Força (N)]]/$I$5</f>
        <v>14481791.377799029</v>
      </c>
      <c r="F445" s="5">
        <f>Tabela10[[#This Row],[Tensão (Pa)]]/1000000</f>
        <v>14.481791377799029</v>
      </c>
    </row>
    <row r="446" spans="1:6" x14ac:dyDescent="0.3">
      <c r="A446" s="1">
        <v>51.05</v>
      </c>
      <c r="B446" s="1">
        <v>4.2464000000000004</v>
      </c>
      <c r="C446" s="5">
        <f>Tabela10[[#This Row],[Alongamento (mm/mm)]]/$I$2</f>
        <v>8.4928000000000003E-2</v>
      </c>
      <c r="D446" s="1">
        <v>457.91</v>
      </c>
      <c r="E446" s="5">
        <f>Tabela10[[#This Row],[Força (N)]]/$I$5</f>
        <v>14595904.056100089</v>
      </c>
      <c r="F446" s="5">
        <f>Tabela10[[#This Row],[Tensão (Pa)]]/1000000</f>
        <v>14.595904056100089</v>
      </c>
    </row>
    <row r="447" spans="1:6" x14ac:dyDescent="0.3">
      <c r="A447" s="1">
        <v>51.167000000000002</v>
      </c>
      <c r="B447" s="1">
        <v>4.2561999999999998</v>
      </c>
      <c r="C447" s="5">
        <f>Tabela10[[#This Row],[Alongamento (mm/mm)]]/$I$2</f>
        <v>8.5123999999999991E-2</v>
      </c>
      <c r="D447" s="1">
        <v>461.48</v>
      </c>
      <c r="E447" s="5">
        <f>Tabela10[[#This Row],[Força (N)]]/$I$5</f>
        <v>14709697.983903101</v>
      </c>
      <c r="F447" s="5">
        <f>Tabela10[[#This Row],[Tensão (Pa)]]/1000000</f>
        <v>14.709697983903101</v>
      </c>
    </row>
    <row r="448" spans="1:6" x14ac:dyDescent="0.3">
      <c r="A448" s="1">
        <v>51.283000000000001</v>
      </c>
      <c r="B448" s="1">
        <v>4.2659000000000002</v>
      </c>
      <c r="C448" s="5">
        <f>Tabela10[[#This Row],[Alongamento (mm/mm)]]/$I$2</f>
        <v>8.5318000000000005E-2</v>
      </c>
      <c r="D448" s="1">
        <v>465.05</v>
      </c>
      <c r="E448" s="5">
        <f>Tabela10[[#This Row],[Força (N)]]/$I$5</f>
        <v>14823491.911706112</v>
      </c>
      <c r="F448" s="5">
        <f>Tabela10[[#This Row],[Tensão (Pa)]]/1000000</f>
        <v>14.823491911706112</v>
      </c>
    </row>
    <row r="449" spans="1:6" x14ac:dyDescent="0.3">
      <c r="A449" s="1">
        <v>51.4</v>
      </c>
      <c r="B449" s="1">
        <v>4.2755999999999998</v>
      </c>
      <c r="C449" s="5">
        <f>Tabela10[[#This Row],[Alongamento (mm/mm)]]/$I$2</f>
        <v>8.5511999999999991E-2</v>
      </c>
      <c r="D449" s="1">
        <v>468.62</v>
      </c>
      <c r="E449" s="5">
        <f>Tabela10[[#This Row],[Força (N)]]/$I$5</f>
        <v>14937285.839509126</v>
      </c>
      <c r="F449" s="5">
        <f>Tabela10[[#This Row],[Tensão (Pa)]]/1000000</f>
        <v>14.937285839509126</v>
      </c>
    </row>
    <row r="450" spans="1:6" x14ac:dyDescent="0.3">
      <c r="A450" s="1">
        <v>51.517000000000003</v>
      </c>
      <c r="B450" s="1">
        <v>4.2853000000000003</v>
      </c>
      <c r="C450" s="5">
        <f>Tabela10[[#This Row],[Alongamento (mm/mm)]]/$I$2</f>
        <v>8.5706000000000004E-2</v>
      </c>
      <c r="D450" s="1">
        <v>472.36</v>
      </c>
      <c r="E450" s="5">
        <f>Tabela10[[#This Row],[Força (N)]]/$I$5</f>
        <v>15056498.525778947</v>
      </c>
      <c r="F450" s="5">
        <f>Tabela10[[#This Row],[Tensão (Pa)]]/1000000</f>
        <v>15.056498525778947</v>
      </c>
    </row>
    <row r="451" spans="1:6" x14ac:dyDescent="0.3">
      <c r="A451" s="1">
        <v>51.633000000000003</v>
      </c>
      <c r="B451" s="1">
        <v>4.2949999999999999</v>
      </c>
      <c r="C451" s="5">
        <f>Tabela10[[#This Row],[Alongamento (mm/mm)]]/$I$2</f>
        <v>8.5900000000000004E-2</v>
      </c>
      <c r="D451" s="1">
        <v>475.94</v>
      </c>
      <c r="E451" s="5">
        <f>Tabela10[[#This Row],[Força (N)]]/$I$5</f>
        <v>15170611.204080008</v>
      </c>
      <c r="F451" s="5">
        <f>Tabela10[[#This Row],[Tensão (Pa)]]/1000000</f>
        <v>15.170611204080007</v>
      </c>
    </row>
    <row r="452" spans="1:6" x14ac:dyDescent="0.3">
      <c r="A452" s="1">
        <v>51.75</v>
      </c>
      <c r="B452" s="1">
        <v>4.3048999999999999</v>
      </c>
      <c r="C452" s="5">
        <f>Tabela10[[#This Row],[Alongamento (mm/mm)]]/$I$2</f>
        <v>8.6097999999999994E-2</v>
      </c>
      <c r="D452" s="1">
        <v>479.68</v>
      </c>
      <c r="E452" s="5">
        <f>Tabela10[[#This Row],[Força (N)]]/$I$5</f>
        <v>15289823.89034983</v>
      </c>
      <c r="F452" s="5">
        <f>Tabela10[[#This Row],[Tensão (Pa)]]/1000000</f>
        <v>15.28982389034983</v>
      </c>
    </row>
    <row r="453" spans="1:6" x14ac:dyDescent="0.3">
      <c r="A453" s="1">
        <v>51.866999999999997</v>
      </c>
      <c r="B453" s="1">
        <v>4.3144999999999998</v>
      </c>
      <c r="C453" s="5">
        <f>Tabela10[[#This Row],[Alongamento (mm/mm)]]/$I$2</f>
        <v>8.6289999999999992E-2</v>
      </c>
      <c r="D453" s="1">
        <v>483.42</v>
      </c>
      <c r="E453" s="5">
        <f>Tabela10[[#This Row],[Força (N)]]/$I$5</f>
        <v>15409036.576619653</v>
      </c>
      <c r="F453" s="5">
        <f>Tabela10[[#This Row],[Tensão (Pa)]]/1000000</f>
        <v>15.409036576619654</v>
      </c>
    </row>
    <row r="454" spans="1:6" x14ac:dyDescent="0.3">
      <c r="A454" s="1">
        <v>51.982999999999997</v>
      </c>
      <c r="B454" s="1">
        <v>4.3243</v>
      </c>
      <c r="C454" s="5">
        <f>Tabela10[[#This Row],[Alongamento (mm/mm)]]/$I$2</f>
        <v>8.6486000000000007E-2</v>
      </c>
      <c r="D454" s="1">
        <v>487.16</v>
      </c>
      <c r="E454" s="5">
        <f>Tabela10[[#This Row],[Força (N)]]/$I$5</f>
        <v>15528249.262889475</v>
      </c>
      <c r="F454" s="5">
        <f>Tabela10[[#This Row],[Tensão (Pa)]]/1000000</f>
        <v>15.528249262889474</v>
      </c>
    </row>
    <row r="455" spans="1:6" x14ac:dyDescent="0.3">
      <c r="A455" s="1">
        <v>52.1</v>
      </c>
      <c r="B455" s="1">
        <v>4.3339999999999996</v>
      </c>
      <c r="C455" s="5">
        <f>Tabela10[[#This Row],[Alongamento (mm/mm)]]/$I$2</f>
        <v>8.6679999999999993E-2</v>
      </c>
      <c r="D455" s="1">
        <v>490.91</v>
      </c>
      <c r="E455" s="5">
        <f>Tabela10[[#This Row],[Força (N)]]/$I$5</f>
        <v>15647780.699657345</v>
      </c>
      <c r="F455" s="5">
        <f>Tabela10[[#This Row],[Tensão (Pa)]]/1000000</f>
        <v>15.647780699657345</v>
      </c>
    </row>
    <row r="456" spans="1:6" x14ac:dyDescent="0.3">
      <c r="A456" s="1">
        <v>52.216999999999999</v>
      </c>
      <c r="B456" s="1">
        <v>4.3437000000000001</v>
      </c>
      <c r="C456" s="5">
        <f>Tabela10[[#This Row],[Alongamento (mm/mm)]]/$I$2</f>
        <v>8.6874000000000007E-2</v>
      </c>
      <c r="D456" s="1">
        <v>494.65</v>
      </c>
      <c r="E456" s="5">
        <f>Tabela10[[#This Row],[Força (N)]]/$I$5</f>
        <v>15766993.385927165</v>
      </c>
      <c r="F456" s="5">
        <f>Tabela10[[#This Row],[Tensão (Pa)]]/1000000</f>
        <v>15.766993385927165</v>
      </c>
    </row>
    <row r="457" spans="1:6" x14ac:dyDescent="0.3">
      <c r="A457" s="1">
        <v>52.332999999999998</v>
      </c>
      <c r="B457" s="1">
        <v>4.3533999999999997</v>
      </c>
      <c r="C457" s="5">
        <f>Tabela10[[#This Row],[Alongamento (mm/mm)]]/$I$2</f>
        <v>8.7067999999999993E-2</v>
      </c>
      <c r="D457" s="1">
        <v>498.56</v>
      </c>
      <c r="E457" s="5">
        <f>Tabela10[[#This Row],[Força (N)]]/$I$5</f>
        <v>15891624.830663798</v>
      </c>
      <c r="F457" s="5">
        <f>Tabela10[[#This Row],[Tensão (Pa)]]/1000000</f>
        <v>15.891624830663797</v>
      </c>
    </row>
    <row r="458" spans="1:6" x14ac:dyDescent="0.3">
      <c r="A458" s="1">
        <v>52.45</v>
      </c>
      <c r="B458" s="1">
        <v>4.3631000000000002</v>
      </c>
      <c r="C458" s="5">
        <f>Tabela10[[#This Row],[Alongamento (mm/mm)]]/$I$2</f>
        <v>8.7262000000000006E-2</v>
      </c>
      <c r="D458" s="1">
        <v>502.3</v>
      </c>
      <c r="E458" s="5">
        <f>Tabela10[[#This Row],[Força (N)]]/$I$5</f>
        <v>16010837.516933622</v>
      </c>
      <c r="F458" s="5">
        <f>Tabela10[[#This Row],[Tensão (Pa)]]/1000000</f>
        <v>16.010837516933623</v>
      </c>
    </row>
    <row r="459" spans="1:6" x14ac:dyDescent="0.3">
      <c r="A459" s="1">
        <v>52.567</v>
      </c>
      <c r="B459" s="1">
        <v>4.3727999999999998</v>
      </c>
      <c r="C459" s="5">
        <f>Tabela10[[#This Row],[Alongamento (mm/mm)]]/$I$2</f>
        <v>8.7455999999999992E-2</v>
      </c>
      <c r="D459" s="1">
        <v>506.21</v>
      </c>
      <c r="E459" s="5">
        <f>Tabela10[[#This Row],[Força (N)]]/$I$5</f>
        <v>16135468.961670253</v>
      </c>
      <c r="F459" s="5">
        <f>Tabela10[[#This Row],[Tensão (Pa)]]/1000000</f>
        <v>16.135468961670252</v>
      </c>
    </row>
    <row r="460" spans="1:6" x14ac:dyDescent="0.3">
      <c r="A460" s="1">
        <v>52.683</v>
      </c>
      <c r="B460" s="1">
        <v>4.3826000000000001</v>
      </c>
      <c r="C460" s="5">
        <f>Tabela10[[#This Row],[Alongamento (mm/mm)]]/$I$2</f>
        <v>8.7652000000000008E-2</v>
      </c>
      <c r="D460" s="1">
        <v>510.3</v>
      </c>
      <c r="E460" s="5">
        <f>Tabela10[[#This Row],[Força (N)]]/$I$5</f>
        <v>16265837.915371744</v>
      </c>
      <c r="F460" s="5">
        <f>Tabela10[[#This Row],[Tensão (Pa)]]/1000000</f>
        <v>16.265837915371744</v>
      </c>
    </row>
    <row r="461" spans="1:6" x14ac:dyDescent="0.3">
      <c r="A461" s="1">
        <v>52.8</v>
      </c>
      <c r="B461" s="1">
        <v>4.3922999999999996</v>
      </c>
      <c r="C461" s="5">
        <f>Tabela10[[#This Row],[Alongamento (mm/mm)]]/$I$2</f>
        <v>8.7845999999999994E-2</v>
      </c>
      <c r="D461" s="1">
        <v>514.21</v>
      </c>
      <c r="E461" s="5">
        <f>Tabela10[[#This Row],[Força (N)]]/$I$5</f>
        <v>16390469.360108377</v>
      </c>
      <c r="F461" s="5">
        <f>Tabela10[[#This Row],[Tensão (Pa)]]/1000000</f>
        <v>16.390469360108376</v>
      </c>
    </row>
    <row r="462" spans="1:6" x14ac:dyDescent="0.3">
      <c r="A462" s="1">
        <v>52.917000000000002</v>
      </c>
      <c r="B462" s="1">
        <v>4.4020999999999999</v>
      </c>
      <c r="C462" s="5">
        <f>Tabela10[[#This Row],[Alongamento (mm/mm)]]/$I$2</f>
        <v>8.8041999999999995E-2</v>
      </c>
      <c r="D462" s="1">
        <v>518.12</v>
      </c>
      <c r="E462" s="5">
        <f>Tabela10[[#This Row],[Força (N)]]/$I$5</f>
        <v>16515100.804845009</v>
      </c>
      <c r="F462" s="5">
        <f>Tabela10[[#This Row],[Tensão (Pa)]]/1000000</f>
        <v>16.515100804845009</v>
      </c>
    </row>
    <row r="463" spans="1:6" x14ac:dyDescent="0.3">
      <c r="A463" s="1">
        <v>53.033000000000001</v>
      </c>
      <c r="B463" s="1">
        <v>4.4118000000000004</v>
      </c>
      <c r="C463" s="5">
        <f>Tabela10[[#This Row],[Alongamento (mm/mm)]]/$I$2</f>
        <v>8.8236000000000009E-2</v>
      </c>
      <c r="D463" s="1">
        <v>522.20000000000005</v>
      </c>
      <c r="E463" s="5">
        <f>Tabela10[[#This Row],[Força (N)]]/$I$5</f>
        <v>16645151.008048452</v>
      </c>
      <c r="F463" s="5">
        <f>Tabela10[[#This Row],[Tensão (Pa)]]/1000000</f>
        <v>16.645151008048451</v>
      </c>
    </row>
    <row r="464" spans="1:6" x14ac:dyDescent="0.3">
      <c r="A464" s="1">
        <v>53.15</v>
      </c>
      <c r="B464" s="1">
        <v>4.4215</v>
      </c>
      <c r="C464" s="5">
        <f>Tabela10[[#This Row],[Alongamento (mm/mm)]]/$I$2</f>
        <v>8.8429999999999995E-2</v>
      </c>
      <c r="D464" s="1">
        <v>526.29</v>
      </c>
      <c r="E464" s="5">
        <f>Tabela10[[#This Row],[Força (N)]]/$I$5</f>
        <v>16775519.961749939</v>
      </c>
      <c r="F464" s="5">
        <f>Tabela10[[#This Row],[Tensão (Pa)]]/1000000</f>
        <v>16.775519961749939</v>
      </c>
    </row>
    <row r="465" spans="1:6" x14ac:dyDescent="0.3">
      <c r="A465" s="1">
        <v>53.283000000000001</v>
      </c>
      <c r="B465" s="1">
        <v>4.4325999999999999</v>
      </c>
      <c r="C465" s="5">
        <f>Tabela10[[#This Row],[Alongamento (mm/mm)]]/$I$2</f>
        <v>8.8651999999999995E-2</v>
      </c>
      <c r="D465" s="1">
        <v>530.88</v>
      </c>
      <c r="E465" s="5">
        <f>Tabela10[[#This Row],[Força (N)]]/$I$5</f>
        <v>16921826.440353815</v>
      </c>
      <c r="F465" s="5">
        <f>Tabela10[[#This Row],[Tensão (Pa)]]/1000000</f>
        <v>16.921826440353815</v>
      </c>
    </row>
    <row r="466" spans="1:6" x14ac:dyDescent="0.3">
      <c r="A466" s="1">
        <v>53.417000000000002</v>
      </c>
      <c r="B466" s="1">
        <v>4.4436999999999998</v>
      </c>
      <c r="C466" s="5">
        <f>Tabela10[[#This Row],[Alongamento (mm/mm)]]/$I$2</f>
        <v>8.8873999999999995E-2</v>
      </c>
      <c r="D466" s="1">
        <v>535.47</v>
      </c>
      <c r="E466" s="5">
        <f>Tabela10[[#This Row],[Força (N)]]/$I$5</f>
        <v>17068132.918957688</v>
      </c>
      <c r="F466" s="5">
        <f>Tabela10[[#This Row],[Tensão (Pa)]]/1000000</f>
        <v>17.068132918957687</v>
      </c>
    </row>
    <row r="467" spans="1:6" x14ac:dyDescent="0.3">
      <c r="A467" s="1">
        <v>53.55</v>
      </c>
      <c r="B467" s="1">
        <v>4.4547999999999996</v>
      </c>
      <c r="C467" s="5">
        <f>Tabela10[[#This Row],[Alongamento (mm/mm)]]/$I$2</f>
        <v>8.9095999999999995E-2</v>
      </c>
      <c r="D467" s="1">
        <v>540.05999999999995</v>
      </c>
      <c r="E467" s="5">
        <f>Tabela10[[#This Row],[Força (N)]]/$I$5</f>
        <v>17214439.397561558</v>
      </c>
      <c r="F467" s="5">
        <f>Tabela10[[#This Row],[Tensão (Pa)]]/1000000</f>
        <v>17.214439397561559</v>
      </c>
    </row>
    <row r="468" spans="1:6" x14ac:dyDescent="0.3">
      <c r="A468" s="1">
        <v>53.683</v>
      </c>
      <c r="B468" s="1">
        <v>4.4659000000000004</v>
      </c>
      <c r="C468" s="5">
        <f>Tabela10[[#This Row],[Alongamento (mm/mm)]]/$I$2</f>
        <v>8.9318000000000008E-2</v>
      </c>
      <c r="D468" s="1">
        <v>544.66</v>
      </c>
      <c r="E468" s="5">
        <f>Tabela10[[#This Row],[Força (N)]]/$I$5</f>
        <v>17361064.62666348</v>
      </c>
      <c r="F468" s="5">
        <f>Tabela10[[#This Row],[Tensão (Pa)]]/1000000</f>
        <v>17.361064626663481</v>
      </c>
    </row>
    <row r="469" spans="1:6" x14ac:dyDescent="0.3">
      <c r="A469" s="1">
        <v>53.817</v>
      </c>
      <c r="B469" s="1">
        <v>4.4770000000000003</v>
      </c>
      <c r="C469" s="5">
        <f>Tabela10[[#This Row],[Alongamento (mm/mm)]]/$I$2</f>
        <v>8.9540000000000008E-2</v>
      </c>
      <c r="D469" s="1">
        <v>549.25</v>
      </c>
      <c r="E469" s="5">
        <f>Tabela10[[#This Row],[Força (N)]]/$I$5</f>
        <v>17507371.105267353</v>
      </c>
      <c r="F469" s="5">
        <f>Tabela10[[#This Row],[Tensão (Pa)]]/1000000</f>
        <v>17.507371105267353</v>
      </c>
    </row>
    <row r="470" spans="1:6" x14ac:dyDescent="0.3">
      <c r="A470" s="1">
        <v>53.933</v>
      </c>
      <c r="B470" s="1">
        <v>4.4866999999999999</v>
      </c>
      <c r="C470" s="5">
        <f>Tabela10[[#This Row],[Alongamento (mm/mm)]]/$I$2</f>
        <v>8.9733999999999994E-2</v>
      </c>
      <c r="D470" s="1">
        <v>553.33000000000004</v>
      </c>
      <c r="E470" s="5">
        <f>Tabela10[[#This Row],[Força (N)]]/$I$5</f>
        <v>17637421.308470797</v>
      </c>
      <c r="F470" s="5">
        <f>Tabela10[[#This Row],[Tensão (Pa)]]/1000000</f>
        <v>17.637421308470795</v>
      </c>
    </row>
    <row r="471" spans="1:6" x14ac:dyDescent="0.3">
      <c r="A471" s="1">
        <v>54.05</v>
      </c>
      <c r="B471" s="1">
        <v>4.4964000000000004</v>
      </c>
      <c r="C471" s="5">
        <f>Tabela10[[#This Row],[Alongamento (mm/mm)]]/$I$2</f>
        <v>8.9928000000000008E-2</v>
      </c>
      <c r="D471" s="1">
        <v>557.41</v>
      </c>
      <c r="E471" s="5">
        <f>Tabela10[[#This Row],[Força (N)]]/$I$5</f>
        <v>17767471.511674237</v>
      </c>
      <c r="F471" s="5">
        <f>Tabela10[[#This Row],[Tensão (Pa)]]/1000000</f>
        <v>17.767471511674238</v>
      </c>
    </row>
    <row r="472" spans="1:6" x14ac:dyDescent="0.3">
      <c r="A472" s="1">
        <v>54.183</v>
      </c>
      <c r="B472" s="1">
        <v>4.5076000000000001</v>
      </c>
      <c r="C472" s="5">
        <f>Tabela10[[#This Row],[Alongamento (mm/mm)]]/$I$2</f>
        <v>9.0151999999999996E-2</v>
      </c>
      <c r="D472" s="1">
        <v>562.01</v>
      </c>
      <c r="E472" s="5">
        <f>Tabela10[[#This Row],[Força (N)]]/$I$5</f>
        <v>17914096.740776159</v>
      </c>
      <c r="F472" s="5">
        <f>Tabela10[[#This Row],[Tensão (Pa)]]/1000000</f>
        <v>17.914096740776159</v>
      </c>
    </row>
    <row r="473" spans="1:6" x14ac:dyDescent="0.3">
      <c r="A473" s="1">
        <v>54.3</v>
      </c>
      <c r="B473" s="1">
        <v>4.5172999999999996</v>
      </c>
      <c r="C473" s="5">
        <f>Tabela10[[#This Row],[Alongamento (mm/mm)]]/$I$2</f>
        <v>9.0345999999999996E-2</v>
      </c>
      <c r="D473" s="1">
        <v>566.09</v>
      </c>
      <c r="E473" s="5">
        <f>Tabela10[[#This Row],[Força (N)]]/$I$5</f>
        <v>18044146.943979602</v>
      </c>
      <c r="F473" s="5">
        <f>Tabela10[[#This Row],[Tensão (Pa)]]/1000000</f>
        <v>18.044146943979602</v>
      </c>
    </row>
    <row r="474" spans="1:6" x14ac:dyDescent="0.3">
      <c r="A474" s="1">
        <v>54.433</v>
      </c>
      <c r="B474" s="1">
        <v>4.5282999999999998</v>
      </c>
      <c r="C474" s="5">
        <f>Tabela10[[#This Row],[Alongamento (mm/mm)]]/$I$2</f>
        <v>9.0565999999999994E-2</v>
      </c>
      <c r="D474" s="1">
        <v>570.67999999999995</v>
      </c>
      <c r="E474" s="5">
        <f>Tabela10[[#This Row],[Força (N)]]/$I$5</f>
        <v>18190453.422583472</v>
      </c>
      <c r="F474" s="5">
        <f>Tabela10[[#This Row],[Tensão (Pa)]]/1000000</f>
        <v>18.190453422583474</v>
      </c>
    </row>
    <row r="475" spans="1:6" x14ac:dyDescent="0.3">
      <c r="A475" s="1">
        <v>54.567</v>
      </c>
      <c r="B475" s="1">
        <v>4.5395000000000003</v>
      </c>
      <c r="C475" s="5">
        <f>Tabela10[[#This Row],[Alongamento (mm/mm)]]/$I$2</f>
        <v>9.079000000000001E-2</v>
      </c>
      <c r="D475" s="1">
        <v>575.27</v>
      </c>
      <c r="E475" s="5">
        <f>Tabela10[[#This Row],[Força (N)]]/$I$5</f>
        <v>18336759.901187345</v>
      </c>
      <c r="F475" s="5">
        <f>Tabela10[[#This Row],[Tensão (Pa)]]/1000000</f>
        <v>18.336759901187346</v>
      </c>
    </row>
    <row r="476" spans="1:6" x14ac:dyDescent="0.3">
      <c r="A476" s="1">
        <v>54.7</v>
      </c>
      <c r="B476" s="1">
        <v>4.5506000000000002</v>
      </c>
      <c r="C476" s="5">
        <f>Tabela10[[#This Row],[Alongamento (mm/mm)]]/$I$2</f>
        <v>9.101200000000001E-2</v>
      </c>
      <c r="D476" s="1">
        <v>579.87</v>
      </c>
      <c r="E476" s="5">
        <f>Tabela10[[#This Row],[Força (N)]]/$I$5</f>
        <v>18483385.130289268</v>
      </c>
      <c r="F476" s="5">
        <f>Tabela10[[#This Row],[Tensão (Pa)]]/1000000</f>
        <v>18.483385130289268</v>
      </c>
    </row>
    <row r="477" spans="1:6" x14ac:dyDescent="0.3">
      <c r="A477" s="1">
        <v>54.832999999999998</v>
      </c>
      <c r="B477" s="1">
        <v>4.5617999999999999</v>
      </c>
      <c r="C477" s="5">
        <f>Tabela10[[#This Row],[Alongamento (mm/mm)]]/$I$2</f>
        <v>9.1235999999999998E-2</v>
      </c>
      <c r="D477" s="1">
        <v>584.63</v>
      </c>
      <c r="E477" s="5">
        <f>Tabela10[[#This Row],[Força (N)]]/$I$5</f>
        <v>18635110.367359951</v>
      </c>
      <c r="F477" s="5">
        <f>Tabela10[[#This Row],[Tensão (Pa)]]/1000000</f>
        <v>18.63511036735995</v>
      </c>
    </row>
    <row r="478" spans="1:6" x14ac:dyDescent="0.3">
      <c r="A478" s="1">
        <v>54.966999999999999</v>
      </c>
      <c r="B478" s="1">
        <v>4.5728999999999997</v>
      </c>
      <c r="C478" s="5">
        <f>Tabela10[[#This Row],[Alongamento (mm/mm)]]/$I$2</f>
        <v>9.1457999999999998E-2</v>
      </c>
      <c r="D478" s="1">
        <v>589.22</v>
      </c>
      <c r="E478" s="5">
        <f>Tabela10[[#This Row],[Força (N)]]/$I$5</f>
        <v>18781416.845963825</v>
      </c>
      <c r="F478" s="5">
        <f>Tabela10[[#This Row],[Tensão (Pa)]]/1000000</f>
        <v>18.781416845963825</v>
      </c>
    </row>
    <row r="479" spans="1:6" x14ac:dyDescent="0.3">
      <c r="A479" s="1">
        <v>55.1</v>
      </c>
      <c r="B479" s="1">
        <v>4.5838999999999999</v>
      </c>
      <c r="C479" s="5">
        <f>Tabela10[[#This Row],[Alongamento (mm/mm)]]/$I$2</f>
        <v>9.1677999999999996E-2</v>
      </c>
      <c r="D479" s="1">
        <v>593.99</v>
      </c>
      <c r="E479" s="5">
        <f>Tabela10[[#This Row],[Força (N)]]/$I$5</f>
        <v>18933460.833532553</v>
      </c>
      <c r="F479" s="5">
        <f>Tabela10[[#This Row],[Tensão (Pa)]]/1000000</f>
        <v>18.933460833532553</v>
      </c>
    </row>
    <row r="480" spans="1:6" x14ac:dyDescent="0.3">
      <c r="A480" s="1">
        <v>55.232999999999997</v>
      </c>
      <c r="B480" s="1">
        <v>4.5949999999999998</v>
      </c>
      <c r="C480" s="5">
        <f>Tabela10[[#This Row],[Alongamento (mm/mm)]]/$I$2</f>
        <v>9.1899999999999996E-2</v>
      </c>
      <c r="D480" s="1">
        <v>598.75</v>
      </c>
      <c r="E480" s="5">
        <f>Tabela10[[#This Row],[Força (N)]]/$I$5</f>
        <v>19085186.070603237</v>
      </c>
      <c r="F480" s="5">
        <f>Tabela10[[#This Row],[Tensão (Pa)]]/1000000</f>
        <v>19.085186070603235</v>
      </c>
    </row>
    <row r="481" spans="1:6" x14ac:dyDescent="0.3">
      <c r="A481" s="1">
        <v>55.366999999999997</v>
      </c>
      <c r="B481" s="1">
        <v>4.6060999999999996</v>
      </c>
      <c r="C481" s="5">
        <f>Tabela10[[#This Row],[Alongamento (mm/mm)]]/$I$2</f>
        <v>9.2121999999999996E-2</v>
      </c>
      <c r="D481" s="1">
        <v>603.51</v>
      </c>
      <c r="E481" s="5">
        <f>Tabela10[[#This Row],[Força (N)]]/$I$5</f>
        <v>19236911.30767392</v>
      </c>
      <c r="F481" s="5">
        <f>Tabela10[[#This Row],[Tensão (Pa)]]/1000000</f>
        <v>19.236911307673921</v>
      </c>
    </row>
    <row r="482" spans="1:6" x14ac:dyDescent="0.3">
      <c r="A482" s="1">
        <v>55.5</v>
      </c>
      <c r="B482" s="1">
        <v>4.6173000000000002</v>
      </c>
      <c r="C482" s="5">
        <f>Tabela10[[#This Row],[Alongamento (mm/mm)]]/$I$2</f>
        <v>9.2345999999999998E-2</v>
      </c>
      <c r="D482" s="1">
        <v>608.27</v>
      </c>
      <c r="E482" s="5">
        <f>Tabela10[[#This Row],[Força (N)]]/$I$5</f>
        <v>19388636.544744603</v>
      </c>
      <c r="F482" s="5">
        <f>Tabela10[[#This Row],[Tensão (Pa)]]/1000000</f>
        <v>19.388636544744603</v>
      </c>
    </row>
    <row r="483" spans="1:6" x14ac:dyDescent="0.3">
      <c r="A483" s="1">
        <v>55.633000000000003</v>
      </c>
      <c r="B483" s="1">
        <v>4.6284000000000001</v>
      </c>
      <c r="C483" s="5">
        <f>Tabela10[[#This Row],[Alongamento (mm/mm)]]/$I$2</f>
        <v>9.2567999999999998E-2</v>
      </c>
      <c r="D483" s="1">
        <v>613.21</v>
      </c>
      <c r="E483" s="5">
        <f>Tabela10[[#This Row],[Força (N)]]/$I$5</f>
        <v>19546099.290780146</v>
      </c>
      <c r="F483" s="5">
        <f>Tabela10[[#This Row],[Tensão (Pa)]]/1000000</f>
        <v>19.546099290780145</v>
      </c>
    </row>
    <row r="484" spans="1:6" x14ac:dyDescent="0.3">
      <c r="A484" s="1">
        <v>55.783000000000001</v>
      </c>
      <c r="B484" s="1">
        <v>4.6409000000000002</v>
      </c>
      <c r="C484" s="5">
        <f>Tabela10[[#This Row],[Alongamento (mm/mm)]]/$I$2</f>
        <v>9.2818000000000012E-2</v>
      </c>
      <c r="D484" s="1">
        <v>618.48</v>
      </c>
      <c r="E484" s="5">
        <f>Tabela10[[#This Row],[Força (N)]]/$I$5</f>
        <v>19714080.803251255</v>
      </c>
      <c r="F484" s="5">
        <f>Tabela10[[#This Row],[Tensão (Pa)]]/1000000</f>
        <v>19.714080803251257</v>
      </c>
    </row>
    <row r="485" spans="1:6" x14ac:dyDescent="0.3">
      <c r="A485" s="1">
        <v>55.917000000000002</v>
      </c>
      <c r="B485" s="1">
        <v>4.6520000000000001</v>
      </c>
      <c r="C485" s="5">
        <f>Tabela10[[#This Row],[Alongamento (mm/mm)]]/$I$2</f>
        <v>9.3039999999999998E-2</v>
      </c>
      <c r="D485" s="1">
        <v>623.24</v>
      </c>
      <c r="E485" s="5">
        <f>Tabela10[[#This Row],[Força (N)]]/$I$5</f>
        <v>19865806.040321939</v>
      </c>
      <c r="F485" s="5">
        <f>Tabela10[[#This Row],[Tensão (Pa)]]/1000000</f>
        <v>19.865806040321939</v>
      </c>
    </row>
    <row r="486" spans="1:6" x14ac:dyDescent="0.3">
      <c r="A486" s="1">
        <v>56.05</v>
      </c>
      <c r="B486" s="1">
        <v>4.6631</v>
      </c>
      <c r="C486" s="5">
        <f>Tabela10[[#This Row],[Alongamento (mm/mm)]]/$I$2</f>
        <v>9.3261999999999998E-2</v>
      </c>
      <c r="D486" s="1">
        <v>628.16999999999996</v>
      </c>
      <c r="E486" s="5">
        <f>Tabela10[[#This Row],[Força (N)]]/$I$5</f>
        <v>20022950.035859432</v>
      </c>
      <c r="F486" s="5">
        <f>Tabela10[[#This Row],[Tensão (Pa)]]/1000000</f>
        <v>20.022950035859431</v>
      </c>
    </row>
    <row r="487" spans="1:6" x14ac:dyDescent="0.3">
      <c r="A487" s="1">
        <v>56.183</v>
      </c>
      <c r="B487" s="1">
        <v>4.6741999999999999</v>
      </c>
      <c r="C487" s="5">
        <f>Tabela10[[#This Row],[Alongamento (mm/mm)]]/$I$2</f>
        <v>9.3483999999999998E-2</v>
      </c>
      <c r="D487" s="1">
        <v>633.11</v>
      </c>
      <c r="E487" s="5">
        <f>Tabela10[[#This Row],[Força (N)]]/$I$5</f>
        <v>20180412.781894974</v>
      </c>
      <c r="F487" s="5">
        <f>Tabela10[[#This Row],[Tensão (Pa)]]/1000000</f>
        <v>20.180412781894976</v>
      </c>
    </row>
    <row r="488" spans="1:6" x14ac:dyDescent="0.3">
      <c r="A488" s="1">
        <v>56.317</v>
      </c>
      <c r="B488" s="1">
        <v>4.6853999999999996</v>
      </c>
      <c r="C488" s="5">
        <f>Tabela10[[#This Row],[Alongamento (mm/mm)]]/$I$2</f>
        <v>9.3707999999999986E-2</v>
      </c>
      <c r="D488" s="1">
        <v>637.87</v>
      </c>
      <c r="E488" s="5">
        <f>Tabela10[[#This Row],[Força (N)]]/$I$5</f>
        <v>20332138.018965658</v>
      </c>
      <c r="F488" s="5">
        <f>Tabela10[[#This Row],[Tensão (Pa)]]/1000000</f>
        <v>20.332138018965658</v>
      </c>
    </row>
    <row r="489" spans="1:6" x14ac:dyDescent="0.3">
      <c r="A489" s="1">
        <v>56.45</v>
      </c>
      <c r="B489" s="1">
        <v>4.6965000000000003</v>
      </c>
      <c r="C489" s="5">
        <f>Tabela10[[#This Row],[Alongamento (mm/mm)]]/$I$2</f>
        <v>9.3930000000000013E-2</v>
      </c>
      <c r="D489" s="1">
        <v>642.79999999999995</v>
      </c>
      <c r="E489" s="5">
        <f>Tabela10[[#This Row],[Força (N)]]/$I$5</f>
        <v>20489282.014503147</v>
      </c>
      <c r="F489" s="5">
        <f>Tabela10[[#This Row],[Tensão (Pa)]]/1000000</f>
        <v>20.489282014503146</v>
      </c>
    </row>
    <row r="490" spans="1:6" x14ac:dyDescent="0.3">
      <c r="A490" s="1">
        <v>56.582999999999998</v>
      </c>
      <c r="B490" s="1">
        <v>4.7076000000000002</v>
      </c>
      <c r="C490" s="5">
        <f>Tabela10[[#This Row],[Alongamento (mm/mm)]]/$I$2</f>
        <v>9.4152E-2</v>
      </c>
      <c r="D490" s="1">
        <v>647.74</v>
      </c>
      <c r="E490" s="5">
        <f>Tabela10[[#This Row],[Força (N)]]/$I$5</f>
        <v>20646744.76053869</v>
      </c>
      <c r="F490" s="5">
        <f>Tabela10[[#This Row],[Tensão (Pa)]]/1000000</f>
        <v>20.646744760538692</v>
      </c>
    </row>
    <row r="491" spans="1:6" x14ac:dyDescent="0.3">
      <c r="A491" s="1">
        <v>56.716999999999999</v>
      </c>
      <c r="B491" s="1">
        <v>4.7187000000000001</v>
      </c>
      <c r="C491" s="5">
        <f>Tabela10[[#This Row],[Alongamento (mm/mm)]]/$I$2</f>
        <v>9.4374E-2</v>
      </c>
      <c r="D491" s="1">
        <v>652.5</v>
      </c>
      <c r="E491" s="5">
        <f>Tabela10[[#This Row],[Força (N)]]/$I$5</f>
        <v>20798469.997609373</v>
      </c>
      <c r="F491" s="5">
        <f>Tabela10[[#This Row],[Tensão (Pa)]]/1000000</f>
        <v>20.798469997609374</v>
      </c>
    </row>
    <row r="492" spans="1:6" x14ac:dyDescent="0.3">
      <c r="A492" s="1">
        <v>56.85</v>
      </c>
      <c r="B492" s="1">
        <v>4.7297000000000002</v>
      </c>
      <c r="C492" s="5">
        <f>Tabela10[[#This Row],[Alongamento (mm/mm)]]/$I$2</f>
        <v>9.4594000000000011E-2</v>
      </c>
      <c r="D492" s="1">
        <v>657.43</v>
      </c>
      <c r="E492" s="5">
        <f>Tabela10[[#This Row],[Força (N)]]/$I$5</f>
        <v>20955613.993146863</v>
      </c>
      <c r="F492" s="5">
        <f>Tabela10[[#This Row],[Tensão (Pa)]]/1000000</f>
        <v>20.955613993146862</v>
      </c>
    </row>
    <row r="493" spans="1:6" x14ac:dyDescent="0.3">
      <c r="A493" s="1">
        <v>57</v>
      </c>
      <c r="B493" s="1">
        <v>4.7423000000000002</v>
      </c>
      <c r="C493" s="5">
        <f>Tabela10[[#This Row],[Alongamento (mm/mm)]]/$I$2</f>
        <v>9.4846E-2</v>
      </c>
      <c r="D493" s="1">
        <v>663.05</v>
      </c>
      <c r="E493" s="5">
        <f>Tabela10[[#This Row],[Força (N)]]/$I$5</f>
        <v>21134751.773049645</v>
      </c>
      <c r="F493" s="5">
        <f>Tabela10[[#This Row],[Tensão (Pa)]]/1000000</f>
        <v>21.134751773049643</v>
      </c>
    </row>
    <row r="494" spans="1:6" x14ac:dyDescent="0.3">
      <c r="A494" s="1">
        <v>57.15</v>
      </c>
      <c r="B494" s="1">
        <v>4.7548000000000004</v>
      </c>
      <c r="C494" s="5">
        <f>Tabela10[[#This Row],[Alongamento (mm/mm)]]/$I$2</f>
        <v>9.5096000000000014E-2</v>
      </c>
      <c r="D494" s="1">
        <v>668.66</v>
      </c>
      <c r="E494" s="5">
        <f>Tabela10[[#This Row],[Força (N)]]/$I$5</f>
        <v>21313570.802454378</v>
      </c>
      <c r="F494" s="5">
        <f>Tabela10[[#This Row],[Tensão (Pa)]]/1000000</f>
        <v>21.313570802454379</v>
      </c>
    </row>
    <row r="495" spans="1:6" x14ac:dyDescent="0.3">
      <c r="A495" s="1">
        <v>57.3</v>
      </c>
      <c r="B495" s="1">
        <v>4.7672999999999996</v>
      </c>
      <c r="C495" s="5">
        <f>Tabela10[[#This Row],[Alongamento (mm/mm)]]/$I$2</f>
        <v>9.5345999999999986E-2</v>
      </c>
      <c r="D495" s="1">
        <v>674.27</v>
      </c>
      <c r="E495" s="5">
        <f>Tabela10[[#This Row],[Força (N)]]/$I$5</f>
        <v>21492389.831859112</v>
      </c>
      <c r="F495" s="5">
        <f>Tabela10[[#This Row],[Tensão (Pa)]]/1000000</f>
        <v>21.492389831859111</v>
      </c>
    </row>
    <row r="496" spans="1:6" x14ac:dyDescent="0.3">
      <c r="A496" s="1">
        <v>57.45</v>
      </c>
      <c r="B496" s="1">
        <v>4.7797999999999998</v>
      </c>
      <c r="C496" s="5">
        <f>Tabela10[[#This Row],[Alongamento (mm/mm)]]/$I$2</f>
        <v>9.5596E-2</v>
      </c>
      <c r="D496" s="1">
        <v>679.71</v>
      </c>
      <c r="E496" s="5">
        <f>Tabela10[[#This Row],[Força (N)]]/$I$5</f>
        <v>21665790.102797039</v>
      </c>
      <c r="F496" s="5">
        <f>Tabela10[[#This Row],[Tensão (Pa)]]/1000000</f>
        <v>21.66579010279704</v>
      </c>
    </row>
    <row r="497" spans="1:6" x14ac:dyDescent="0.3">
      <c r="A497" s="1">
        <v>57.582999999999998</v>
      </c>
      <c r="B497" s="1">
        <v>4.7908999999999997</v>
      </c>
      <c r="C497" s="5">
        <f>Tabela10[[#This Row],[Alongamento (mm/mm)]]/$I$2</f>
        <v>9.5818E-2</v>
      </c>
      <c r="D497" s="1">
        <v>684.82</v>
      </c>
      <c r="E497" s="5">
        <f>Tabela10[[#This Row],[Força (N)]]/$I$5</f>
        <v>21828671.607299387</v>
      </c>
      <c r="F497" s="5">
        <f>Tabela10[[#This Row],[Tensão (Pa)]]/1000000</f>
        <v>21.828671607299388</v>
      </c>
    </row>
    <row r="498" spans="1:6" x14ac:dyDescent="0.3">
      <c r="A498" s="1">
        <v>57.732999999999997</v>
      </c>
      <c r="B498" s="1">
        <v>4.8033999999999999</v>
      </c>
      <c r="C498" s="5">
        <f>Tabela10[[#This Row],[Alongamento (mm/mm)]]/$I$2</f>
        <v>9.6068000000000001E-2</v>
      </c>
      <c r="D498" s="1">
        <v>690.43</v>
      </c>
      <c r="E498" s="5">
        <f>Tabela10[[#This Row],[Força (N)]]/$I$5</f>
        <v>22007490.636704121</v>
      </c>
      <c r="F498" s="5">
        <f>Tabela10[[#This Row],[Tensão (Pa)]]/1000000</f>
        <v>22.007490636704119</v>
      </c>
    </row>
    <row r="499" spans="1:6" x14ac:dyDescent="0.3">
      <c r="A499" s="1">
        <v>57.866999999999997</v>
      </c>
      <c r="B499" s="1">
        <v>4.8144999999999998</v>
      </c>
      <c r="C499" s="5">
        <f>Tabela10[[#This Row],[Alongamento (mm/mm)]]/$I$2</f>
        <v>9.6290000000000001E-2</v>
      </c>
      <c r="D499" s="1">
        <v>695.53</v>
      </c>
      <c r="E499" s="5">
        <f>Tabela10[[#This Row],[Força (N)]]/$I$5</f>
        <v>22170053.390708424</v>
      </c>
      <c r="F499" s="5">
        <f>Tabela10[[#This Row],[Tensão (Pa)]]/1000000</f>
        <v>22.170053390708425</v>
      </c>
    </row>
    <row r="500" spans="1:6" x14ac:dyDescent="0.3">
      <c r="A500" s="1">
        <v>58</v>
      </c>
      <c r="B500" s="1">
        <v>4.8255999999999997</v>
      </c>
      <c r="C500" s="5">
        <f>Tabela10[[#This Row],[Alongamento (mm/mm)]]/$I$2</f>
        <v>9.6511999999999987E-2</v>
      </c>
      <c r="D500" s="1">
        <v>700.81</v>
      </c>
      <c r="E500" s="5">
        <f>Tabela10[[#This Row],[Força (N)]]/$I$5</f>
        <v>22338353.653677583</v>
      </c>
      <c r="F500" s="5">
        <f>Tabela10[[#This Row],[Tensão (Pa)]]/1000000</f>
        <v>22.338353653677583</v>
      </c>
    </row>
    <row r="501" spans="1:6" x14ac:dyDescent="0.3">
      <c r="A501" s="1">
        <v>58.15</v>
      </c>
      <c r="B501" s="1">
        <v>4.8380999999999998</v>
      </c>
      <c r="C501" s="5">
        <f>Tabela10[[#This Row],[Alongamento (mm/mm)]]/$I$2</f>
        <v>9.6762000000000001E-2</v>
      </c>
      <c r="D501" s="1">
        <v>706.76</v>
      </c>
      <c r="E501" s="5">
        <f>Tabela10[[#This Row],[Força (N)]]/$I$5</f>
        <v>22528010.20001594</v>
      </c>
      <c r="F501" s="5">
        <f>Tabela10[[#This Row],[Tensão (Pa)]]/1000000</f>
        <v>22.528010200015938</v>
      </c>
    </row>
    <row r="502" spans="1:6" x14ac:dyDescent="0.3">
      <c r="A502" s="1">
        <v>58.3</v>
      </c>
      <c r="B502" s="1">
        <v>4.8506</v>
      </c>
      <c r="C502" s="5">
        <f>Tabela10[[#This Row],[Alongamento (mm/mm)]]/$I$2</f>
        <v>9.7012000000000001E-2</v>
      </c>
      <c r="D502" s="1">
        <v>712.54</v>
      </c>
      <c r="E502" s="5">
        <f>Tabela10[[#This Row],[Força (N)]]/$I$5</f>
        <v>22712247.987887479</v>
      </c>
      <c r="F502" s="5">
        <f>Tabela10[[#This Row],[Tensão (Pa)]]/1000000</f>
        <v>22.71224798788748</v>
      </c>
    </row>
    <row r="503" spans="1:6" x14ac:dyDescent="0.3">
      <c r="A503" s="1">
        <v>58.45</v>
      </c>
      <c r="B503" s="1">
        <v>4.8631000000000002</v>
      </c>
      <c r="C503" s="5">
        <f>Tabela10[[#This Row],[Alongamento (mm/mm)]]/$I$2</f>
        <v>9.7262000000000001E-2</v>
      </c>
      <c r="D503" s="1">
        <v>718.5</v>
      </c>
      <c r="E503" s="5">
        <f>Tabela10[[#This Row],[Força (N)]]/$I$5</f>
        <v>22902223.284723885</v>
      </c>
      <c r="F503" s="5">
        <f>Tabela10[[#This Row],[Tensão (Pa)]]/1000000</f>
        <v>22.902223284723885</v>
      </c>
    </row>
    <row r="504" spans="1:6" x14ac:dyDescent="0.3">
      <c r="A504" s="1">
        <v>58.6</v>
      </c>
      <c r="B504" s="1">
        <v>4.8757000000000001</v>
      </c>
      <c r="C504" s="5">
        <f>Tabela10[[#This Row],[Alongamento (mm/mm)]]/$I$2</f>
        <v>9.7514000000000003E-2</v>
      </c>
      <c r="D504" s="1">
        <v>724.45</v>
      </c>
      <c r="E504" s="5">
        <f>Tabela10[[#This Row],[Força (N)]]/$I$5</f>
        <v>23091879.831062239</v>
      </c>
      <c r="F504" s="5">
        <f>Tabela10[[#This Row],[Tensão (Pa)]]/1000000</f>
        <v>23.09187983106224</v>
      </c>
    </row>
    <row r="505" spans="1:6" x14ac:dyDescent="0.3">
      <c r="A505" s="1">
        <v>58.732999999999997</v>
      </c>
      <c r="B505" s="1">
        <v>4.8868</v>
      </c>
      <c r="C505" s="5">
        <f>Tabela10[[#This Row],[Alongamento (mm/mm)]]/$I$2</f>
        <v>9.7736000000000003E-2</v>
      </c>
      <c r="D505" s="1">
        <v>729.89</v>
      </c>
      <c r="E505" s="5">
        <f>Tabela10[[#This Row],[Força (N)]]/$I$5</f>
        <v>23265280.102000162</v>
      </c>
      <c r="F505" s="5">
        <f>Tabela10[[#This Row],[Tensão (Pa)]]/1000000</f>
        <v>23.265280102000162</v>
      </c>
    </row>
    <row r="506" spans="1:6" x14ac:dyDescent="0.3">
      <c r="A506" s="1">
        <v>58.883000000000003</v>
      </c>
      <c r="B506" s="1">
        <v>4.8992000000000004</v>
      </c>
      <c r="C506" s="5">
        <f>Tabela10[[#This Row],[Alongamento (mm/mm)]]/$I$2</f>
        <v>9.7984000000000016E-2</v>
      </c>
      <c r="D506" s="1">
        <v>735.85</v>
      </c>
      <c r="E506" s="5">
        <f>Tabela10[[#This Row],[Força (N)]]/$I$5</f>
        <v>23455255.398836564</v>
      </c>
      <c r="F506" s="5">
        <f>Tabela10[[#This Row],[Tensão (Pa)]]/1000000</f>
        <v>23.455255398836563</v>
      </c>
    </row>
    <row r="507" spans="1:6" x14ac:dyDescent="0.3">
      <c r="A507" s="1">
        <v>59.017000000000003</v>
      </c>
      <c r="B507" s="1">
        <v>4.9104000000000001</v>
      </c>
      <c r="C507" s="5">
        <f>Tabela10[[#This Row],[Alongamento (mm/mm)]]/$I$2</f>
        <v>9.8208000000000004E-2</v>
      </c>
      <c r="D507" s="1">
        <v>741.29</v>
      </c>
      <c r="E507" s="5">
        <f>Tabela10[[#This Row],[Força (N)]]/$I$5</f>
        <v>23628655.669774484</v>
      </c>
      <c r="F507" s="5">
        <f>Tabela10[[#This Row],[Tensão (Pa)]]/1000000</f>
        <v>23.628655669774485</v>
      </c>
    </row>
    <row r="508" spans="1:6" x14ac:dyDescent="0.3">
      <c r="A508" s="1">
        <v>59.167000000000002</v>
      </c>
      <c r="B508" s="1">
        <v>4.9229000000000003</v>
      </c>
      <c r="C508" s="5">
        <f>Tabela10[[#This Row],[Alongamento (mm/mm)]]/$I$2</f>
        <v>9.8458000000000004E-2</v>
      </c>
      <c r="D508" s="1">
        <v>747.41</v>
      </c>
      <c r="E508" s="5">
        <f>Tabela10[[#This Row],[Força (N)]]/$I$5</f>
        <v>23823730.974579647</v>
      </c>
      <c r="F508" s="5">
        <f>Tabela10[[#This Row],[Tensão (Pa)]]/1000000</f>
        <v>23.823730974579647</v>
      </c>
    </row>
    <row r="509" spans="1:6" x14ac:dyDescent="0.3">
      <c r="A509" s="1">
        <v>59.317</v>
      </c>
      <c r="B509" s="1">
        <v>4.9353999999999996</v>
      </c>
      <c r="C509" s="5">
        <f>Tabela10[[#This Row],[Alongamento (mm/mm)]]/$I$2</f>
        <v>9.870799999999999E-2</v>
      </c>
      <c r="D509" s="1">
        <v>753.54</v>
      </c>
      <c r="E509" s="5">
        <f>Tabela10[[#This Row],[Força (N)]]/$I$5</f>
        <v>24019125.029882859</v>
      </c>
      <c r="F509" s="5">
        <f>Tabela10[[#This Row],[Tensão (Pa)]]/1000000</f>
        <v>24.019125029882858</v>
      </c>
    </row>
    <row r="510" spans="1:6" x14ac:dyDescent="0.3">
      <c r="A510" s="1">
        <v>59.466999999999999</v>
      </c>
      <c r="B510" s="1">
        <v>4.9478</v>
      </c>
      <c r="C510" s="5">
        <f>Tabela10[[#This Row],[Alongamento (mm/mm)]]/$I$2</f>
        <v>9.8956000000000002E-2</v>
      </c>
      <c r="D510" s="1">
        <v>759.66</v>
      </c>
      <c r="E510" s="5">
        <f>Tabela10[[#This Row],[Força (N)]]/$I$5</f>
        <v>24214200.334688023</v>
      </c>
      <c r="F510" s="5">
        <f>Tabela10[[#This Row],[Tensão (Pa)]]/1000000</f>
        <v>24.214200334688023</v>
      </c>
    </row>
    <row r="511" spans="1:6" x14ac:dyDescent="0.3">
      <c r="A511" s="1">
        <v>59.616999999999997</v>
      </c>
      <c r="B511" s="1">
        <v>4.9603999999999999</v>
      </c>
      <c r="C511" s="5">
        <f>Tabela10[[#This Row],[Alongamento (mm/mm)]]/$I$2</f>
        <v>9.9208000000000005E-2</v>
      </c>
      <c r="D511" s="1">
        <v>765.78</v>
      </c>
      <c r="E511" s="5">
        <f>Tabela10[[#This Row],[Força (N)]]/$I$5</f>
        <v>24409275.639493186</v>
      </c>
      <c r="F511" s="5">
        <f>Tabela10[[#This Row],[Tensão (Pa)]]/1000000</f>
        <v>24.409275639493185</v>
      </c>
    </row>
    <row r="512" spans="1:6" x14ac:dyDescent="0.3">
      <c r="A512" s="1">
        <v>59.767000000000003</v>
      </c>
      <c r="B512" s="1">
        <v>4.9728000000000003</v>
      </c>
      <c r="C512" s="5">
        <f>Tabela10[[#This Row],[Alongamento (mm/mm)]]/$I$2</f>
        <v>9.9456000000000003E-2</v>
      </c>
      <c r="D512" s="1">
        <v>771.74</v>
      </c>
      <c r="E512" s="5">
        <f>Tabela10[[#This Row],[Força (N)]]/$I$5</f>
        <v>24599250.936329588</v>
      </c>
      <c r="F512" s="5">
        <f>Tabela10[[#This Row],[Tensão (Pa)]]/1000000</f>
        <v>24.599250936329589</v>
      </c>
    </row>
    <row r="513" spans="1:6" x14ac:dyDescent="0.3">
      <c r="A513" s="1">
        <v>59.917000000000002</v>
      </c>
      <c r="B513" s="1">
        <v>4.9852999999999996</v>
      </c>
      <c r="C513" s="5">
        <f>Tabela10[[#This Row],[Alongamento (mm/mm)]]/$I$2</f>
        <v>9.9705999999999989E-2</v>
      </c>
      <c r="D513" s="1">
        <v>777.86</v>
      </c>
      <c r="E513" s="5">
        <f>Tabela10[[#This Row],[Força (N)]]/$I$5</f>
        <v>24794326.241134755</v>
      </c>
      <c r="F513" s="5">
        <f>Tabela10[[#This Row],[Tensão (Pa)]]/1000000</f>
        <v>24.794326241134755</v>
      </c>
    </row>
    <row r="514" spans="1:6" x14ac:dyDescent="0.3">
      <c r="A514" s="1">
        <v>60.067</v>
      </c>
      <c r="B514" s="1">
        <v>4.9978999999999996</v>
      </c>
      <c r="C514" s="5">
        <f>Tabela10[[#This Row],[Alongamento (mm/mm)]]/$I$2</f>
        <v>9.9957999999999991E-2</v>
      </c>
      <c r="D514" s="1">
        <v>783.99</v>
      </c>
      <c r="E514" s="5">
        <f>Tabela10[[#This Row],[Força (N)]]/$I$5</f>
        <v>24989720.296437964</v>
      </c>
      <c r="F514" s="5">
        <f>Tabela10[[#This Row],[Tensão (Pa)]]/1000000</f>
        <v>24.989720296437962</v>
      </c>
    </row>
    <row r="515" spans="1:6" x14ac:dyDescent="0.3">
      <c r="A515" s="1">
        <v>60.216999999999999</v>
      </c>
      <c r="B515" s="1">
        <v>5.0103</v>
      </c>
      <c r="C515" s="5">
        <f>Tabela10[[#This Row],[Alongamento (mm/mm)]]/$I$2</f>
        <v>0.100206</v>
      </c>
      <c r="D515" s="1">
        <v>790.11</v>
      </c>
      <c r="E515" s="5">
        <f>Tabela10[[#This Row],[Força (N)]]/$I$5</f>
        <v>25184795.601243127</v>
      </c>
      <c r="F515" s="5">
        <f>Tabela10[[#This Row],[Tensão (Pa)]]/1000000</f>
        <v>25.184795601243128</v>
      </c>
    </row>
    <row r="516" spans="1:6" x14ac:dyDescent="0.3">
      <c r="A516" s="1">
        <v>60.366999999999997</v>
      </c>
      <c r="B516" s="1">
        <v>5.0228999999999999</v>
      </c>
      <c r="C516" s="5">
        <f>Tabela10[[#This Row],[Alongamento (mm/mm)]]/$I$2</f>
        <v>0.10045799999999999</v>
      </c>
      <c r="D516" s="1">
        <v>796.4</v>
      </c>
      <c r="E516" s="5">
        <f>Tabela10[[#This Row],[Força (N)]]/$I$5</f>
        <v>25385289.6645151</v>
      </c>
      <c r="F516" s="5">
        <f>Tabela10[[#This Row],[Tensão (Pa)]]/1000000</f>
        <v>25.385289664515099</v>
      </c>
    </row>
    <row r="517" spans="1:6" x14ac:dyDescent="0.3">
      <c r="A517" s="1">
        <v>60.517000000000003</v>
      </c>
      <c r="B517" s="1">
        <v>5.0354000000000001</v>
      </c>
      <c r="C517" s="5">
        <f>Tabela10[[#This Row],[Alongamento (mm/mm)]]/$I$2</f>
        <v>0.10070800000000001</v>
      </c>
      <c r="D517" s="1">
        <v>802.7</v>
      </c>
      <c r="E517" s="5">
        <f>Tabela10[[#This Row],[Força (N)]]/$I$5</f>
        <v>25586102.478285126</v>
      </c>
      <c r="F517" s="5">
        <f>Tabela10[[#This Row],[Tensão (Pa)]]/1000000</f>
        <v>25.586102478285127</v>
      </c>
    </row>
    <row r="518" spans="1:6" x14ac:dyDescent="0.3">
      <c r="A518" s="1">
        <v>60.667000000000002</v>
      </c>
      <c r="B518" s="1">
        <v>5.0477999999999996</v>
      </c>
      <c r="C518" s="5">
        <f>Tabela10[[#This Row],[Alongamento (mm/mm)]]/$I$2</f>
        <v>0.10095599999999999</v>
      </c>
      <c r="D518" s="1">
        <v>808.82</v>
      </c>
      <c r="E518" s="5">
        <f>Tabela10[[#This Row],[Força (N)]]/$I$5</f>
        <v>25781177.78309029</v>
      </c>
      <c r="F518" s="5">
        <f>Tabela10[[#This Row],[Tensão (Pa)]]/1000000</f>
        <v>25.781177783090289</v>
      </c>
    </row>
    <row r="519" spans="1:6" x14ac:dyDescent="0.3">
      <c r="A519" s="1">
        <v>60.817</v>
      </c>
      <c r="B519" s="1">
        <v>5.0603999999999996</v>
      </c>
      <c r="C519" s="5">
        <f>Tabela10[[#This Row],[Alongamento (mm/mm)]]/$I$2</f>
        <v>0.10120799999999999</v>
      </c>
      <c r="D519" s="1">
        <v>815.11</v>
      </c>
      <c r="E519" s="5">
        <f>Tabela10[[#This Row],[Força (N)]]/$I$5</f>
        <v>25981671.846362263</v>
      </c>
      <c r="F519" s="5">
        <f>Tabela10[[#This Row],[Tensão (Pa)]]/1000000</f>
        <v>25.981671846362264</v>
      </c>
    </row>
    <row r="520" spans="1:6" x14ac:dyDescent="0.3">
      <c r="A520" s="1">
        <v>60.966999999999999</v>
      </c>
      <c r="B520" s="1">
        <v>5.0728999999999997</v>
      </c>
      <c r="C520" s="5">
        <f>Tabela10[[#This Row],[Alongamento (mm/mm)]]/$I$2</f>
        <v>0.10145799999999999</v>
      </c>
      <c r="D520" s="1">
        <v>821.24</v>
      </c>
      <c r="E520" s="5">
        <f>Tabela10[[#This Row],[Força (N)]]/$I$5</f>
        <v>26177065.901665471</v>
      </c>
      <c r="F520" s="5">
        <f>Tabela10[[#This Row],[Tensão (Pa)]]/1000000</f>
        <v>26.177065901665472</v>
      </c>
    </row>
    <row r="521" spans="1:6" x14ac:dyDescent="0.3">
      <c r="A521" s="1">
        <v>61.116999999999997</v>
      </c>
      <c r="B521" s="1">
        <v>5.0853000000000002</v>
      </c>
      <c r="C521" s="5">
        <f>Tabela10[[#This Row],[Alongamento (mm/mm)]]/$I$2</f>
        <v>0.101706</v>
      </c>
      <c r="D521" s="1">
        <v>827.36</v>
      </c>
      <c r="E521" s="5">
        <f>Tabela10[[#This Row],[Força (N)]]/$I$5</f>
        <v>26372141.206470639</v>
      </c>
      <c r="F521" s="5">
        <f>Tabela10[[#This Row],[Tensão (Pa)]]/1000000</f>
        <v>26.372141206470637</v>
      </c>
    </row>
    <row r="522" spans="1:6" x14ac:dyDescent="0.3">
      <c r="A522" s="1">
        <v>61.283000000000001</v>
      </c>
      <c r="B522" s="1">
        <v>5.0993000000000004</v>
      </c>
      <c r="C522" s="5">
        <f>Tabela10[[#This Row],[Alongamento (mm/mm)]]/$I$2</f>
        <v>0.10198600000000001</v>
      </c>
      <c r="D522" s="1">
        <v>834.16</v>
      </c>
      <c r="E522" s="5">
        <f>Tabela10[[#This Row],[Força (N)]]/$I$5</f>
        <v>26588891.545143038</v>
      </c>
      <c r="F522" s="5">
        <f>Tabela10[[#This Row],[Tensão (Pa)]]/1000000</f>
        <v>26.588891545143039</v>
      </c>
    </row>
    <row r="523" spans="1:6" x14ac:dyDescent="0.3">
      <c r="A523" s="1">
        <v>61.45</v>
      </c>
      <c r="B523" s="1">
        <v>5.1132</v>
      </c>
      <c r="C523" s="5">
        <f>Tabela10[[#This Row],[Alongamento (mm/mm)]]/$I$2</f>
        <v>0.10226399999999999</v>
      </c>
      <c r="D523" s="1">
        <v>841.14</v>
      </c>
      <c r="E523" s="5">
        <f>Tabela10[[#This Row],[Força (N)]]/$I$5</f>
        <v>26811379.392780304</v>
      </c>
      <c r="F523" s="5">
        <f>Tabela10[[#This Row],[Tensão (Pa)]]/1000000</f>
        <v>26.811379392780303</v>
      </c>
    </row>
    <row r="524" spans="1:6" x14ac:dyDescent="0.3">
      <c r="A524" s="1">
        <v>61.616999999999997</v>
      </c>
      <c r="B524" s="1">
        <v>5.1269999999999998</v>
      </c>
      <c r="C524" s="5">
        <f>Tabela10[[#This Row],[Alongamento (mm/mm)]]/$I$2</f>
        <v>0.10253999999999999</v>
      </c>
      <c r="D524" s="1">
        <v>848.11</v>
      </c>
      <c r="E524" s="5">
        <f>Tabela10[[#This Row],[Força (N)]]/$I$5</f>
        <v>27033548.489919517</v>
      </c>
      <c r="F524" s="5">
        <f>Tabela10[[#This Row],[Tensão (Pa)]]/1000000</f>
        <v>27.033548489919518</v>
      </c>
    </row>
    <row r="525" spans="1:6" x14ac:dyDescent="0.3">
      <c r="A525" s="1">
        <v>61.783000000000001</v>
      </c>
      <c r="B525" s="1">
        <v>5.1409000000000002</v>
      </c>
      <c r="C525" s="5">
        <f>Tabela10[[#This Row],[Alongamento (mm/mm)]]/$I$2</f>
        <v>0.10281800000000001</v>
      </c>
      <c r="D525" s="1">
        <v>855.09</v>
      </c>
      <c r="E525" s="5">
        <f>Tabela10[[#This Row],[Força (N)]]/$I$5</f>
        <v>27256036.337556779</v>
      </c>
      <c r="F525" s="5">
        <f>Tabela10[[#This Row],[Tensão (Pa)]]/1000000</f>
        <v>27.256036337556779</v>
      </c>
    </row>
    <row r="526" spans="1:6" x14ac:dyDescent="0.3">
      <c r="A526" s="1">
        <v>61.95</v>
      </c>
      <c r="B526" s="1">
        <v>5.1547999999999998</v>
      </c>
      <c r="C526" s="5">
        <f>Tabela10[[#This Row],[Alongamento (mm/mm)]]/$I$2</f>
        <v>0.10309599999999999</v>
      </c>
      <c r="D526" s="1">
        <v>862.06</v>
      </c>
      <c r="E526" s="5">
        <f>Tabela10[[#This Row],[Força (N)]]/$I$5</f>
        <v>27478205.434695993</v>
      </c>
      <c r="F526" s="5">
        <f>Tabela10[[#This Row],[Tensão (Pa)]]/1000000</f>
        <v>27.478205434695994</v>
      </c>
    </row>
    <row r="527" spans="1:6" x14ac:dyDescent="0.3">
      <c r="A527" s="1">
        <v>62.1</v>
      </c>
      <c r="B527" s="1">
        <v>5.1673</v>
      </c>
      <c r="C527" s="5">
        <f>Tabela10[[#This Row],[Alongamento (mm/mm)]]/$I$2</f>
        <v>0.10334599999999999</v>
      </c>
      <c r="D527" s="1">
        <v>868.52</v>
      </c>
      <c r="E527" s="5">
        <f>Tabela10[[#This Row],[Força (N)]]/$I$5</f>
        <v>27684118.256434776</v>
      </c>
      <c r="F527" s="5">
        <f>Tabela10[[#This Row],[Tensão (Pa)]]/1000000</f>
        <v>27.684118256434775</v>
      </c>
    </row>
    <row r="528" spans="1:6" x14ac:dyDescent="0.3">
      <c r="A528" s="1">
        <v>62.267000000000003</v>
      </c>
      <c r="B528" s="1">
        <v>5.1811999999999996</v>
      </c>
      <c r="C528" s="5">
        <f>Tabela10[[#This Row],[Alongamento (mm/mm)]]/$I$2</f>
        <v>0.10362399999999999</v>
      </c>
      <c r="D528" s="1">
        <v>875.5</v>
      </c>
      <c r="E528" s="5">
        <f>Tabela10[[#This Row],[Força (N)]]/$I$5</f>
        <v>27906606.104072038</v>
      </c>
      <c r="F528" s="5">
        <f>Tabela10[[#This Row],[Tensão (Pa)]]/1000000</f>
        <v>27.906606104072036</v>
      </c>
    </row>
    <row r="529" spans="1:6" x14ac:dyDescent="0.3">
      <c r="A529" s="1">
        <v>62.433</v>
      </c>
      <c r="B529" s="1">
        <v>5.1950000000000003</v>
      </c>
      <c r="C529" s="5">
        <f>Tabela10[[#This Row],[Alongamento (mm/mm)]]/$I$2</f>
        <v>0.10390000000000001</v>
      </c>
      <c r="D529" s="1">
        <v>882.47</v>
      </c>
      <c r="E529" s="5">
        <f>Tabela10[[#This Row],[Força (N)]]/$I$5</f>
        <v>28128775.201211255</v>
      </c>
      <c r="F529" s="5">
        <f>Tabela10[[#This Row],[Tensão (Pa)]]/1000000</f>
        <v>28.128775201211255</v>
      </c>
    </row>
    <row r="530" spans="1:6" x14ac:dyDescent="0.3">
      <c r="A530" s="1">
        <v>62.6</v>
      </c>
      <c r="B530" s="1">
        <v>5.2089999999999996</v>
      </c>
      <c r="C530" s="5">
        <f>Tabela10[[#This Row],[Alongamento (mm/mm)]]/$I$2</f>
        <v>0.10417999999999999</v>
      </c>
      <c r="D530" s="1">
        <v>889.45</v>
      </c>
      <c r="E530" s="5">
        <f>Tabela10[[#This Row],[Força (N)]]/$I$5</f>
        <v>28351263.048848517</v>
      </c>
      <c r="F530" s="5">
        <f>Tabela10[[#This Row],[Tensão (Pa)]]/1000000</f>
        <v>28.351263048848516</v>
      </c>
    </row>
    <row r="531" spans="1:6" x14ac:dyDescent="0.3">
      <c r="A531" s="1">
        <v>62.767000000000003</v>
      </c>
      <c r="B531" s="1">
        <v>5.2229000000000001</v>
      </c>
      <c r="C531" s="5">
        <f>Tabela10[[#This Row],[Alongamento (mm/mm)]]/$I$2</f>
        <v>0.104458</v>
      </c>
      <c r="D531" s="1">
        <v>896.42</v>
      </c>
      <c r="E531" s="5">
        <f>Tabela10[[#This Row],[Força (N)]]/$I$5</f>
        <v>28573432.145987727</v>
      </c>
      <c r="F531" s="5">
        <f>Tabela10[[#This Row],[Tensão (Pa)]]/1000000</f>
        <v>28.573432145987727</v>
      </c>
    </row>
    <row r="532" spans="1:6" x14ac:dyDescent="0.3">
      <c r="A532" s="1">
        <v>62.933</v>
      </c>
      <c r="B532" s="1">
        <v>5.2366999999999999</v>
      </c>
      <c r="C532" s="5">
        <f>Tabela10[[#This Row],[Alongamento (mm/mm)]]/$I$2</f>
        <v>0.10473399999999999</v>
      </c>
      <c r="D532" s="1">
        <v>903.39</v>
      </c>
      <c r="E532" s="5">
        <f>Tabela10[[#This Row],[Força (N)]]/$I$5</f>
        <v>28795601.243126944</v>
      </c>
      <c r="F532" s="5">
        <f>Tabela10[[#This Row],[Tensão (Pa)]]/1000000</f>
        <v>28.795601243126942</v>
      </c>
    </row>
    <row r="533" spans="1:6" x14ac:dyDescent="0.3">
      <c r="A533" s="1">
        <v>63.1</v>
      </c>
      <c r="B533" s="1">
        <v>5.2507000000000001</v>
      </c>
      <c r="C533" s="5">
        <f>Tabela10[[#This Row],[Alongamento (mm/mm)]]/$I$2</f>
        <v>0.105014</v>
      </c>
      <c r="D533" s="1">
        <v>910.37</v>
      </c>
      <c r="E533" s="5">
        <f>Tabela10[[#This Row],[Força (N)]]/$I$5</f>
        <v>29018089.090764206</v>
      </c>
      <c r="F533" s="5">
        <f>Tabela10[[#This Row],[Tensão (Pa)]]/1000000</f>
        <v>29.018089090764207</v>
      </c>
    </row>
    <row r="534" spans="1:6" x14ac:dyDescent="0.3">
      <c r="A534" s="1">
        <v>63.267000000000003</v>
      </c>
      <c r="B534" s="1">
        <v>5.2645</v>
      </c>
      <c r="C534" s="5">
        <f>Tabela10[[#This Row],[Alongamento (mm/mm)]]/$I$2</f>
        <v>0.10528999999999999</v>
      </c>
      <c r="D534" s="1">
        <v>917.51</v>
      </c>
      <c r="E534" s="5">
        <f>Tabela10[[#This Row],[Força (N)]]/$I$5</f>
        <v>29245676.946370229</v>
      </c>
      <c r="F534" s="5">
        <f>Tabela10[[#This Row],[Tensão (Pa)]]/1000000</f>
        <v>29.245676946370228</v>
      </c>
    </row>
    <row r="535" spans="1:6" x14ac:dyDescent="0.3">
      <c r="A535" s="1">
        <v>63.45</v>
      </c>
      <c r="B535" s="1">
        <v>5.2797999999999998</v>
      </c>
      <c r="C535" s="5">
        <f>Tabela10[[#This Row],[Alongamento (mm/mm)]]/$I$2</f>
        <v>0.105596</v>
      </c>
      <c r="D535" s="1">
        <v>925.34</v>
      </c>
      <c r="E535" s="5">
        <f>Tabela10[[#This Row],[Força (N)]]/$I$5</f>
        <v>29495258.586341545</v>
      </c>
      <c r="F535" s="5">
        <f>Tabela10[[#This Row],[Tensão (Pa)]]/1000000</f>
        <v>29.495258586341546</v>
      </c>
    </row>
    <row r="536" spans="1:6" x14ac:dyDescent="0.3">
      <c r="A536" s="1">
        <v>63.633000000000003</v>
      </c>
      <c r="B536" s="1">
        <v>5.2950999999999997</v>
      </c>
      <c r="C536" s="5">
        <f>Tabela10[[#This Row],[Alongamento (mm/mm)]]/$I$2</f>
        <v>0.105902</v>
      </c>
      <c r="D536" s="1">
        <v>932.99</v>
      </c>
      <c r="E536" s="5">
        <f>Tabela10[[#This Row],[Força (N)]]/$I$5</f>
        <v>29739102.717347998</v>
      </c>
      <c r="F536" s="5">
        <f>Tabela10[[#This Row],[Tensão (Pa)]]/1000000</f>
        <v>29.739102717347997</v>
      </c>
    </row>
    <row r="537" spans="1:6" x14ac:dyDescent="0.3">
      <c r="A537" s="1">
        <v>63.8</v>
      </c>
      <c r="B537" s="1">
        <v>5.3090000000000002</v>
      </c>
      <c r="C537" s="5">
        <f>Tabela10[[#This Row],[Alongamento (mm/mm)]]/$I$2</f>
        <v>0.10618</v>
      </c>
      <c r="D537" s="1">
        <v>940.14</v>
      </c>
      <c r="E537" s="5">
        <f>Tabela10[[#This Row],[Força (N)]]/$I$5</f>
        <v>29967009.32345207</v>
      </c>
      <c r="F537" s="5">
        <f>Tabela10[[#This Row],[Tensão (Pa)]]/1000000</f>
        <v>29.967009323452071</v>
      </c>
    </row>
    <row r="538" spans="1:6" x14ac:dyDescent="0.3">
      <c r="A538" s="1">
        <v>63.966999999999999</v>
      </c>
      <c r="B538" s="1">
        <v>5.3228999999999997</v>
      </c>
      <c r="C538" s="5">
        <f>Tabela10[[#This Row],[Alongamento (mm/mm)]]/$I$2</f>
        <v>0.106458</v>
      </c>
      <c r="D538" s="1">
        <v>947.28</v>
      </c>
      <c r="E538" s="5">
        <f>Tabela10[[#This Row],[Força (N)]]/$I$5</f>
        <v>30194597.179058094</v>
      </c>
      <c r="F538" s="5">
        <f>Tabela10[[#This Row],[Tensão (Pa)]]/1000000</f>
        <v>30.194597179058093</v>
      </c>
    </row>
    <row r="539" spans="1:6" x14ac:dyDescent="0.3">
      <c r="A539" s="1">
        <v>64.132999999999996</v>
      </c>
      <c r="B539" s="1">
        <v>5.3368000000000002</v>
      </c>
      <c r="C539" s="5">
        <f>Tabela10[[#This Row],[Alongamento (mm/mm)]]/$I$2</f>
        <v>0.106736</v>
      </c>
      <c r="D539" s="1">
        <v>954.42</v>
      </c>
      <c r="E539" s="5">
        <f>Tabela10[[#This Row],[Força (N)]]/$I$5</f>
        <v>30422185.034664117</v>
      </c>
      <c r="F539" s="5">
        <f>Tabela10[[#This Row],[Tensão (Pa)]]/1000000</f>
        <v>30.422185034664118</v>
      </c>
    </row>
    <row r="540" spans="1:6" x14ac:dyDescent="0.3">
      <c r="A540" s="1">
        <v>64.3</v>
      </c>
      <c r="B540" s="1">
        <v>5.3506</v>
      </c>
      <c r="C540" s="5">
        <f>Tabela10[[#This Row],[Alongamento (mm/mm)]]/$I$2</f>
        <v>0.107012</v>
      </c>
      <c r="D540" s="1">
        <v>961.57</v>
      </c>
      <c r="E540" s="5">
        <f>Tabela10[[#This Row],[Força (N)]]/$I$5</f>
        <v>30650091.640768193</v>
      </c>
      <c r="F540" s="5">
        <f>Tabela10[[#This Row],[Tensão (Pa)]]/1000000</f>
        <v>30.650091640768192</v>
      </c>
    </row>
    <row r="541" spans="1:6" x14ac:dyDescent="0.3">
      <c r="A541" s="1">
        <v>64.483000000000004</v>
      </c>
      <c r="B541" s="1">
        <v>5.3658000000000001</v>
      </c>
      <c r="C541" s="5">
        <f>Tabela10[[#This Row],[Alongamento (mm/mm)]]/$I$2</f>
        <v>0.10731600000000001</v>
      </c>
      <c r="D541" s="1">
        <v>969.56</v>
      </c>
      <c r="E541" s="5">
        <f>Tabela10[[#This Row],[Força (N)]]/$I$5</f>
        <v>30904773.288708262</v>
      </c>
      <c r="F541" s="5">
        <f>Tabela10[[#This Row],[Tensão (Pa)]]/1000000</f>
        <v>30.904773288708263</v>
      </c>
    </row>
    <row r="542" spans="1:6" x14ac:dyDescent="0.3">
      <c r="A542" s="1">
        <v>64.667000000000002</v>
      </c>
      <c r="B542" s="1">
        <v>5.3811</v>
      </c>
      <c r="C542" s="5">
        <f>Tabela10[[#This Row],[Alongamento (mm/mm)]]/$I$2</f>
        <v>0.107622</v>
      </c>
      <c r="D542" s="1">
        <v>977.39</v>
      </c>
      <c r="E542" s="5">
        <f>Tabela10[[#This Row],[Força (N)]]/$I$5</f>
        <v>31154354.928679578</v>
      </c>
      <c r="F542" s="5">
        <f>Tabela10[[#This Row],[Tensão (Pa)]]/1000000</f>
        <v>31.154354928679577</v>
      </c>
    </row>
    <row r="543" spans="1:6" x14ac:dyDescent="0.3">
      <c r="A543" s="1">
        <v>64.849999999999994</v>
      </c>
      <c r="B543" s="1">
        <v>5.3963999999999999</v>
      </c>
      <c r="C543" s="5">
        <f>Tabela10[[#This Row],[Alongamento (mm/mm)]]/$I$2</f>
        <v>0.107928</v>
      </c>
      <c r="D543" s="1">
        <v>985.38</v>
      </c>
      <c r="E543" s="5">
        <f>Tabela10[[#This Row],[Força (N)]]/$I$5</f>
        <v>31409036.576619651</v>
      </c>
      <c r="F543" s="5">
        <f>Tabela10[[#This Row],[Tensão (Pa)]]/1000000</f>
        <v>31.409036576619652</v>
      </c>
    </row>
    <row r="544" spans="1:6" x14ac:dyDescent="0.3">
      <c r="A544" s="1">
        <v>65.033000000000001</v>
      </c>
      <c r="B544" s="1">
        <v>5.4116999999999997</v>
      </c>
      <c r="C544" s="5">
        <f>Tabela10[[#This Row],[Alongamento (mm/mm)]]/$I$2</f>
        <v>0.108234</v>
      </c>
      <c r="D544" s="1">
        <v>993.55</v>
      </c>
      <c r="E544" s="5">
        <f>Tabela10[[#This Row],[Força (N)]]/$I$5</f>
        <v>31669455.733524583</v>
      </c>
      <c r="F544" s="5">
        <f>Tabela10[[#This Row],[Tensão (Pa)]]/1000000</f>
        <v>31.669455733524583</v>
      </c>
    </row>
    <row r="545" spans="1:6" x14ac:dyDescent="0.3">
      <c r="A545" s="1">
        <v>65.216999999999999</v>
      </c>
      <c r="B545" s="1">
        <v>5.4269999999999996</v>
      </c>
      <c r="C545" s="5">
        <f>Tabela10[[#This Row],[Alongamento (mm/mm)]]/$I$2</f>
        <v>0.10854</v>
      </c>
      <c r="D545" s="1">
        <v>1001.5</v>
      </c>
      <c r="E545" s="5">
        <f>Tabela10[[#This Row],[Força (N)]]/$I$5</f>
        <v>31922862.379472468</v>
      </c>
      <c r="F545" s="5">
        <f>Tabela10[[#This Row],[Tensão (Pa)]]/1000000</f>
        <v>31.92286237947247</v>
      </c>
    </row>
    <row r="546" spans="1:6" x14ac:dyDescent="0.3">
      <c r="A546" s="1">
        <v>65.400000000000006</v>
      </c>
      <c r="B546" s="1">
        <v>5.4423000000000004</v>
      </c>
      <c r="C546" s="5">
        <f>Tabela10[[#This Row],[Alongamento (mm/mm)]]/$I$2</f>
        <v>0.10884600000000001</v>
      </c>
      <c r="D546" s="1">
        <v>1009.7</v>
      </c>
      <c r="E546" s="5">
        <f>Tabela10[[#This Row],[Força (N)]]/$I$5</f>
        <v>32184237.787871547</v>
      </c>
      <c r="F546" s="5">
        <f>Tabela10[[#This Row],[Tensão (Pa)]]/1000000</f>
        <v>32.184237787871545</v>
      </c>
    </row>
    <row r="547" spans="1:6" x14ac:dyDescent="0.3">
      <c r="A547" s="1">
        <v>65.582999999999998</v>
      </c>
      <c r="B547" s="1">
        <v>5.4576000000000002</v>
      </c>
      <c r="C547" s="5">
        <f>Tabela10[[#This Row],[Alongamento (mm/mm)]]/$I$2</f>
        <v>0.109152</v>
      </c>
      <c r="D547" s="1">
        <v>1017.7</v>
      </c>
      <c r="E547" s="5">
        <f>Tabela10[[#This Row],[Força (N)]]/$I$5</f>
        <v>32439238.186309669</v>
      </c>
      <c r="F547" s="5">
        <f>Tabela10[[#This Row],[Tensão (Pa)]]/1000000</f>
        <v>32.439238186309666</v>
      </c>
    </row>
    <row r="548" spans="1:6" x14ac:dyDescent="0.3">
      <c r="A548" s="1">
        <v>65.766999999999996</v>
      </c>
      <c r="B548" s="1">
        <v>5.4728000000000003</v>
      </c>
      <c r="C548" s="5">
        <f>Tabela10[[#This Row],[Alongamento (mm/mm)]]/$I$2</f>
        <v>0.10945600000000001</v>
      </c>
      <c r="D548" s="1">
        <v>1025.7</v>
      </c>
      <c r="E548" s="5">
        <f>Tabela10[[#This Row],[Força (N)]]/$I$5</f>
        <v>32694238.584747791</v>
      </c>
      <c r="F548" s="5">
        <f>Tabela10[[#This Row],[Tensão (Pa)]]/1000000</f>
        <v>32.694238584747794</v>
      </c>
    </row>
    <row r="549" spans="1:6" x14ac:dyDescent="0.3">
      <c r="A549" s="1">
        <v>65.95</v>
      </c>
      <c r="B549" s="1">
        <v>5.4882</v>
      </c>
      <c r="C549" s="5">
        <f>Tabela10[[#This Row],[Alongamento (mm/mm)]]/$I$2</f>
        <v>0.109764</v>
      </c>
      <c r="D549" s="1">
        <v>1033.9000000000001</v>
      </c>
      <c r="E549" s="5">
        <f>Tabela10[[#This Row],[Força (N)]]/$I$5</f>
        <v>32955613.99314687</v>
      </c>
      <c r="F549" s="5">
        <f>Tabela10[[#This Row],[Tensão (Pa)]]/1000000</f>
        <v>32.955613993146869</v>
      </c>
    </row>
    <row r="550" spans="1:6" x14ac:dyDescent="0.3">
      <c r="A550" s="1">
        <v>66.132999999999996</v>
      </c>
      <c r="B550" s="1">
        <v>5.5034000000000001</v>
      </c>
      <c r="C550" s="5">
        <f>Tabela10[[#This Row],[Alongamento (mm/mm)]]/$I$2</f>
        <v>0.110068</v>
      </c>
      <c r="D550" s="1">
        <v>1041.9000000000001</v>
      </c>
      <c r="E550" s="5">
        <f>Tabela10[[#This Row],[Força (N)]]/$I$5</f>
        <v>33210614.391584992</v>
      </c>
      <c r="F550" s="5">
        <f>Tabela10[[#This Row],[Tensão (Pa)]]/1000000</f>
        <v>33.21061439158499</v>
      </c>
    </row>
    <row r="551" spans="1:6" x14ac:dyDescent="0.3">
      <c r="A551" s="1">
        <v>66.316999999999993</v>
      </c>
      <c r="B551" s="1">
        <v>5.5186999999999999</v>
      </c>
      <c r="C551" s="5">
        <f>Tabela10[[#This Row],[Alongamento (mm/mm)]]/$I$2</f>
        <v>0.110374</v>
      </c>
      <c r="D551" s="1">
        <v>1050</v>
      </c>
      <c r="E551" s="5">
        <f>Tabela10[[#This Row],[Força (N)]]/$I$5</f>
        <v>33468802.295003589</v>
      </c>
      <c r="F551" s="5">
        <f>Tabela10[[#This Row],[Tensão (Pa)]]/1000000</f>
        <v>33.468802295003591</v>
      </c>
    </row>
    <row r="552" spans="1:6" x14ac:dyDescent="0.3">
      <c r="A552" s="1">
        <v>66.516999999999996</v>
      </c>
      <c r="B552" s="1">
        <v>5.5354000000000001</v>
      </c>
      <c r="C552" s="5">
        <f>Tabela10[[#This Row],[Alongamento (mm/mm)]]/$I$2</f>
        <v>0.110708</v>
      </c>
      <c r="D552" s="1">
        <v>1058.7</v>
      </c>
      <c r="E552" s="5">
        <f>Tabela10[[#This Row],[Força (N)]]/$I$5</f>
        <v>33746115.228305049</v>
      </c>
      <c r="F552" s="5">
        <f>Tabela10[[#This Row],[Tensão (Pa)]]/1000000</f>
        <v>33.746115228305051</v>
      </c>
    </row>
    <row r="553" spans="1:6" x14ac:dyDescent="0.3">
      <c r="A553" s="1">
        <v>66.716999999999999</v>
      </c>
      <c r="B553" s="1">
        <v>5.5518999999999998</v>
      </c>
      <c r="C553" s="5">
        <f>Tabela10[[#This Row],[Alongamento (mm/mm)]]/$I$2</f>
        <v>0.111038</v>
      </c>
      <c r="D553" s="1">
        <v>1067.4000000000001</v>
      </c>
      <c r="E553" s="5">
        <f>Tabela10[[#This Row],[Força (N)]]/$I$5</f>
        <v>34023428.161606506</v>
      </c>
      <c r="F553" s="5">
        <f>Tabela10[[#This Row],[Tensão (Pa)]]/1000000</f>
        <v>34.023428161606503</v>
      </c>
    </row>
    <row r="554" spans="1:6" x14ac:dyDescent="0.3">
      <c r="A554" s="1">
        <v>66.917000000000002</v>
      </c>
      <c r="B554" s="1">
        <v>5.5686999999999998</v>
      </c>
      <c r="C554" s="5">
        <f>Tabela10[[#This Row],[Alongamento (mm/mm)]]/$I$2</f>
        <v>0.111374</v>
      </c>
      <c r="D554" s="1">
        <v>1076</v>
      </c>
      <c r="E554" s="5">
        <f>Tabela10[[#This Row],[Força (N)]]/$I$5</f>
        <v>34297553.589927487</v>
      </c>
      <c r="F554" s="5">
        <f>Tabela10[[#This Row],[Tensão (Pa)]]/1000000</f>
        <v>34.297553589927489</v>
      </c>
    </row>
    <row r="555" spans="1:6" x14ac:dyDescent="0.3">
      <c r="A555" s="1">
        <v>67.117000000000004</v>
      </c>
      <c r="B555" s="1">
        <v>5.5853000000000002</v>
      </c>
      <c r="C555" s="5">
        <f>Tabela10[[#This Row],[Alongamento (mm/mm)]]/$I$2</f>
        <v>0.111706</v>
      </c>
      <c r="D555" s="1">
        <v>1084.5999999999999</v>
      </c>
      <c r="E555" s="5">
        <f>Tabela10[[#This Row],[Força (N)]]/$I$5</f>
        <v>34571679.018248469</v>
      </c>
      <c r="F555" s="5">
        <f>Tabela10[[#This Row],[Tensão (Pa)]]/1000000</f>
        <v>34.571679018248467</v>
      </c>
    </row>
    <row r="556" spans="1:6" x14ac:dyDescent="0.3">
      <c r="A556" s="1">
        <v>67.316999999999993</v>
      </c>
      <c r="B556" s="1">
        <v>5.6021000000000001</v>
      </c>
      <c r="C556" s="5">
        <f>Tabela10[[#This Row],[Alongamento (mm/mm)]]/$I$2</f>
        <v>0.112042</v>
      </c>
      <c r="D556" s="1">
        <v>1093.0999999999999</v>
      </c>
      <c r="E556" s="5">
        <f>Tabela10[[#This Row],[Força (N)]]/$I$5</f>
        <v>34842616.941588968</v>
      </c>
      <c r="F556" s="5">
        <f>Tabela10[[#This Row],[Tensão (Pa)]]/1000000</f>
        <v>34.842616941588965</v>
      </c>
    </row>
    <row r="557" spans="1:6" x14ac:dyDescent="0.3">
      <c r="A557" s="1">
        <v>67.516999999999996</v>
      </c>
      <c r="B557" s="1">
        <v>5.6186999999999996</v>
      </c>
      <c r="C557" s="5">
        <f>Tabela10[[#This Row],[Alongamento (mm/mm)]]/$I$2</f>
        <v>0.11237399999999999</v>
      </c>
      <c r="D557" s="1">
        <v>1101.7</v>
      </c>
      <c r="E557" s="5">
        <f>Tabela10[[#This Row],[Força (N)]]/$I$5</f>
        <v>35116742.369909957</v>
      </c>
      <c r="F557" s="5">
        <f>Tabela10[[#This Row],[Tensão (Pa)]]/1000000</f>
        <v>35.116742369909957</v>
      </c>
    </row>
    <row r="558" spans="1:6" x14ac:dyDescent="0.3">
      <c r="A558" s="1">
        <v>67.716999999999999</v>
      </c>
      <c r="B558" s="1">
        <v>5.6353</v>
      </c>
      <c r="C558" s="5">
        <f>Tabela10[[#This Row],[Alongamento (mm/mm)]]/$I$2</f>
        <v>0.112706</v>
      </c>
      <c r="D558" s="1">
        <v>1110.2</v>
      </c>
      <c r="E558" s="5">
        <f>Tabela10[[#This Row],[Força (N)]]/$I$5</f>
        <v>35387680.293250464</v>
      </c>
      <c r="F558" s="5">
        <f>Tabela10[[#This Row],[Tensão (Pa)]]/1000000</f>
        <v>35.387680293250462</v>
      </c>
    </row>
    <row r="559" spans="1:6" x14ac:dyDescent="0.3">
      <c r="A559" s="1">
        <v>67.917000000000002</v>
      </c>
      <c r="B559" s="1">
        <v>5.6520000000000001</v>
      </c>
      <c r="C559" s="5">
        <f>Tabela10[[#This Row],[Alongamento (mm/mm)]]/$I$2</f>
        <v>0.11304</v>
      </c>
      <c r="D559" s="1">
        <v>1118.7</v>
      </c>
      <c r="E559" s="5">
        <f>Tabela10[[#This Row],[Força (N)]]/$I$5</f>
        <v>35658618.216590963</v>
      </c>
      <c r="F559" s="5">
        <f>Tabela10[[#This Row],[Tensão (Pa)]]/1000000</f>
        <v>35.658618216590966</v>
      </c>
    </row>
    <row r="560" spans="1:6" x14ac:dyDescent="0.3">
      <c r="A560" s="1">
        <v>68.117000000000004</v>
      </c>
      <c r="B560" s="1">
        <v>5.6687000000000003</v>
      </c>
      <c r="C560" s="5">
        <f>Tabela10[[#This Row],[Alongamento (mm/mm)]]/$I$2</f>
        <v>0.113374</v>
      </c>
      <c r="D560" s="1">
        <v>1127.2</v>
      </c>
      <c r="E560" s="5">
        <f>Tabela10[[#This Row],[Força (N)]]/$I$5</f>
        <v>35929556.13993147</v>
      </c>
      <c r="F560" s="5">
        <f>Tabela10[[#This Row],[Tensão (Pa)]]/1000000</f>
        <v>35.929556139931471</v>
      </c>
    </row>
    <row r="561" spans="1:6" x14ac:dyDescent="0.3">
      <c r="A561" s="1">
        <v>68.316999999999993</v>
      </c>
      <c r="B561" s="1">
        <v>5.6853999999999996</v>
      </c>
      <c r="C561" s="5">
        <f>Tabela10[[#This Row],[Alongamento (mm/mm)]]/$I$2</f>
        <v>0.11370799999999999</v>
      </c>
      <c r="D561" s="1">
        <v>1135.9000000000001</v>
      </c>
      <c r="E561" s="5">
        <f>Tabela10[[#This Row],[Força (N)]]/$I$5</f>
        <v>36206869.073232934</v>
      </c>
      <c r="F561" s="5">
        <f>Tabela10[[#This Row],[Tensão (Pa)]]/1000000</f>
        <v>36.206869073232937</v>
      </c>
    </row>
    <row r="562" spans="1:6" x14ac:dyDescent="0.3">
      <c r="A562" s="1">
        <v>68.533000000000001</v>
      </c>
      <c r="B562" s="1">
        <v>5.7034000000000002</v>
      </c>
      <c r="C562" s="5">
        <f>Tabela10[[#This Row],[Alongamento (mm/mm)]]/$I$2</f>
        <v>0.114068</v>
      </c>
      <c r="D562" s="1">
        <v>1145.4000000000001</v>
      </c>
      <c r="E562" s="5">
        <f>Tabela10[[#This Row],[Força (N)]]/$I$5</f>
        <v>36509682.046378203</v>
      </c>
      <c r="F562" s="5">
        <f>Tabela10[[#This Row],[Tensão (Pa)]]/1000000</f>
        <v>36.509682046378202</v>
      </c>
    </row>
    <row r="563" spans="1:6" x14ac:dyDescent="0.3">
      <c r="A563" s="1">
        <v>68.75</v>
      </c>
      <c r="B563" s="1">
        <v>5.7214999999999998</v>
      </c>
      <c r="C563" s="5">
        <f>Tabela10[[#This Row],[Alongamento (mm/mm)]]/$I$2</f>
        <v>0.11442999999999999</v>
      </c>
      <c r="D563" s="1">
        <v>1154.8</v>
      </c>
      <c r="E563" s="5">
        <f>Tabela10[[#This Row],[Força (N)]]/$I$5</f>
        <v>36809307.514542989</v>
      </c>
      <c r="F563" s="5">
        <f>Tabela10[[#This Row],[Tensão (Pa)]]/1000000</f>
        <v>36.809307514542986</v>
      </c>
    </row>
    <row r="564" spans="1:6" x14ac:dyDescent="0.3">
      <c r="A564" s="1">
        <v>68.966999999999999</v>
      </c>
      <c r="B564" s="1">
        <v>5.7394999999999996</v>
      </c>
      <c r="C564" s="5">
        <f>Tabela10[[#This Row],[Alongamento (mm/mm)]]/$I$2</f>
        <v>0.11478999999999999</v>
      </c>
      <c r="D564" s="1">
        <v>1164.2</v>
      </c>
      <c r="E564" s="5">
        <f>Tabela10[[#This Row],[Força (N)]]/$I$5</f>
        <v>37108932.982707791</v>
      </c>
      <c r="F564" s="5">
        <f>Tabela10[[#This Row],[Tensão (Pa)]]/1000000</f>
        <v>37.108932982707792</v>
      </c>
    </row>
    <row r="565" spans="1:6" x14ac:dyDescent="0.3">
      <c r="A565" s="1">
        <v>69.183000000000007</v>
      </c>
      <c r="B565" s="1">
        <v>5.7576000000000001</v>
      </c>
      <c r="C565" s="5">
        <f>Tabela10[[#This Row],[Alongamento (mm/mm)]]/$I$2</f>
        <v>0.115152</v>
      </c>
      <c r="D565" s="1">
        <v>1173.7</v>
      </c>
      <c r="E565" s="5">
        <f>Tabela10[[#This Row],[Força (N)]]/$I$5</f>
        <v>37411745.95585306</v>
      </c>
      <c r="F565" s="5">
        <f>Tabela10[[#This Row],[Tensão (Pa)]]/1000000</f>
        <v>37.411745955853057</v>
      </c>
    </row>
    <row r="566" spans="1:6" x14ac:dyDescent="0.3">
      <c r="A566" s="1">
        <v>69.400000000000006</v>
      </c>
      <c r="B566" s="1">
        <v>5.7755999999999998</v>
      </c>
      <c r="C566" s="5">
        <f>Tabela10[[#This Row],[Alongamento (mm/mm)]]/$I$2</f>
        <v>0.115512</v>
      </c>
      <c r="D566" s="1">
        <v>1183</v>
      </c>
      <c r="E566" s="5">
        <f>Tabela10[[#This Row],[Força (N)]]/$I$5</f>
        <v>37708183.919037379</v>
      </c>
      <c r="F566" s="5">
        <f>Tabela10[[#This Row],[Tensão (Pa)]]/1000000</f>
        <v>37.708183919037381</v>
      </c>
    </row>
    <row r="567" spans="1:6" x14ac:dyDescent="0.3">
      <c r="A567" s="1">
        <v>69.617000000000004</v>
      </c>
      <c r="B567" s="1">
        <v>5.7937000000000003</v>
      </c>
      <c r="C567" s="5">
        <f>Tabela10[[#This Row],[Alongamento (mm/mm)]]/$I$2</f>
        <v>0.115874</v>
      </c>
      <c r="D567" s="1">
        <v>1192.5999999999999</v>
      </c>
      <c r="E567" s="5">
        <f>Tabela10[[#This Row],[Força (N)]]/$I$5</f>
        <v>38014184.397163123</v>
      </c>
      <c r="F567" s="5">
        <f>Tabela10[[#This Row],[Tensão (Pa)]]/1000000</f>
        <v>38.01418439716312</v>
      </c>
    </row>
    <row r="568" spans="1:6" x14ac:dyDescent="0.3">
      <c r="A568" s="1">
        <v>69.832999999999998</v>
      </c>
      <c r="B568" s="1">
        <v>5.8117999999999999</v>
      </c>
      <c r="C568" s="5">
        <f>Tabela10[[#This Row],[Alongamento (mm/mm)]]/$I$2</f>
        <v>0.11623599999999999</v>
      </c>
      <c r="D568" s="1">
        <v>1202.0999999999999</v>
      </c>
      <c r="E568" s="5">
        <f>Tabela10[[#This Row],[Força (N)]]/$I$5</f>
        <v>38316997.370308392</v>
      </c>
      <c r="F568" s="5">
        <f>Tabela10[[#This Row],[Tensão (Pa)]]/1000000</f>
        <v>38.316997370308393</v>
      </c>
    </row>
    <row r="569" spans="1:6" x14ac:dyDescent="0.3">
      <c r="A569" s="1">
        <v>70.05</v>
      </c>
      <c r="B569" s="1">
        <v>5.8297999999999996</v>
      </c>
      <c r="C569" s="5">
        <f>Tabela10[[#This Row],[Alongamento (mm/mm)]]/$I$2</f>
        <v>0.11659599999999999</v>
      </c>
      <c r="D569" s="1">
        <v>1211.4000000000001</v>
      </c>
      <c r="E569" s="5">
        <f>Tabela10[[#This Row],[Força (N)]]/$I$5</f>
        <v>38613435.333492711</v>
      </c>
      <c r="F569" s="5">
        <f>Tabela10[[#This Row],[Tensão (Pa)]]/1000000</f>
        <v>38.61343533349271</v>
      </c>
    </row>
    <row r="570" spans="1:6" x14ac:dyDescent="0.3">
      <c r="A570" s="1">
        <v>70.266999999999996</v>
      </c>
      <c r="B570" s="1">
        <v>5.8478000000000003</v>
      </c>
      <c r="C570" s="5">
        <f>Tabela10[[#This Row],[Alongamento (mm/mm)]]/$I$2</f>
        <v>0.116956</v>
      </c>
      <c r="D570" s="1">
        <v>1221</v>
      </c>
      <c r="E570" s="5">
        <f>Tabela10[[#This Row],[Força (N)]]/$I$5</f>
        <v>38919435.811618455</v>
      </c>
      <c r="F570" s="5">
        <f>Tabela10[[#This Row],[Tensão (Pa)]]/1000000</f>
        <v>38.919435811618456</v>
      </c>
    </row>
    <row r="571" spans="1:6" x14ac:dyDescent="0.3">
      <c r="A571" s="1">
        <v>70.483000000000004</v>
      </c>
      <c r="B571" s="1">
        <v>5.8658999999999999</v>
      </c>
      <c r="C571" s="5">
        <f>Tabela10[[#This Row],[Alongamento (mm/mm)]]/$I$2</f>
        <v>0.11731799999999999</v>
      </c>
      <c r="D571" s="1">
        <v>1230.7</v>
      </c>
      <c r="E571" s="5">
        <f>Tabela10[[#This Row],[Força (N)]]/$I$5</f>
        <v>39228623.79472468</v>
      </c>
      <c r="F571" s="5">
        <f>Tabela10[[#This Row],[Tensão (Pa)]]/1000000</f>
        <v>39.228623794724683</v>
      </c>
    </row>
    <row r="572" spans="1:6" x14ac:dyDescent="0.3">
      <c r="A572" s="1">
        <v>70.7</v>
      </c>
      <c r="B572" s="1">
        <v>5.8840000000000003</v>
      </c>
      <c r="C572" s="5">
        <f>Tabela10[[#This Row],[Alongamento (mm/mm)]]/$I$2</f>
        <v>0.11768000000000001</v>
      </c>
      <c r="D572" s="1">
        <v>1240.9000000000001</v>
      </c>
      <c r="E572" s="5">
        <f>Tabela10[[#This Row],[Força (N)]]/$I$5</f>
        <v>39553749.302733287</v>
      </c>
      <c r="F572" s="5">
        <f>Tabela10[[#This Row],[Tensão (Pa)]]/1000000</f>
        <v>39.553749302733287</v>
      </c>
    </row>
    <row r="573" spans="1:6" x14ac:dyDescent="0.3">
      <c r="A573" s="1">
        <v>70.917000000000002</v>
      </c>
      <c r="B573" s="1">
        <v>5.9020000000000001</v>
      </c>
      <c r="C573" s="5">
        <f>Tabela10[[#This Row],[Alongamento (mm/mm)]]/$I$2</f>
        <v>0.11804000000000001</v>
      </c>
      <c r="D573" s="1">
        <v>1250.7</v>
      </c>
      <c r="E573" s="5">
        <f>Tabela10[[#This Row],[Força (N)]]/$I$5</f>
        <v>39866124.790819988</v>
      </c>
      <c r="F573" s="5">
        <f>Tabela10[[#This Row],[Tensão (Pa)]]/1000000</f>
        <v>39.866124790819988</v>
      </c>
    </row>
    <row r="574" spans="1:6" x14ac:dyDescent="0.3">
      <c r="A574" s="1">
        <v>71.132999999999996</v>
      </c>
      <c r="B574" s="1">
        <v>5.9200999999999997</v>
      </c>
      <c r="C574" s="5">
        <f>Tabela10[[#This Row],[Alongamento (mm/mm)]]/$I$2</f>
        <v>0.11840199999999999</v>
      </c>
      <c r="D574" s="1">
        <v>1260.5999999999999</v>
      </c>
      <c r="E574" s="5">
        <f>Tabela10[[#This Row],[Força (N)]]/$I$5</f>
        <v>40181687.783887163</v>
      </c>
      <c r="F574" s="5">
        <f>Tabela10[[#This Row],[Tensão (Pa)]]/1000000</f>
        <v>40.181687783887163</v>
      </c>
    </row>
    <row r="575" spans="1:6" x14ac:dyDescent="0.3">
      <c r="A575" s="1">
        <v>71.349999999999994</v>
      </c>
      <c r="B575" s="1">
        <v>5.9381000000000004</v>
      </c>
      <c r="C575" s="5">
        <f>Tabela10[[#This Row],[Alongamento (mm/mm)]]/$I$2</f>
        <v>0.11876200000000001</v>
      </c>
      <c r="D575" s="1">
        <v>1270.5</v>
      </c>
      <c r="E575" s="5">
        <f>Tabela10[[#This Row],[Força (N)]]/$I$5</f>
        <v>40497250.776954338</v>
      </c>
      <c r="F575" s="5">
        <f>Tabela10[[#This Row],[Tensão (Pa)]]/1000000</f>
        <v>40.497250776954338</v>
      </c>
    </row>
    <row r="576" spans="1:6" x14ac:dyDescent="0.3">
      <c r="A576" s="1">
        <v>71.566999999999993</v>
      </c>
      <c r="B576" s="1">
        <v>5.9561999999999999</v>
      </c>
      <c r="C576" s="5">
        <f>Tabela10[[#This Row],[Alongamento (mm/mm)]]/$I$2</f>
        <v>0.11912399999999999</v>
      </c>
      <c r="D576" s="1">
        <v>1280.3</v>
      </c>
      <c r="E576" s="5">
        <f>Tabela10[[#This Row],[Força (N)]]/$I$5</f>
        <v>40809626.265041038</v>
      </c>
      <c r="F576" s="5">
        <f>Tabela10[[#This Row],[Tensão (Pa)]]/1000000</f>
        <v>40.80962626504104</v>
      </c>
    </row>
    <row r="577" spans="1:6" x14ac:dyDescent="0.3">
      <c r="A577" s="1">
        <v>71.783000000000001</v>
      </c>
      <c r="B577" s="1">
        <v>5.9743000000000004</v>
      </c>
      <c r="C577" s="5">
        <f>Tabela10[[#This Row],[Alongamento (mm/mm)]]/$I$2</f>
        <v>0.11948600000000001</v>
      </c>
      <c r="D577" s="1">
        <v>1290.2</v>
      </c>
      <c r="E577" s="5">
        <f>Tabela10[[#This Row],[Força (N)]]/$I$5</f>
        <v>41125189.258108221</v>
      </c>
      <c r="F577" s="5">
        <f>Tabela10[[#This Row],[Tensão (Pa)]]/1000000</f>
        <v>41.125189258108222</v>
      </c>
    </row>
    <row r="578" spans="1:6" x14ac:dyDescent="0.3">
      <c r="A578" s="1">
        <v>72</v>
      </c>
      <c r="B578" s="1">
        <v>5.9923999999999999</v>
      </c>
      <c r="C578" s="5">
        <f>Tabela10[[#This Row],[Alongamento (mm/mm)]]/$I$2</f>
        <v>0.119848</v>
      </c>
      <c r="D578" s="1">
        <v>1300.0999999999999</v>
      </c>
      <c r="E578" s="5">
        <f>Tabela10[[#This Row],[Força (N)]]/$I$5</f>
        <v>41440752.251175389</v>
      </c>
      <c r="F578" s="5">
        <f>Tabela10[[#This Row],[Tensão (Pa)]]/1000000</f>
        <v>41.44075225117539</v>
      </c>
    </row>
    <row r="579" spans="1:6" x14ac:dyDescent="0.3">
      <c r="A579" s="1">
        <v>72.233000000000004</v>
      </c>
      <c r="B579" s="1">
        <v>6.0117000000000003</v>
      </c>
      <c r="C579" s="5">
        <f>Tabela10[[#This Row],[Alongamento (mm/mm)]]/$I$2</f>
        <v>0.12023400000000001</v>
      </c>
      <c r="D579" s="1">
        <v>1310.4000000000001</v>
      </c>
      <c r="E579" s="5">
        <f>Tabela10[[#This Row],[Força (N)]]/$I$5</f>
        <v>41769065.264164478</v>
      </c>
      <c r="F579" s="5">
        <f>Tabela10[[#This Row],[Tensão (Pa)]]/1000000</f>
        <v>41.769065264164475</v>
      </c>
    </row>
    <row r="580" spans="1:6" x14ac:dyDescent="0.3">
      <c r="A580" s="1">
        <v>72.466999999999999</v>
      </c>
      <c r="B580" s="1">
        <v>6.0312000000000001</v>
      </c>
      <c r="C580" s="5">
        <f>Tabela10[[#This Row],[Alongamento (mm/mm)]]/$I$2</f>
        <v>0.12062400000000001</v>
      </c>
      <c r="D580" s="1">
        <v>1320.8</v>
      </c>
      <c r="E580" s="5">
        <f>Tabela10[[#This Row],[Força (N)]]/$I$5</f>
        <v>42100565.782134034</v>
      </c>
      <c r="F580" s="5">
        <f>Tabela10[[#This Row],[Tensão (Pa)]]/1000000</f>
        <v>42.100565782134034</v>
      </c>
    </row>
    <row r="581" spans="1:6" x14ac:dyDescent="0.3">
      <c r="A581" s="1">
        <v>72.7</v>
      </c>
      <c r="B581" s="1">
        <v>6.0506000000000002</v>
      </c>
      <c r="C581" s="5">
        <f>Tabela10[[#This Row],[Alongamento (mm/mm)]]/$I$2</f>
        <v>0.12101200000000001</v>
      </c>
      <c r="D581" s="1">
        <v>1331.4</v>
      </c>
      <c r="E581" s="5">
        <f>Tabela10[[#This Row],[Força (N)]]/$I$5</f>
        <v>42438441.310064554</v>
      </c>
      <c r="F581" s="5">
        <f>Tabela10[[#This Row],[Tensão (Pa)]]/1000000</f>
        <v>42.438441310064555</v>
      </c>
    </row>
    <row r="582" spans="1:6" x14ac:dyDescent="0.3">
      <c r="A582" s="1">
        <v>72.933000000000007</v>
      </c>
      <c r="B582" s="1">
        <v>6.0701000000000001</v>
      </c>
      <c r="C582" s="5">
        <f>Tabela10[[#This Row],[Alongamento (mm/mm)]]/$I$2</f>
        <v>0.121402</v>
      </c>
      <c r="D582" s="1">
        <v>1341.9</v>
      </c>
      <c r="E582" s="5">
        <f>Tabela10[[#This Row],[Força (N)]]/$I$5</f>
        <v>42773129.333014585</v>
      </c>
      <c r="F582" s="5">
        <f>Tabela10[[#This Row],[Tensão (Pa)]]/1000000</f>
        <v>42.773129333014587</v>
      </c>
    </row>
    <row r="583" spans="1:6" x14ac:dyDescent="0.3">
      <c r="A583" s="1">
        <v>73.167000000000002</v>
      </c>
      <c r="B583" s="1">
        <v>6.0895000000000001</v>
      </c>
      <c r="C583" s="5">
        <f>Tabela10[[#This Row],[Alongamento (mm/mm)]]/$I$2</f>
        <v>0.12179000000000001</v>
      </c>
      <c r="D583" s="1">
        <v>1352.5</v>
      </c>
      <c r="E583" s="5">
        <f>Tabela10[[#This Row],[Força (N)]]/$I$5</f>
        <v>43111004.860945098</v>
      </c>
      <c r="F583" s="5">
        <f>Tabela10[[#This Row],[Tensão (Pa)]]/1000000</f>
        <v>43.111004860945101</v>
      </c>
    </row>
    <row r="584" spans="1:6" x14ac:dyDescent="0.3">
      <c r="A584" s="1">
        <v>73.417000000000002</v>
      </c>
      <c r="B584" s="1">
        <v>6.1102999999999996</v>
      </c>
      <c r="C584" s="5">
        <f>Tabela10[[#This Row],[Alongamento (mm/mm)]]/$I$2</f>
        <v>0.122206</v>
      </c>
      <c r="D584" s="1">
        <v>1363.5</v>
      </c>
      <c r="E584" s="5">
        <f>Tabela10[[#This Row],[Força (N)]]/$I$5</f>
        <v>43461630.408797517</v>
      </c>
      <c r="F584" s="5">
        <f>Tabela10[[#This Row],[Tensão (Pa)]]/1000000</f>
        <v>43.461630408797518</v>
      </c>
    </row>
    <row r="585" spans="1:6" x14ac:dyDescent="0.3">
      <c r="A585" s="1">
        <v>73.667000000000002</v>
      </c>
      <c r="B585" s="1">
        <v>6.1311999999999998</v>
      </c>
      <c r="C585" s="5">
        <f>Tabela10[[#This Row],[Alongamento (mm/mm)]]/$I$2</f>
        <v>0.122624</v>
      </c>
      <c r="D585" s="1">
        <v>1374.7</v>
      </c>
      <c r="E585" s="5">
        <f>Tabela10[[#This Row],[Força (N)]]/$I$5</f>
        <v>43818630.966610886</v>
      </c>
      <c r="F585" s="5">
        <f>Tabela10[[#This Row],[Tensão (Pa)]]/1000000</f>
        <v>43.818630966610883</v>
      </c>
    </row>
    <row r="586" spans="1:6" x14ac:dyDescent="0.3">
      <c r="A586" s="1">
        <v>73.900000000000006</v>
      </c>
      <c r="B586" s="1">
        <v>6.1506999999999996</v>
      </c>
      <c r="C586" s="5">
        <f>Tabela10[[#This Row],[Alongamento (mm/mm)]]/$I$2</f>
        <v>0.123014</v>
      </c>
      <c r="D586" s="1">
        <v>1385.3</v>
      </c>
      <c r="E586" s="5">
        <f>Tabela10[[#This Row],[Força (N)]]/$I$5</f>
        <v>44156506.494541399</v>
      </c>
      <c r="F586" s="5">
        <f>Tabela10[[#This Row],[Tensão (Pa)]]/1000000</f>
        <v>44.156506494541397</v>
      </c>
    </row>
    <row r="587" spans="1:6" x14ac:dyDescent="0.3">
      <c r="A587" s="1">
        <v>74.150000000000006</v>
      </c>
      <c r="B587" s="1">
        <v>6.1714000000000002</v>
      </c>
      <c r="C587" s="5">
        <f>Tabela10[[#This Row],[Alongamento (mm/mm)]]/$I$2</f>
        <v>0.12342800000000001</v>
      </c>
      <c r="D587" s="1">
        <v>1396.2</v>
      </c>
      <c r="E587" s="5">
        <f>Tabela10[[#This Row],[Força (N)]]/$I$5</f>
        <v>44503944.537413344</v>
      </c>
      <c r="F587" s="5">
        <f>Tabela10[[#This Row],[Tensão (Pa)]]/1000000</f>
        <v>44.503944537413346</v>
      </c>
    </row>
    <row r="588" spans="1:6" x14ac:dyDescent="0.3">
      <c r="A588" s="1">
        <v>74.400000000000006</v>
      </c>
      <c r="B588" s="1">
        <v>6.1924000000000001</v>
      </c>
      <c r="C588" s="5">
        <f>Tabela10[[#This Row],[Alongamento (mm/mm)]]/$I$2</f>
        <v>0.123848</v>
      </c>
      <c r="D588" s="1">
        <v>1407.2</v>
      </c>
      <c r="E588" s="5">
        <f>Tabela10[[#This Row],[Força (N)]]/$I$5</f>
        <v>44854570.085265763</v>
      </c>
      <c r="F588" s="5">
        <f>Tabela10[[#This Row],[Tensão (Pa)]]/1000000</f>
        <v>44.854570085265763</v>
      </c>
    </row>
    <row r="589" spans="1:6" x14ac:dyDescent="0.3">
      <c r="A589" s="1">
        <v>74.650000000000006</v>
      </c>
      <c r="B589" s="1">
        <v>6.2130999999999998</v>
      </c>
      <c r="C589" s="5">
        <f>Tabela10[[#This Row],[Alongamento (mm/mm)]]/$I$2</f>
        <v>0.124262</v>
      </c>
      <c r="D589" s="1">
        <v>1418.3</v>
      </c>
      <c r="E589" s="5">
        <f>Tabela10[[#This Row],[Força (N)]]/$I$5</f>
        <v>45208383.138098657</v>
      </c>
      <c r="F589" s="5">
        <f>Tabela10[[#This Row],[Tensão (Pa)]]/1000000</f>
        <v>45.208383138098654</v>
      </c>
    </row>
    <row r="590" spans="1:6" x14ac:dyDescent="0.3">
      <c r="A590" s="1">
        <v>74.900000000000006</v>
      </c>
      <c r="B590" s="1">
        <v>6.234</v>
      </c>
      <c r="C590" s="5">
        <f>Tabela10[[#This Row],[Alongamento (mm/mm)]]/$I$2</f>
        <v>0.12468</v>
      </c>
      <c r="D590" s="1">
        <v>1429.3</v>
      </c>
      <c r="E590" s="5">
        <f>Tabela10[[#This Row],[Força (N)]]/$I$5</f>
        <v>45559008.685951076</v>
      </c>
      <c r="F590" s="5">
        <f>Tabela10[[#This Row],[Tensão (Pa)]]/1000000</f>
        <v>45.559008685951078</v>
      </c>
    </row>
    <row r="591" spans="1:6" x14ac:dyDescent="0.3">
      <c r="A591" s="1">
        <v>75.150000000000006</v>
      </c>
      <c r="B591" s="1">
        <v>6.2548000000000004</v>
      </c>
      <c r="C591" s="5">
        <f>Tabela10[[#This Row],[Alongamento (mm/mm)]]/$I$2</f>
        <v>0.12509600000000001</v>
      </c>
      <c r="D591" s="1">
        <v>1440.4</v>
      </c>
      <c r="E591" s="5">
        <f>Tabela10[[#This Row],[Força (N)]]/$I$5</f>
        <v>45912821.73878397</v>
      </c>
      <c r="F591" s="5">
        <f>Tabela10[[#This Row],[Tensão (Pa)]]/1000000</f>
        <v>45.912821738783968</v>
      </c>
    </row>
    <row r="592" spans="1:6" x14ac:dyDescent="0.3">
      <c r="A592" s="1">
        <v>75.400000000000006</v>
      </c>
      <c r="B592" s="1">
        <v>6.2755999999999998</v>
      </c>
      <c r="C592" s="5">
        <f>Tabela10[[#This Row],[Alongamento (mm/mm)]]/$I$2</f>
        <v>0.12551199999999998</v>
      </c>
      <c r="D592" s="1">
        <v>1451.6</v>
      </c>
      <c r="E592" s="5">
        <f>Tabela10[[#This Row],[Força (N)]]/$I$5</f>
        <v>46269822.296597339</v>
      </c>
      <c r="F592" s="5">
        <f>Tabela10[[#This Row],[Tensão (Pa)]]/1000000</f>
        <v>46.26982229659734</v>
      </c>
    </row>
    <row r="593" spans="1:6" x14ac:dyDescent="0.3">
      <c r="A593" s="1">
        <v>75.667000000000002</v>
      </c>
      <c r="B593" s="1">
        <v>6.2977999999999996</v>
      </c>
      <c r="C593" s="5">
        <f>Tabela10[[#This Row],[Alongamento (mm/mm)]]/$I$2</f>
        <v>0.12595599999999998</v>
      </c>
      <c r="D593" s="1">
        <v>1463.4</v>
      </c>
      <c r="E593" s="5">
        <f>Tabela10[[#This Row],[Força (N)]]/$I$5</f>
        <v>46645947.884293571</v>
      </c>
      <c r="F593" s="5">
        <f>Tabela10[[#This Row],[Tensão (Pa)]]/1000000</f>
        <v>46.64594788429357</v>
      </c>
    </row>
    <row r="594" spans="1:6" x14ac:dyDescent="0.3">
      <c r="A594" s="1">
        <v>75.917000000000002</v>
      </c>
      <c r="B594" s="1">
        <v>6.3186999999999998</v>
      </c>
      <c r="C594" s="5">
        <f>Tabela10[[#This Row],[Alongamento (mm/mm)]]/$I$2</f>
        <v>0.12637399999999999</v>
      </c>
      <c r="D594" s="1">
        <v>1474.6</v>
      </c>
      <c r="E594" s="5">
        <f>Tabela10[[#This Row],[Força (N)]]/$I$5</f>
        <v>47002948.44210694</v>
      </c>
      <c r="F594" s="5">
        <f>Tabela10[[#This Row],[Tensão (Pa)]]/1000000</f>
        <v>47.002948442106941</v>
      </c>
    </row>
    <row r="595" spans="1:6" x14ac:dyDescent="0.3">
      <c r="A595" s="1">
        <v>76.167000000000002</v>
      </c>
      <c r="B595" s="1">
        <v>6.3395999999999999</v>
      </c>
      <c r="C595" s="5">
        <f>Tabela10[[#This Row],[Alongamento (mm/mm)]]/$I$2</f>
        <v>0.12679199999999999</v>
      </c>
      <c r="D595" s="1">
        <v>1485.8</v>
      </c>
      <c r="E595" s="5">
        <f>Tabela10[[#This Row],[Força (N)]]/$I$5</f>
        <v>47359948.999920316</v>
      </c>
      <c r="F595" s="5">
        <f>Tabela10[[#This Row],[Tensão (Pa)]]/1000000</f>
        <v>47.359948999920313</v>
      </c>
    </row>
    <row r="596" spans="1:6" x14ac:dyDescent="0.3">
      <c r="A596" s="1">
        <v>76.433000000000007</v>
      </c>
      <c r="B596" s="1">
        <v>6.3617999999999997</v>
      </c>
      <c r="C596" s="5">
        <f>Tabela10[[#This Row],[Alongamento (mm/mm)]]/$I$2</f>
        <v>0.12723599999999999</v>
      </c>
      <c r="D596" s="1">
        <v>1497.7</v>
      </c>
      <c r="E596" s="5">
        <f>Tabela10[[#This Row],[Força (N)]]/$I$5</f>
        <v>47739262.092597023</v>
      </c>
      <c r="F596" s="5">
        <f>Tabela10[[#This Row],[Tensão (Pa)]]/1000000</f>
        <v>47.739262092597023</v>
      </c>
    </row>
    <row r="597" spans="1:6" x14ac:dyDescent="0.3">
      <c r="A597" s="1">
        <v>76.7</v>
      </c>
      <c r="B597" s="1">
        <v>6.3840000000000003</v>
      </c>
      <c r="C597" s="5">
        <f>Tabela10[[#This Row],[Alongamento (mm/mm)]]/$I$2</f>
        <v>0.12768000000000002</v>
      </c>
      <c r="D597" s="1">
        <v>1509.6</v>
      </c>
      <c r="E597" s="5">
        <f>Tabela10[[#This Row],[Força (N)]]/$I$5</f>
        <v>48118575.185273729</v>
      </c>
      <c r="F597" s="5">
        <f>Tabela10[[#This Row],[Tensão (Pa)]]/1000000</f>
        <v>48.118575185273727</v>
      </c>
    </row>
    <row r="598" spans="1:6" x14ac:dyDescent="0.3">
      <c r="A598" s="1">
        <v>76.95</v>
      </c>
      <c r="B598" s="1">
        <v>6.4047000000000001</v>
      </c>
      <c r="C598" s="5">
        <f>Tabela10[[#This Row],[Alongamento (mm/mm)]]/$I$2</f>
        <v>0.12809400000000001</v>
      </c>
      <c r="D598" s="1">
        <v>1521.2</v>
      </c>
      <c r="E598" s="5">
        <f>Tabela10[[#This Row],[Força (N)]]/$I$5</f>
        <v>48488325.763009012</v>
      </c>
      <c r="F598" s="5">
        <f>Tabela10[[#This Row],[Tensão (Pa)]]/1000000</f>
        <v>48.488325763009009</v>
      </c>
    </row>
    <row r="599" spans="1:6" x14ac:dyDescent="0.3">
      <c r="A599" s="1">
        <v>77.216999999999999</v>
      </c>
      <c r="B599" s="1">
        <v>6.4271000000000003</v>
      </c>
      <c r="C599" s="5">
        <f>Tabela10[[#This Row],[Alongamento (mm/mm)]]/$I$2</f>
        <v>0.12854200000000002</v>
      </c>
      <c r="D599" s="1">
        <v>1533.3</v>
      </c>
      <c r="E599" s="5">
        <f>Tabela10[[#This Row],[Força (N)]]/$I$5</f>
        <v>48874013.865646668</v>
      </c>
      <c r="F599" s="5">
        <f>Tabela10[[#This Row],[Tensão (Pa)]]/1000000</f>
        <v>48.874013865646667</v>
      </c>
    </row>
    <row r="600" spans="1:6" x14ac:dyDescent="0.3">
      <c r="A600" s="1">
        <v>77.483000000000004</v>
      </c>
      <c r="B600" s="1">
        <v>6.4493</v>
      </c>
      <c r="C600" s="5">
        <f>Tabela10[[#This Row],[Alongamento (mm/mm)]]/$I$2</f>
        <v>0.12898599999999999</v>
      </c>
      <c r="D600" s="1">
        <v>1545.5</v>
      </c>
      <c r="E600" s="5">
        <f>Tabela10[[#This Row],[Força (N)]]/$I$5</f>
        <v>49262889.473264806</v>
      </c>
      <c r="F600" s="5">
        <f>Tabela10[[#This Row],[Tensão (Pa)]]/1000000</f>
        <v>49.262889473264806</v>
      </c>
    </row>
    <row r="601" spans="1:6" x14ac:dyDescent="0.3">
      <c r="A601" s="1">
        <v>77.75</v>
      </c>
      <c r="B601" s="1">
        <v>6.4714</v>
      </c>
      <c r="C601" s="5">
        <f>Tabela10[[#This Row],[Alongamento (mm/mm)]]/$I$2</f>
        <v>0.12942799999999999</v>
      </c>
      <c r="D601" s="1">
        <v>1557.9</v>
      </c>
      <c r="E601" s="5">
        <f>Tabela10[[#This Row],[Força (N)]]/$I$5</f>
        <v>49658140.090843901</v>
      </c>
      <c r="F601" s="5">
        <f>Tabela10[[#This Row],[Tensão (Pa)]]/1000000</f>
        <v>49.658140090843901</v>
      </c>
    </row>
    <row r="602" spans="1:6" x14ac:dyDescent="0.3">
      <c r="A602" s="1">
        <v>78.016999999999996</v>
      </c>
      <c r="B602" s="1">
        <v>6.4936999999999996</v>
      </c>
      <c r="C602" s="5">
        <f>Tabela10[[#This Row],[Alongamento (mm/mm)]]/$I$2</f>
        <v>0.12987399999999999</v>
      </c>
      <c r="D602" s="1">
        <v>1570</v>
      </c>
      <c r="E602" s="5">
        <f>Tabela10[[#This Row],[Força (N)]]/$I$5</f>
        <v>50043828.193481557</v>
      </c>
      <c r="F602" s="5">
        <f>Tabela10[[#This Row],[Tensão (Pa)]]/1000000</f>
        <v>50.043828193481559</v>
      </c>
    </row>
    <row r="603" spans="1:6" x14ac:dyDescent="0.3">
      <c r="A603" s="1">
        <v>78.283000000000001</v>
      </c>
      <c r="B603" s="1">
        <v>6.5159000000000002</v>
      </c>
      <c r="C603" s="5">
        <f>Tabela10[[#This Row],[Alongamento (mm/mm)]]/$I$2</f>
        <v>0.13031800000000002</v>
      </c>
      <c r="D603" s="1">
        <v>1582.3</v>
      </c>
      <c r="E603" s="5">
        <f>Tabela10[[#This Row],[Força (N)]]/$I$5</f>
        <v>50435891.30608017</v>
      </c>
      <c r="F603" s="5">
        <f>Tabela10[[#This Row],[Tensão (Pa)]]/1000000</f>
        <v>50.435891306080173</v>
      </c>
    </row>
    <row r="604" spans="1:6" x14ac:dyDescent="0.3">
      <c r="A604" s="1">
        <v>78.566999999999993</v>
      </c>
      <c r="B604" s="1">
        <v>6.5395000000000003</v>
      </c>
      <c r="C604" s="5">
        <f>Tabela10[[#This Row],[Alongamento (mm/mm)]]/$I$2</f>
        <v>0.13079000000000002</v>
      </c>
      <c r="D604" s="1">
        <v>1595</v>
      </c>
      <c r="E604" s="5">
        <f>Tabela10[[#This Row],[Força (N)]]/$I$5</f>
        <v>50840704.438600689</v>
      </c>
      <c r="F604" s="5">
        <f>Tabela10[[#This Row],[Tensão (Pa)]]/1000000</f>
        <v>50.840704438600689</v>
      </c>
    </row>
    <row r="605" spans="1:6" x14ac:dyDescent="0.3">
      <c r="A605" s="1">
        <v>78.849999999999994</v>
      </c>
      <c r="B605" s="1">
        <v>6.5632000000000001</v>
      </c>
      <c r="C605" s="5">
        <f>Tabela10[[#This Row],[Alongamento (mm/mm)]]/$I$2</f>
        <v>0.13126399999999999</v>
      </c>
      <c r="D605" s="1">
        <v>1607.6</v>
      </c>
      <c r="E605" s="5">
        <f>Tabela10[[#This Row],[Força (N)]]/$I$5</f>
        <v>51242330.066140726</v>
      </c>
      <c r="F605" s="5">
        <f>Tabela10[[#This Row],[Tensão (Pa)]]/1000000</f>
        <v>51.242330066140724</v>
      </c>
    </row>
    <row r="606" spans="1:6" x14ac:dyDescent="0.3">
      <c r="A606" s="1">
        <v>79.132999999999996</v>
      </c>
      <c r="B606" s="1">
        <v>6.5867000000000004</v>
      </c>
      <c r="C606" s="5">
        <f>Tabela10[[#This Row],[Alongamento (mm/mm)]]/$I$2</f>
        <v>0.13173400000000002</v>
      </c>
      <c r="D606" s="1">
        <v>1620.2</v>
      </c>
      <c r="E606" s="5">
        <f>Tabela10[[#This Row],[Força (N)]]/$I$5</f>
        <v>51643955.693680778</v>
      </c>
      <c r="F606" s="5">
        <f>Tabela10[[#This Row],[Tensão (Pa)]]/1000000</f>
        <v>51.64395569368078</v>
      </c>
    </row>
    <row r="607" spans="1:6" x14ac:dyDescent="0.3">
      <c r="A607" s="1">
        <v>79.433000000000007</v>
      </c>
      <c r="B607" s="1">
        <v>6.6116999999999999</v>
      </c>
      <c r="C607" s="5">
        <f>Tabela10[[#This Row],[Alongamento (mm/mm)]]/$I$2</f>
        <v>0.13223399999999999</v>
      </c>
      <c r="D607" s="1">
        <v>1633.5</v>
      </c>
      <c r="E607" s="5">
        <f>Tabela10[[#This Row],[Força (N)]]/$I$5</f>
        <v>52067893.856084153</v>
      </c>
      <c r="F607" s="5">
        <f>Tabela10[[#This Row],[Tensão (Pa)]]/1000000</f>
        <v>52.067893856084154</v>
      </c>
    </row>
    <row r="608" spans="1:6" x14ac:dyDescent="0.3">
      <c r="A608" s="1">
        <v>79.733000000000004</v>
      </c>
      <c r="B608" s="1">
        <v>6.6367000000000003</v>
      </c>
      <c r="C608" s="5">
        <f>Tabela10[[#This Row],[Alongamento (mm/mm)]]/$I$2</f>
        <v>0.13273400000000002</v>
      </c>
      <c r="D608" s="1">
        <v>1646.7</v>
      </c>
      <c r="E608" s="5">
        <f>Tabela10[[#This Row],[Força (N)]]/$I$5</f>
        <v>52488644.513507053</v>
      </c>
      <c r="F608" s="5">
        <f>Tabela10[[#This Row],[Tensão (Pa)]]/1000000</f>
        <v>52.488644513507055</v>
      </c>
    </row>
    <row r="609" spans="1:6" x14ac:dyDescent="0.3">
      <c r="A609" s="1">
        <v>80.016999999999996</v>
      </c>
      <c r="B609" s="1">
        <v>6.6603000000000003</v>
      </c>
      <c r="C609" s="5">
        <f>Tabela10[[#This Row],[Alongamento (mm/mm)]]/$I$2</f>
        <v>0.13320600000000002</v>
      </c>
      <c r="D609" s="1">
        <v>1659.3</v>
      </c>
      <c r="E609" s="5">
        <f>Tabela10[[#This Row],[Força (N)]]/$I$5</f>
        <v>52890270.141047098</v>
      </c>
      <c r="F609" s="5">
        <f>Tabela10[[#This Row],[Tensão (Pa)]]/1000000</f>
        <v>52.890270141047097</v>
      </c>
    </row>
    <row r="610" spans="1:6" x14ac:dyDescent="0.3">
      <c r="A610" s="1">
        <v>80.316999999999993</v>
      </c>
      <c r="B610" s="1">
        <v>6.6852999999999998</v>
      </c>
      <c r="C610" s="5">
        <f>Tabela10[[#This Row],[Alongamento (mm/mm)]]/$I$2</f>
        <v>0.13370599999999999</v>
      </c>
      <c r="D610" s="1">
        <v>1672.4</v>
      </c>
      <c r="E610" s="5">
        <f>Tabela10[[#This Row],[Força (N)]]/$I$5</f>
        <v>53307833.293489531</v>
      </c>
      <c r="F610" s="5">
        <f>Tabela10[[#This Row],[Tensão (Pa)]]/1000000</f>
        <v>53.30783329348953</v>
      </c>
    </row>
    <row r="611" spans="1:6" x14ac:dyDescent="0.3">
      <c r="A611" s="1">
        <v>80.617000000000004</v>
      </c>
      <c r="B611" s="1">
        <v>6.7103000000000002</v>
      </c>
      <c r="C611" s="5">
        <f>Tabela10[[#This Row],[Alongamento (mm/mm)]]/$I$2</f>
        <v>0.13420599999999999</v>
      </c>
      <c r="D611" s="1">
        <v>1685.5</v>
      </c>
      <c r="E611" s="5">
        <f>Tabela10[[#This Row],[Força (N)]]/$I$5</f>
        <v>53725396.445931949</v>
      </c>
      <c r="F611" s="5">
        <f>Tabela10[[#This Row],[Tensão (Pa)]]/1000000</f>
        <v>53.725396445931949</v>
      </c>
    </row>
    <row r="612" spans="1:6" x14ac:dyDescent="0.3">
      <c r="A612" s="1">
        <v>80.917000000000002</v>
      </c>
      <c r="B612" s="1">
        <v>6.7354000000000003</v>
      </c>
      <c r="C612" s="5">
        <f>Tabela10[[#This Row],[Alongamento (mm/mm)]]/$I$2</f>
        <v>0.13470799999999999</v>
      </c>
      <c r="D612" s="1">
        <v>1698.6</v>
      </c>
      <c r="E612" s="5">
        <f>Tabela10[[#This Row],[Força (N)]]/$I$5</f>
        <v>54142959.598374374</v>
      </c>
      <c r="F612" s="5">
        <f>Tabela10[[#This Row],[Tensão (Pa)]]/1000000</f>
        <v>54.142959598374375</v>
      </c>
    </row>
    <row r="613" spans="1:6" x14ac:dyDescent="0.3">
      <c r="A613" s="1">
        <v>81.233000000000004</v>
      </c>
      <c r="B613" s="1">
        <v>6.7617000000000003</v>
      </c>
      <c r="C613" s="5">
        <f>Tabela10[[#This Row],[Alongamento (mm/mm)]]/$I$2</f>
        <v>0.13523399999999999</v>
      </c>
      <c r="D613" s="1">
        <v>1712</v>
      </c>
      <c r="E613" s="5">
        <f>Tabela10[[#This Row],[Força (N)]]/$I$5</f>
        <v>54570085.265758231</v>
      </c>
      <c r="F613" s="5">
        <f>Tabela10[[#This Row],[Tensão (Pa)]]/1000000</f>
        <v>54.57008526575823</v>
      </c>
    </row>
    <row r="614" spans="1:6" x14ac:dyDescent="0.3">
      <c r="A614" s="1">
        <v>81.55</v>
      </c>
      <c r="B614" s="1">
        <v>6.7881</v>
      </c>
      <c r="C614" s="5">
        <f>Tabela10[[#This Row],[Alongamento (mm/mm)]]/$I$2</f>
        <v>0.13576199999999999</v>
      </c>
      <c r="D614" s="1">
        <v>1725.8</v>
      </c>
      <c r="E614" s="5">
        <f>Tabela10[[#This Row],[Força (N)]]/$I$5</f>
        <v>55009960.953063987</v>
      </c>
      <c r="F614" s="5">
        <f>Tabela10[[#This Row],[Tensão (Pa)]]/1000000</f>
        <v>55.009960953063988</v>
      </c>
    </row>
    <row r="615" spans="1:6" x14ac:dyDescent="0.3">
      <c r="A615" s="1">
        <v>81.867000000000004</v>
      </c>
      <c r="B615" s="1">
        <v>6.8144999999999998</v>
      </c>
      <c r="C615" s="5">
        <f>Tabela10[[#This Row],[Alongamento (mm/mm)]]/$I$2</f>
        <v>0.13628999999999999</v>
      </c>
      <c r="D615" s="1">
        <v>1739.6</v>
      </c>
      <c r="E615" s="5">
        <f>Tabela10[[#This Row],[Força (N)]]/$I$5</f>
        <v>55449836.640369751</v>
      </c>
      <c r="F615" s="5">
        <f>Tabela10[[#This Row],[Tensão (Pa)]]/1000000</f>
        <v>55.449836640369753</v>
      </c>
    </row>
    <row r="616" spans="1:6" x14ac:dyDescent="0.3">
      <c r="A616" s="1">
        <v>82.183000000000007</v>
      </c>
      <c r="B616" s="1">
        <v>6.8410000000000002</v>
      </c>
      <c r="C616" s="5">
        <f>Tabela10[[#This Row],[Alongamento (mm/mm)]]/$I$2</f>
        <v>0.13682</v>
      </c>
      <c r="D616" s="1">
        <v>1753.2</v>
      </c>
      <c r="E616" s="5">
        <f>Tabela10[[#This Row],[Força (N)]]/$I$5</f>
        <v>55883337.317714565</v>
      </c>
      <c r="F616" s="5">
        <f>Tabela10[[#This Row],[Tensão (Pa)]]/1000000</f>
        <v>55.883337317714563</v>
      </c>
    </row>
    <row r="617" spans="1:6" x14ac:dyDescent="0.3">
      <c r="A617" s="1">
        <v>82.5</v>
      </c>
      <c r="B617" s="1">
        <v>6.8673000000000002</v>
      </c>
      <c r="C617" s="5">
        <f>Tabela10[[#This Row],[Alongamento (mm/mm)]]/$I$2</f>
        <v>0.137346</v>
      </c>
      <c r="D617" s="1">
        <v>1766.8</v>
      </c>
      <c r="E617" s="5">
        <f>Tabela10[[#This Row],[Força (N)]]/$I$5</f>
        <v>56316837.995059371</v>
      </c>
      <c r="F617" s="5">
        <f>Tabela10[[#This Row],[Tensão (Pa)]]/1000000</f>
        <v>56.316837995059373</v>
      </c>
    </row>
    <row r="618" spans="1:6" x14ac:dyDescent="0.3">
      <c r="A618" s="1">
        <v>82.816999999999993</v>
      </c>
      <c r="B618" s="1">
        <v>6.8936999999999999</v>
      </c>
      <c r="C618" s="5">
        <f>Tabela10[[#This Row],[Alongamento (mm/mm)]]/$I$2</f>
        <v>0.137874</v>
      </c>
      <c r="D618" s="1">
        <v>1780.8</v>
      </c>
      <c r="E618" s="5">
        <f>Tabela10[[#This Row],[Força (N)]]/$I$5</f>
        <v>56763088.692326084</v>
      </c>
      <c r="F618" s="5">
        <f>Tabela10[[#This Row],[Tensão (Pa)]]/1000000</f>
        <v>56.763088692326086</v>
      </c>
    </row>
    <row r="619" spans="1:6" x14ac:dyDescent="0.3">
      <c r="A619" s="1">
        <v>83.132999999999996</v>
      </c>
      <c r="B619" s="1">
        <v>6.9202000000000004</v>
      </c>
      <c r="C619" s="5">
        <f>Tabela10[[#This Row],[Alongamento (mm/mm)]]/$I$2</f>
        <v>0.138404</v>
      </c>
      <c r="D619" s="1">
        <v>1794.4</v>
      </c>
      <c r="E619" s="5">
        <f>Tabela10[[#This Row],[Força (N)]]/$I$5</f>
        <v>57196589.369670898</v>
      </c>
      <c r="F619" s="5">
        <f>Tabela10[[#This Row],[Tensão (Pa)]]/1000000</f>
        <v>57.196589369670896</v>
      </c>
    </row>
    <row r="620" spans="1:6" x14ac:dyDescent="0.3">
      <c r="A620" s="1">
        <v>83.466999999999999</v>
      </c>
      <c r="B620" s="1">
        <v>6.9478</v>
      </c>
      <c r="C620" s="5">
        <f>Tabela10[[#This Row],[Alongamento (mm/mm)]]/$I$2</f>
        <v>0.138956</v>
      </c>
      <c r="D620" s="1">
        <v>1808.5</v>
      </c>
      <c r="E620" s="5">
        <f>Tabela10[[#This Row],[Força (N)]]/$I$5</f>
        <v>57646027.571918085</v>
      </c>
      <c r="F620" s="5">
        <f>Tabela10[[#This Row],[Tensão (Pa)]]/1000000</f>
        <v>57.646027571918083</v>
      </c>
    </row>
    <row r="621" spans="1:6" x14ac:dyDescent="0.3">
      <c r="A621" s="1">
        <v>83.8</v>
      </c>
      <c r="B621" s="1">
        <v>6.9756999999999998</v>
      </c>
      <c r="C621" s="5">
        <f>Tabela10[[#This Row],[Alongamento (mm/mm)]]/$I$2</f>
        <v>0.139514</v>
      </c>
      <c r="D621" s="1">
        <v>1822.4</v>
      </c>
      <c r="E621" s="5">
        <f>Tabela10[[#This Row],[Força (N)]]/$I$5</f>
        <v>58089090.764204323</v>
      </c>
      <c r="F621" s="5">
        <f>Tabela10[[#This Row],[Tensão (Pa)]]/1000000</f>
        <v>58.089090764204322</v>
      </c>
    </row>
    <row r="622" spans="1:6" x14ac:dyDescent="0.3">
      <c r="A622" s="1">
        <v>84.132999999999996</v>
      </c>
      <c r="B622" s="1">
        <v>7.0034999999999998</v>
      </c>
      <c r="C622" s="5">
        <f>Tabela10[[#This Row],[Alongamento (mm/mm)]]/$I$2</f>
        <v>0.14007</v>
      </c>
      <c r="D622" s="1">
        <v>1836.6</v>
      </c>
      <c r="E622" s="5">
        <f>Tabela10[[#This Row],[Força (N)]]/$I$5</f>
        <v>58541716.471431985</v>
      </c>
      <c r="F622" s="5">
        <f>Tabela10[[#This Row],[Tensão (Pa)]]/1000000</f>
        <v>58.541716471431982</v>
      </c>
    </row>
    <row r="623" spans="1:6" x14ac:dyDescent="0.3">
      <c r="A623" s="1">
        <v>84.483000000000004</v>
      </c>
      <c r="B623" s="1">
        <v>7.0326000000000004</v>
      </c>
      <c r="C623" s="5">
        <f>Tabela10[[#This Row],[Alongamento (mm/mm)]]/$I$2</f>
        <v>0.140652</v>
      </c>
      <c r="D623" s="1">
        <v>1850.8</v>
      </c>
      <c r="E623" s="5">
        <f>Tabela10[[#This Row],[Força (N)]]/$I$5</f>
        <v>58994342.178659655</v>
      </c>
      <c r="F623" s="5">
        <f>Tabela10[[#This Row],[Tensão (Pa)]]/1000000</f>
        <v>58.994342178659657</v>
      </c>
    </row>
    <row r="624" spans="1:6" x14ac:dyDescent="0.3">
      <c r="A624" s="1">
        <v>84.832999999999998</v>
      </c>
      <c r="B624" s="1">
        <v>7.0617000000000001</v>
      </c>
      <c r="C624" s="5">
        <f>Tabela10[[#This Row],[Alongamento (mm/mm)]]/$I$2</f>
        <v>0.141234</v>
      </c>
      <c r="D624" s="1">
        <v>1865.1</v>
      </c>
      <c r="E624" s="5">
        <f>Tabela10[[#This Row],[Força (N)]]/$I$5</f>
        <v>59450155.3908678</v>
      </c>
      <c r="F624" s="5">
        <f>Tabela10[[#This Row],[Tensão (Pa)]]/1000000</f>
        <v>59.450155390867799</v>
      </c>
    </row>
    <row r="625" spans="1:6" x14ac:dyDescent="0.3">
      <c r="A625" s="1">
        <v>85.2</v>
      </c>
      <c r="B625" s="1">
        <v>7.0922999999999998</v>
      </c>
      <c r="C625" s="5">
        <f>Tabela10[[#This Row],[Alongamento (mm/mm)]]/$I$2</f>
        <v>0.141846</v>
      </c>
      <c r="D625" s="1">
        <v>1879.9</v>
      </c>
      <c r="E625" s="5">
        <f>Tabela10[[#This Row],[Força (N)]]/$I$5</f>
        <v>59921906.127978332</v>
      </c>
      <c r="F625" s="5">
        <f>Tabela10[[#This Row],[Tensão (Pa)]]/1000000</f>
        <v>59.921906127978332</v>
      </c>
    </row>
    <row r="626" spans="1:6" x14ac:dyDescent="0.3">
      <c r="A626" s="1">
        <v>85.582999999999998</v>
      </c>
      <c r="B626" s="1">
        <v>7.1242000000000001</v>
      </c>
      <c r="C626" s="5">
        <f>Tabela10[[#This Row],[Alongamento (mm/mm)]]/$I$2</f>
        <v>0.142484</v>
      </c>
      <c r="D626" s="1">
        <v>1895.1</v>
      </c>
      <c r="E626" s="5">
        <f>Tabela10[[#This Row],[Força (N)]]/$I$5</f>
        <v>60406406.885010757</v>
      </c>
      <c r="F626" s="5">
        <f>Tabela10[[#This Row],[Tensão (Pa)]]/1000000</f>
        <v>60.406406885010753</v>
      </c>
    </row>
    <row r="627" spans="1:6" x14ac:dyDescent="0.3">
      <c r="A627" s="1">
        <v>85.966999999999999</v>
      </c>
      <c r="B627" s="1">
        <v>7.1562000000000001</v>
      </c>
      <c r="C627" s="5">
        <f>Tabela10[[#This Row],[Alongamento (mm/mm)]]/$I$2</f>
        <v>0.143124</v>
      </c>
      <c r="D627" s="1">
        <v>1910</v>
      </c>
      <c r="E627" s="5">
        <f>Tabela10[[#This Row],[Força (N)]]/$I$5</f>
        <v>60881345.127101764</v>
      </c>
      <c r="F627" s="5">
        <f>Tabela10[[#This Row],[Tensão (Pa)]]/1000000</f>
        <v>60.881345127101767</v>
      </c>
    </row>
    <row r="628" spans="1:6" x14ac:dyDescent="0.3">
      <c r="A628" s="1">
        <v>86.35</v>
      </c>
      <c r="B628" s="1">
        <v>7.1882000000000001</v>
      </c>
      <c r="C628" s="5">
        <f>Tabela10[[#This Row],[Alongamento (mm/mm)]]/$I$2</f>
        <v>0.143764</v>
      </c>
      <c r="D628" s="1">
        <v>1925</v>
      </c>
      <c r="E628" s="5">
        <f>Tabela10[[#This Row],[Força (N)]]/$I$5</f>
        <v>61359470.874173246</v>
      </c>
      <c r="F628" s="5">
        <f>Tabela10[[#This Row],[Tensão (Pa)]]/1000000</f>
        <v>61.359470874173248</v>
      </c>
    </row>
    <row r="629" spans="1:6" x14ac:dyDescent="0.3">
      <c r="A629" s="1">
        <v>86.766999999999996</v>
      </c>
      <c r="B629" s="1">
        <v>7.2229000000000001</v>
      </c>
      <c r="C629" s="5">
        <f>Tabela10[[#This Row],[Alongamento (mm/mm)]]/$I$2</f>
        <v>0.144458</v>
      </c>
      <c r="D629" s="1">
        <v>1940.5</v>
      </c>
      <c r="E629" s="5">
        <f>Tabela10[[#This Row],[Força (N)]]/$I$5</f>
        <v>61853534.14614711</v>
      </c>
      <c r="F629" s="5">
        <f>Tabela10[[#This Row],[Tensão (Pa)]]/1000000</f>
        <v>61.853534146147112</v>
      </c>
    </row>
    <row r="630" spans="1:6" x14ac:dyDescent="0.3">
      <c r="A630" s="1">
        <v>87.183000000000007</v>
      </c>
      <c r="B630" s="1">
        <v>7.2575000000000003</v>
      </c>
      <c r="C630" s="5">
        <f>Tabela10[[#This Row],[Alongamento (mm/mm)]]/$I$2</f>
        <v>0.14515</v>
      </c>
      <c r="D630" s="1">
        <v>1955.6</v>
      </c>
      <c r="E630" s="5">
        <f>Tabela10[[#This Row],[Força (N)]]/$I$5</f>
        <v>62334847.398199059</v>
      </c>
      <c r="F630" s="5">
        <f>Tabela10[[#This Row],[Tensão (Pa)]]/1000000</f>
        <v>62.334847398199059</v>
      </c>
    </row>
    <row r="631" spans="1:6" x14ac:dyDescent="0.3">
      <c r="A631" s="1">
        <v>87.6</v>
      </c>
      <c r="B631" s="1">
        <v>7.2923999999999998</v>
      </c>
      <c r="C631" s="5">
        <f>Tabela10[[#This Row],[Alongamento (mm/mm)]]/$I$2</f>
        <v>0.14584800000000001</v>
      </c>
      <c r="D631" s="1">
        <v>1970.6</v>
      </c>
      <c r="E631" s="5">
        <f>Tabela10[[#This Row],[Força (N)]]/$I$5</f>
        <v>62812973.145270541</v>
      </c>
      <c r="F631" s="5">
        <f>Tabela10[[#This Row],[Tensão (Pa)]]/1000000</f>
        <v>62.81297314527054</v>
      </c>
    </row>
    <row r="632" spans="1:6" x14ac:dyDescent="0.3">
      <c r="A632" s="1">
        <v>88.033000000000001</v>
      </c>
      <c r="B632" s="1">
        <v>7.3284000000000002</v>
      </c>
      <c r="C632" s="5">
        <f>Tabela10[[#This Row],[Alongamento (mm/mm)]]/$I$2</f>
        <v>0.146568</v>
      </c>
      <c r="D632" s="1">
        <v>1985.9</v>
      </c>
      <c r="E632" s="5">
        <f>Tabela10[[#This Row],[Força (N)]]/$I$5</f>
        <v>63300661.407283455</v>
      </c>
      <c r="F632" s="5">
        <f>Tabela10[[#This Row],[Tensão (Pa)]]/1000000</f>
        <v>63.300661407283457</v>
      </c>
    </row>
    <row r="633" spans="1:6" x14ac:dyDescent="0.3">
      <c r="A633" s="1">
        <v>88.483000000000004</v>
      </c>
      <c r="B633" s="1">
        <v>7.3658000000000001</v>
      </c>
      <c r="C633" s="5">
        <f>Tabela10[[#This Row],[Alongamento (mm/mm)]]/$I$2</f>
        <v>0.147316</v>
      </c>
      <c r="D633" s="1">
        <v>2001.4</v>
      </c>
      <c r="E633" s="5">
        <f>Tabela10[[#This Row],[Força (N)]]/$I$5</f>
        <v>63794724.679257318</v>
      </c>
      <c r="F633" s="5">
        <f>Tabela10[[#This Row],[Tensão (Pa)]]/1000000</f>
        <v>63.794724679257321</v>
      </c>
    </row>
    <row r="634" spans="1:6" x14ac:dyDescent="0.3">
      <c r="A634" s="1">
        <v>88.95</v>
      </c>
      <c r="B634" s="1">
        <v>7.4047999999999998</v>
      </c>
      <c r="C634" s="5">
        <f>Tabela10[[#This Row],[Alongamento (mm/mm)]]/$I$2</f>
        <v>0.14809600000000001</v>
      </c>
      <c r="D634" s="1">
        <v>2016.9</v>
      </c>
      <c r="E634" s="5">
        <f>Tabela10[[#This Row],[Força (N)]]/$I$5</f>
        <v>64288787.951231182</v>
      </c>
      <c r="F634" s="5">
        <f>Tabela10[[#This Row],[Tensão (Pa)]]/1000000</f>
        <v>64.288787951231186</v>
      </c>
    </row>
    <row r="635" spans="1:6" x14ac:dyDescent="0.3">
      <c r="A635" s="1">
        <v>89.45</v>
      </c>
      <c r="B635" s="1">
        <v>7.4465000000000003</v>
      </c>
      <c r="C635" s="5">
        <f>Tabela10[[#This Row],[Alongamento (mm/mm)]]/$I$2</f>
        <v>0.14893000000000001</v>
      </c>
      <c r="D635" s="1">
        <v>2032.7</v>
      </c>
      <c r="E635" s="5">
        <f>Tabela10[[#This Row],[Força (N)]]/$I$5</f>
        <v>64792413.738146469</v>
      </c>
      <c r="F635" s="5">
        <f>Tabela10[[#This Row],[Tensão (Pa)]]/1000000</f>
        <v>64.792413738146465</v>
      </c>
    </row>
    <row r="636" spans="1:6" x14ac:dyDescent="0.3">
      <c r="A636" s="1">
        <v>89.95</v>
      </c>
      <c r="B636" s="1">
        <v>7.4882</v>
      </c>
      <c r="C636" s="5">
        <f>Tabela10[[#This Row],[Alongamento (mm/mm)]]/$I$2</f>
        <v>0.14976400000000001</v>
      </c>
      <c r="D636" s="1">
        <v>2047.6</v>
      </c>
      <c r="E636" s="5">
        <f>Tabela10[[#This Row],[Força (N)]]/$I$5</f>
        <v>65267351.980237469</v>
      </c>
      <c r="F636" s="5">
        <f>Tabela10[[#This Row],[Tensão (Pa)]]/1000000</f>
        <v>65.267351980237464</v>
      </c>
    </row>
    <row r="637" spans="1:6" x14ac:dyDescent="0.3">
      <c r="A637" s="1">
        <v>90.45</v>
      </c>
      <c r="B637" s="1">
        <v>7.5297999999999998</v>
      </c>
      <c r="C637" s="5">
        <f>Tabela10[[#This Row],[Alongamento (mm/mm)]]/$I$2</f>
        <v>0.15059600000000001</v>
      </c>
      <c r="D637" s="1">
        <v>2061.4</v>
      </c>
      <c r="E637" s="5">
        <f>Tabela10[[#This Row],[Força (N)]]/$I$5</f>
        <v>65707227.66754324</v>
      </c>
      <c r="F637" s="5">
        <f>Tabela10[[#This Row],[Tensão (Pa)]]/1000000</f>
        <v>65.707227667543236</v>
      </c>
    </row>
    <row r="638" spans="1:6" x14ac:dyDescent="0.3">
      <c r="A638" s="1">
        <v>90.95</v>
      </c>
      <c r="B638" s="1">
        <v>7.5715000000000003</v>
      </c>
      <c r="C638" s="5">
        <f>Tabela10[[#This Row],[Alongamento (mm/mm)]]/$I$2</f>
        <v>0.15143000000000001</v>
      </c>
      <c r="D638" s="1">
        <v>2074</v>
      </c>
      <c r="E638" s="5">
        <f>Tabela10[[#This Row],[Força (N)]]/$I$5</f>
        <v>66108853.295083277</v>
      </c>
      <c r="F638" s="5">
        <f>Tabela10[[#This Row],[Tensão (Pa)]]/1000000</f>
        <v>66.108853295083279</v>
      </c>
    </row>
    <row r="639" spans="1:6" x14ac:dyDescent="0.3">
      <c r="A639" s="1">
        <v>91.45</v>
      </c>
      <c r="B639" s="1">
        <v>7.6132</v>
      </c>
      <c r="C639" s="5">
        <f>Tabela10[[#This Row],[Alongamento (mm/mm)]]/$I$2</f>
        <v>0.15226400000000001</v>
      </c>
      <c r="D639" s="1">
        <v>2084.4</v>
      </c>
      <c r="E639" s="5">
        <f>Tabela10[[#This Row],[Força (N)]]/$I$5</f>
        <v>66440353.813052841</v>
      </c>
      <c r="F639" s="5">
        <f>Tabela10[[#This Row],[Tensão (Pa)]]/1000000</f>
        <v>66.440353813052837</v>
      </c>
    </row>
    <row r="640" spans="1:6" x14ac:dyDescent="0.3">
      <c r="A640" s="1">
        <v>91.95</v>
      </c>
      <c r="B640" s="1">
        <v>7.6548999999999996</v>
      </c>
      <c r="C640" s="5">
        <f>Tabela10[[#This Row],[Alongamento (mm/mm)]]/$I$2</f>
        <v>0.15309799999999998</v>
      </c>
      <c r="D640" s="1">
        <v>2093.1</v>
      </c>
      <c r="E640" s="5">
        <f>Tabela10[[#This Row],[Força (N)]]/$I$5</f>
        <v>66717666.746354289</v>
      </c>
      <c r="F640" s="5">
        <f>Tabela10[[#This Row],[Tensão (Pa)]]/1000000</f>
        <v>66.717666746354283</v>
      </c>
    </row>
    <row r="641" spans="1:6" x14ac:dyDescent="0.3">
      <c r="A641" s="1">
        <v>92.45</v>
      </c>
      <c r="B641" s="1">
        <v>7.6965000000000003</v>
      </c>
      <c r="C641" s="5">
        <f>Tabela10[[#This Row],[Alongamento (mm/mm)]]/$I$2</f>
        <v>0.15393000000000001</v>
      </c>
      <c r="D641" s="1">
        <v>2099.1999999999998</v>
      </c>
      <c r="E641" s="5">
        <f>Tabela10[[#This Row],[Força (N)]]/$I$5</f>
        <v>66912104.550163358</v>
      </c>
      <c r="F641" s="5">
        <f>Tabela10[[#This Row],[Tensão (Pa)]]/1000000</f>
        <v>66.912104550163363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A1A7-A68D-4141-9C3B-C0B98BDC10BD}">
  <dimension ref="A1:K715"/>
  <sheetViews>
    <sheetView workbookViewId="0">
      <selection sqref="A1:K1048576"/>
    </sheetView>
  </sheetViews>
  <sheetFormatPr defaultRowHeight="14.4" x14ac:dyDescent="0.3"/>
  <cols>
    <col min="1" max="1" width="11.88671875" style="4" bestFit="1" customWidth="1"/>
    <col min="2" max="2" width="25.5546875" style="4" bestFit="1" customWidth="1"/>
    <col min="3" max="3" width="30.6640625" style="4" bestFit="1" customWidth="1"/>
    <col min="4" max="4" width="11.44140625" style="4" bestFit="1" customWidth="1"/>
    <col min="5" max="5" width="13.5546875" style="4" bestFit="1" customWidth="1"/>
    <col min="6" max="6" width="15.5546875" style="4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4" t="s">
        <v>0</v>
      </c>
      <c r="B1" s="4" t="s">
        <v>13</v>
      </c>
      <c r="C1" s="4" t="s">
        <v>14</v>
      </c>
      <c r="D1" s="4" t="s">
        <v>18</v>
      </c>
      <c r="E1" s="4" t="s">
        <v>16</v>
      </c>
      <c r="F1" s="4" t="s">
        <v>17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0.15</v>
      </c>
      <c r="B2" s="1">
        <v>5.5834999999999999E-3</v>
      </c>
      <c r="C2" s="4">
        <f>Tabela12[[#This Row],[Alongamento (mm/mm)]]/$I$2</f>
        <v>1.1166999999999999E-4</v>
      </c>
      <c r="D2" s="1">
        <v>0.1701</v>
      </c>
      <c r="E2" s="4">
        <f>Tabela12[[#This Row],[Força (N)]]/$I$5</f>
        <v>3869.9197349980896</v>
      </c>
      <c r="F2" s="4">
        <f>Tabela12[[#This Row],[Tensão (Pa)]]/1000000</f>
        <v>3.8699197349980896E-3</v>
      </c>
      <c r="H2" t="s">
        <v>10</v>
      </c>
      <c r="I2">
        <v>50</v>
      </c>
      <c r="J2">
        <v>13.16</v>
      </c>
      <c r="K2">
        <v>3.34</v>
      </c>
    </row>
    <row r="3" spans="1:11" x14ac:dyDescent="0.3">
      <c r="A3" s="1">
        <v>4.0332999999999997</v>
      </c>
      <c r="B3" s="1">
        <v>0.32802999999999999</v>
      </c>
      <c r="C3" s="4">
        <f>Tabela12[[#This Row],[Alongamento (mm/mm)]]/$I$2</f>
        <v>6.5605999999999998E-3</v>
      </c>
      <c r="D3" s="1">
        <v>5.6132999999999997</v>
      </c>
      <c r="E3" s="4">
        <f>Tabela12[[#This Row],[Força (N)]]/$I$5</f>
        <v>127707.35125493695</v>
      </c>
      <c r="F3" s="4">
        <f>Tabela12[[#This Row],[Tensão (Pa)]]/1000000</f>
        <v>0.12770735125493696</v>
      </c>
      <c r="H3" t="s">
        <v>11</v>
      </c>
      <c r="I3">
        <f>I2/1000</f>
        <v>0.05</v>
      </c>
      <c r="J3">
        <f>J2/1000</f>
        <v>1.316E-2</v>
      </c>
      <c r="K3">
        <f>K2/1000</f>
        <v>3.3399999999999997E-3</v>
      </c>
    </row>
    <row r="4" spans="1:11" x14ac:dyDescent="0.3">
      <c r="A4" s="1">
        <v>4.0667</v>
      </c>
      <c r="B4" s="1">
        <v>0.33082</v>
      </c>
      <c r="C4" s="4">
        <f>Tabela12[[#This Row],[Alongamento (mm/mm)]]/$I$2</f>
        <v>6.6163999999999997E-3</v>
      </c>
      <c r="D4" s="1">
        <v>5.6132999999999997</v>
      </c>
      <c r="E4" s="4">
        <f>Tabela12[[#This Row],[Força (N)]]/$I$5</f>
        <v>127707.35125493695</v>
      </c>
      <c r="F4" s="4">
        <f>Tabela12[[#This Row],[Tensão (Pa)]]/1000000</f>
        <v>0.12770735125493696</v>
      </c>
    </row>
    <row r="5" spans="1:11" x14ac:dyDescent="0.3">
      <c r="A5" s="1">
        <v>4.0999999999999996</v>
      </c>
      <c r="B5" s="1">
        <v>0.33361000000000002</v>
      </c>
      <c r="C5" s="4">
        <f>Tabela12[[#This Row],[Alongamento (mm/mm)]]/$I$2</f>
        <v>6.6722000000000005E-3</v>
      </c>
      <c r="D5" s="1">
        <v>5.6132999999999997</v>
      </c>
      <c r="E5" s="4">
        <f>Tabela12[[#This Row],[Força (N)]]/$I$5</f>
        <v>127707.35125493695</v>
      </c>
      <c r="F5" s="4">
        <f>Tabela12[[#This Row],[Tensão (Pa)]]/1000000</f>
        <v>0.12770735125493696</v>
      </c>
      <c r="H5" t="s">
        <v>12</v>
      </c>
      <c r="I5">
        <f>J3*K3</f>
        <v>4.3954399999999994E-5</v>
      </c>
    </row>
    <row r="6" spans="1:11" x14ac:dyDescent="0.3">
      <c r="A6" s="1">
        <v>4.1333000000000002</v>
      </c>
      <c r="B6" s="1">
        <v>0.33639999999999998</v>
      </c>
      <c r="C6" s="4">
        <f>Tabela12[[#This Row],[Alongamento (mm/mm)]]/$I$2</f>
        <v>6.7279999999999996E-3</v>
      </c>
      <c r="D6" s="1">
        <v>5.6132999999999997</v>
      </c>
      <c r="E6" s="4">
        <f>Tabela12[[#This Row],[Força (N)]]/$I$5</f>
        <v>127707.35125493695</v>
      </c>
      <c r="F6" s="4">
        <f>Tabela12[[#This Row],[Tensão (Pa)]]/1000000</f>
        <v>0.12770735125493696</v>
      </c>
    </row>
    <row r="7" spans="1:11" x14ac:dyDescent="0.3">
      <c r="A7" s="1">
        <v>4.1666999999999996</v>
      </c>
      <c r="B7" s="1">
        <v>0.3392</v>
      </c>
      <c r="C7" s="4">
        <f>Tabela12[[#This Row],[Alongamento (mm/mm)]]/$I$2</f>
        <v>6.7840000000000001E-3</v>
      </c>
      <c r="D7" s="1">
        <v>5.6132999999999997</v>
      </c>
      <c r="E7" s="4">
        <f>Tabela12[[#This Row],[Força (N)]]/$I$5</f>
        <v>127707.35125493695</v>
      </c>
      <c r="F7" s="4">
        <f>Tabela12[[#This Row],[Tensão (Pa)]]/1000000</f>
        <v>0.12770735125493696</v>
      </c>
    </row>
    <row r="8" spans="1:11" x14ac:dyDescent="0.3">
      <c r="A8" s="1">
        <v>4.2</v>
      </c>
      <c r="B8" s="1">
        <v>0.34189999999999998</v>
      </c>
      <c r="C8" s="4">
        <f>Tabela12[[#This Row],[Alongamento (mm/mm)]]/$I$2</f>
        <v>6.8379999999999995E-3</v>
      </c>
      <c r="D8" s="1">
        <v>5.6132999999999997</v>
      </c>
      <c r="E8" s="4">
        <f>Tabela12[[#This Row],[Força (N)]]/$I$5</f>
        <v>127707.35125493695</v>
      </c>
      <c r="F8" s="4">
        <f>Tabela12[[#This Row],[Tensão (Pa)]]/1000000</f>
        <v>0.12770735125493696</v>
      </c>
    </row>
    <row r="9" spans="1:11" x14ac:dyDescent="0.3">
      <c r="A9" s="1">
        <v>4.2332999999999998</v>
      </c>
      <c r="B9" s="1">
        <v>0.34477999999999998</v>
      </c>
      <c r="C9" s="4">
        <f>Tabela12[[#This Row],[Alongamento (mm/mm)]]/$I$2</f>
        <v>6.8955999999999991E-3</v>
      </c>
      <c r="D9" s="1">
        <v>5.6132999999999997</v>
      </c>
      <c r="E9" s="4">
        <f>Tabela12[[#This Row],[Força (N)]]/$I$5</f>
        <v>127707.35125493695</v>
      </c>
      <c r="F9" s="4">
        <f>Tabela12[[#This Row],[Tensão (Pa)]]/1000000</f>
        <v>0.12770735125493696</v>
      </c>
    </row>
    <row r="10" spans="1:11" x14ac:dyDescent="0.3">
      <c r="A10" s="1">
        <v>4.2667000000000002</v>
      </c>
      <c r="B10" s="1">
        <v>0.34748000000000001</v>
      </c>
      <c r="C10" s="4">
        <f>Tabela12[[#This Row],[Alongamento (mm/mm)]]/$I$2</f>
        <v>6.9496000000000002E-3</v>
      </c>
      <c r="D10" s="1">
        <v>5.6132999999999997</v>
      </c>
      <c r="E10" s="4">
        <f>Tabela12[[#This Row],[Força (N)]]/$I$5</f>
        <v>127707.35125493695</v>
      </c>
      <c r="F10" s="4">
        <f>Tabela12[[#This Row],[Tensão (Pa)]]/1000000</f>
        <v>0.12770735125493696</v>
      </c>
    </row>
    <row r="11" spans="1:11" x14ac:dyDescent="0.3">
      <c r="A11" s="1">
        <v>4.3</v>
      </c>
      <c r="B11" s="1">
        <v>0.35036</v>
      </c>
      <c r="C11" s="4">
        <f>Tabela12[[#This Row],[Alongamento (mm/mm)]]/$I$2</f>
        <v>7.0071999999999999E-3</v>
      </c>
      <c r="D11" s="1">
        <v>5.6132999999999997</v>
      </c>
      <c r="E11" s="4">
        <f>Tabela12[[#This Row],[Força (N)]]/$I$5</f>
        <v>127707.35125493695</v>
      </c>
      <c r="F11" s="4">
        <f>Tabela12[[#This Row],[Tensão (Pa)]]/1000000</f>
        <v>0.12770735125493696</v>
      </c>
    </row>
    <row r="12" spans="1:11" x14ac:dyDescent="0.3">
      <c r="A12" s="1">
        <v>4.3333000000000004</v>
      </c>
      <c r="B12" s="1">
        <v>0.35305999999999998</v>
      </c>
      <c r="C12" s="4">
        <f>Tabela12[[#This Row],[Alongamento (mm/mm)]]/$I$2</f>
        <v>7.0612000000000001E-3</v>
      </c>
      <c r="D12" s="1">
        <v>5.6132999999999997</v>
      </c>
      <c r="E12" s="4">
        <f>Tabela12[[#This Row],[Força (N)]]/$I$5</f>
        <v>127707.35125493695</v>
      </c>
      <c r="F12" s="4">
        <f>Tabela12[[#This Row],[Tensão (Pa)]]/1000000</f>
        <v>0.12770735125493696</v>
      </c>
    </row>
    <row r="13" spans="1:11" x14ac:dyDescent="0.3">
      <c r="A13" s="1">
        <v>4.3666999999999998</v>
      </c>
      <c r="B13" s="1">
        <v>0.35594999999999999</v>
      </c>
      <c r="C13" s="4">
        <f>Tabela12[[#This Row],[Alongamento (mm/mm)]]/$I$2</f>
        <v>7.1189999999999995E-3</v>
      </c>
      <c r="D13" s="1">
        <v>5.6132999999999997</v>
      </c>
      <c r="E13" s="4">
        <f>Tabela12[[#This Row],[Força (N)]]/$I$5</f>
        <v>127707.35125493695</v>
      </c>
      <c r="F13" s="4">
        <f>Tabela12[[#This Row],[Tensão (Pa)]]/1000000</f>
        <v>0.12770735125493696</v>
      </c>
    </row>
    <row r="14" spans="1:11" x14ac:dyDescent="0.3">
      <c r="A14" s="1">
        <v>4.4000000000000004</v>
      </c>
      <c r="B14" s="1">
        <v>0.35865000000000002</v>
      </c>
      <c r="C14" s="4">
        <f>Tabela12[[#This Row],[Alongamento (mm/mm)]]/$I$2</f>
        <v>7.1730000000000006E-3</v>
      </c>
      <c r="D14" s="1">
        <v>5.6132999999999997</v>
      </c>
      <c r="E14" s="4">
        <f>Tabela12[[#This Row],[Força (N)]]/$I$5</f>
        <v>127707.35125493695</v>
      </c>
      <c r="F14" s="4">
        <f>Tabela12[[#This Row],[Tensão (Pa)]]/1000000</f>
        <v>0.12770735125493696</v>
      </c>
    </row>
    <row r="15" spans="1:11" x14ac:dyDescent="0.3">
      <c r="A15" s="1">
        <v>4.4333</v>
      </c>
      <c r="B15" s="1">
        <v>0.36143999999999998</v>
      </c>
      <c r="C15" s="4">
        <f>Tabela12[[#This Row],[Alongamento (mm/mm)]]/$I$2</f>
        <v>7.2287999999999996E-3</v>
      </c>
      <c r="D15" s="1">
        <v>5.6132999999999997</v>
      </c>
      <c r="E15" s="4">
        <f>Tabela12[[#This Row],[Força (N)]]/$I$5</f>
        <v>127707.35125493695</v>
      </c>
      <c r="F15" s="4">
        <f>Tabela12[[#This Row],[Tensão (Pa)]]/1000000</f>
        <v>0.12770735125493696</v>
      </c>
    </row>
    <row r="16" spans="1:11" x14ac:dyDescent="0.3">
      <c r="A16" s="1">
        <v>4.4667000000000003</v>
      </c>
      <c r="B16" s="1">
        <v>0.36423</v>
      </c>
      <c r="C16" s="4">
        <f>Tabela12[[#This Row],[Alongamento (mm/mm)]]/$I$2</f>
        <v>7.2845999999999996E-3</v>
      </c>
      <c r="D16" s="1">
        <v>5.6132999999999997</v>
      </c>
      <c r="E16" s="4">
        <f>Tabela12[[#This Row],[Força (N)]]/$I$5</f>
        <v>127707.35125493695</v>
      </c>
      <c r="F16" s="4">
        <f>Tabela12[[#This Row],[Tensão (Pa)]]/1000000</f>
        <v>0.12770735125493696</v>
      </c>
    </row>
    <row r="17" spans="1:6" x14ac:dyDescent="0.3">
      <c r="A17" s="1">
        <v>4.5167000000000002</v>
      </c>
      <c r="B17" s="1">
        <v>0.36831999999999998</v>
      </c>
      <c r="C17" s="4">
        <f>Tabela12[[#This Row],[Alongamento (mm/mm)]]/$I$2</f>
        <v>7.3663999999999995E-3</v>
      </c>
      <c r="D17" s="1">
        <v>5.6132999999999997</v>
      </c>
      <c r="E17" s="4">
        <f>Tabela12[[#This Row],[Força (N)]]/$I$5</f>
        <v>127707.35125493695</v>
      </c>
      <c r="F17" s="4">
        <f>Tabela12[[#This Row],[Tensão (Pa)]]/1000000</f>
        <v>0.12770735125493696</v>
      </c>
    </row>
    <row r="18" spans="1:6" x14ac:dyDescent="0.3">
      <c r="A18" s="1">
        <v>4.55</v>
      </c>
      <c r="B18" s="1">
        <v>0.37112000000000001</v>
      </c>
      <c r="C18" s="4">
        <f>Tabela12[[#This Row],[Alongamento (mm/mm)]]/$I$2</f>
        <v>7.4224E-3</v>
      </c>
      <c r="D18" s="1">
        <v>5.6132999999999997</v>
      </c>
      <c r="E18" s="4">
        <f>Tabela12[[#This Row],[Força (N)]]/$I$5</f>
        <v>127707.35125493695</v>
      </c>
      <c r="F18" s="4">
        <f>Tabela12[[#This Row],[Tensão (Pa)]]/1000000</f>
        <v>0.12770735125493696</v>
      </c>
    </row>
    <row r="19" spans="1:6" x14ac:dyDescent="0.3">
      <c r="A19" s="1">
        <v>4.5999999999999996</v>
      </c>
      <c r="B19" s="1">
        <v>0.37530000000000002</v>
      </c>
      <c r="C19" s="4">
        <f>Tabela12[[#This Row],[Alongamento (mm/mm)]]/$I$2</f>
        <v>7.5060000000000005E-3</v>
      </c>
      <c r="D19" s="1">
        <v>5.6132999999999997</v>
      </c>
      <c r="E19" s="4">
        <f>Tabela12[[#This Row],[Força (N)]]/$I$5</f>
        <v>127707.35125493695</v>
      </c>
      <c r="F19" s="4">
        <f>Tabela12[[#This Row],[Tensão (Pa)]]/1000000</f>
        <v>0.12770735125493696</v>
      </c>
    </row>
    <row r="20" spans="1:6" x14ac:dyDescent="0.3">
      <c r="A20" s="1">
        <v>4.6500000000000004</v>
      </c>
      <c r="B20" s="1">
        <v>0.37940000000000002</v>
      </c>
      <c r="C20" s="4">
        <f>Tabela12[[#This Row],[Alongamento (mm/mm)]]/$I$2</f>
        <v>7.5880000000000001E-3</v>
      </c>
      <c r="D20" s="1">
        <v>5.6132999999999997</v>
      </c>
      <c r="E20" s="4">
        <f>Tabela12[[#This Row],[Força (N)]]/$I$5</f>
        <v>127707.35125493695</v>
      </c>
      <c r="F20" s="4">
        <f>Tabela12[[#This Row],[Tensão (Pa)]]/1000000</f>
        <v>0.12770735125493696</v>
      </c>
    </row>
    <row r="21" spans="1:6" x14ac:dyDescent="0.3">
      <c r="A21" s="1">
        <v>4.6833</v>
      </c>
      <c r="B21" s="1">
        <v>0.38228000000000001</v>
      </c>
      <c r="C21" s="4">
        <f>Tabela12[[#This Row],[Alongamento (mm/mm)]]/$I$2</f>
        <v>7.6455999999999998E-3</v>
      </c>
      <c r="D21" s="1">
        <v>5.6132999999999997</v>
      </c>
      <c r="E21" s="4">
        <f>Tabela12[[#This Row],[Força (N)]]/$I$5</f>
        <v>127707.35125493695</v>
      </c>
      <c r="F21" s="4">
        <f>Tabela12[[#This Row],[Tensão (Pa)]]/1000000</f>
        <v>0.12770735125493696</v>
      </c>
    </row>
    <row r="22" spans="1:6" x14ac:dyDescent="0.3">
      <c r="A22" s="1">
        <v>4.7332999999999998</v>
      </c>
      <c r="B22" s="1">
        <v>0.38638</v>
      </c>
      <c r="C22" s="4">
        <f>Tabela12[[#This Row],[Alongamento (mm/mm)]]/$I$2</f>
        <v>7.7276000000000003E-3</v>
      </c>
      <c r="D22" s="1">
        <v>5.6132999999999997</v>
      </c>
      <c r="E22" s="4">
        <f>Tabela12[[#This Row],[Força (N)]]/$I$5</f>
        <v>127707.35125493695</v>
      </c>
      <c r="F22" s="4">
        <f>Tabela12[[#This Row],[Tensão (Pa)]]/1000000</f>
        <v>0.12770735125493696</v>
      </c>
    </row>
    <row r="23" spans="1:6" x14ac:dyDescent="0.3">
      <c r="A23" s="1">
        <v>4.7832999999999997</v>
      </c>
      <c r="B23" s="1">
        <v>0.39056000000000002</v>
      </c>
      <c r="C23" s="4">
        <f>Tabela12[[#This Row],[Alongamento (mm/mm)]]/$I$2</f>
        <v>7.8112000000000008E-3</v>
      </c>
      <c r="D23" s="1">
        <v>5.6132999999999997</v>
      </c>
      <c r="E23" s="4">
        <f>Tabela12[[#This Row],[Força (N)]]/$I$5</f>
        <v>127707.35125493695</v>
      </c>
      <c r="F23" s="4">
        <f>Tabela12[[#This Row],[Tensão (Pa)]]/1000000</f>
        <v>0.12770735125493696</v>
      </c>
    </row>
    <row r="24" spans="1:6" x14ac:dyDescent="0.3">
      <c r="A24" s="1">
        <v>4.8333000000000004</v>
      </c>
      <c r="B24" s="1">
        <v>0.39466000000000001</v>
      </c>
      <c r="C24" s="4">
        <f>Tabela12[[#This Row],[Alongamento (mm/mm)]]/$I$2</f>
        <v>7.8931999999999995E-3</v>
      </c>
      <c r="D24" s="1">
        <v>5.7834000000000003</v>
      </c>
      <c r="E24" s="4">
        <f>Tabela12[[#This Row],[Força (N)]]/$I$5</f>
        <v>131577.27098993506</v>
      </c>
      <c r="F24" s="4">
        <f>Tabela12[[#This Row],[Tensão (Pa)]]/1000000</f>
        <v>0.13157727098993505</v>
      </c>
    </row>
    <row r="25" spans="1:6" x14ac:dyDescent="0.3">
      <c r="A25" s="1">
        <v>4.8833000000000002</v>
      </c>
      <c r="B25" s="1">
        <v>0.39884999999999998</v>
      </c>
      <c r="C25" s="4">
        <f>Tabela12[[#This Row],[Alongamento (mm/mm)]]/$I$2</f>
        <v>7.9769999999999997E-3</v>
      </c>
      <c r="D25" s="1">
        <v>5.7834000000000003</v>
      </c>
      <c r="E25" s="4">
        <f>Tabela12[[#This Row],[Força (N)]]/$I$5</f>
        <v>131577.27098993506</v>
      </c>
      <c r="F25" s="4">
        <f>Tabela12[[#This Row],[Tensão (Pa)]]/1000000</f>
        <v>0.13157727098993505</v>
      </c>
    </row>
    <row r="26" spans="1:6" x14ac:dyDescent="0.3">
      <c r="A26" s="1">
        <v>4.9333</v>
      </c>
      <c r="B26" s="1">
        <v>0.40312999999999999</v>
      </c>
      <c r="C26" s="4">
        <f>Tabela12[[#This Row],[Alongamento (mm/mm)]]/$I$2</f>
        <v>8.0625999999999996E-3</v>
      </c>
      <c r="D26" s="1">
        <v>5.7834000000000003</v>
      </c>
      <c r="E26" s="4">
        <f>Tabela12[[#This Row],[Força (N)]]/$I$5</f>
        <v>131577.27098993506</v>
      </c>
      <c r="F26" s="4">
        <f>Tabela12[[#This Row],[Tensão (Pa)]]/1000000</f>
        <v>0.13157727098993505</v>
      </c>
    </row>
    <row r="27" spans="1:6" x14ac:dyDescent="0.3">
      <c r="A27" s="1">
        <v>4.9832999999999998</v>
      </c>
      <c r="B27" s="1">
        <v>0.40722000000000003</v>
      </c>
      <c r="C27" s="4">
        <f>Tabela12[[#This Row],[Alongamento (mm/mm)]]/$I$2</f>
        <v>8.1444000000000013E-3</v>
      </c>
      <c r="D27" s="1">
        <v>5.7834000000000003</v>
      </c>
      <c r="E27" s="4">
        <f>Tabela12[[#This Row],[Força (N)]]/$I$5</f>
        <v>131577.27098993506</v>
      </c>
      <c r="F27" s="4">
        <f>Tabela12[[#This Row],[Tensão (Pa)]]/1000000</f>
        <v>0.13157727098993505</v>
      </c>
    </row>
    <row r="28" spans="1:6" x14ac:dyDescent="0.3">
      <c r="A28" s="1">
        <v>5.0332999999999997</v>
      </c>
      <c r="B28" s="1">
        <v>0.41141</v>
      </c>
      <c r="C28" s="4">
        <f>Tabela12[[#This Row],[Alongamento (mm/mm)]]/$I$2</f>
        <v>8.2281999999999998E-3</v>
      </c>
      <c r="D28" s="1">
        <v>5.7834000000000003</v>
      </c>
      <c r="E28" s="4">
        <f>Tabela12[[#This Row],[Força (N)]]/$I$5</f>
        <v>131577.27098993506</v>
      </c>
      <c r="F28" s="4">
        <f>Tabela12[[#This Row],[Tensão (Pa)]]/1000000</f>
        <v>0.13157727098993505</v>
      </c>
    </row>
    <row r="29" spans="1:6" x14ac:dyDescent="0.3">
      <c r="A29" s="1">
        <v>5.0833000000000004</v>
      </c>
      <c r="B29" s="1">
        <v>0.41549999999999998</v>
      </c>
      <c r="C29" s="4">
        <f>Tabela12[[#This Row],[Alongamento (mm/mm)]]/$I$2</f>
        <v>8.3099999999999997E-3</v>
      </c>
      <c r="D29" s="1">
        <v>5.7834000000000003</v>
      </c>
      <c r="E29" s="4">
        <f>Tabela12[[#This Row],[Força (N)]]/$I$5</f>
        <v>131577.27098993506</v>
      </c>
      <c r="F29" s="4">
        <f>Tabela12[[#This Row],[Tensão (Pa)]]/1000000</f>
        <v>0.13157727098993505</v>
      </c>
    </row>
    <row r="30" spans="1:6" x14ac:dyDescent="0.3">
      <c r="A30" s="1">
        <v>5.1333000000000002</v>
      </c>
      <c r="B30" s="1">
        <v>0.41969000000000001</v>
      </c>
      <c r="C30" s="4">
        <f>Tabela12[[#This Row],[Alongamento (mm/mm)]]/$I$2</f>
        <v>8.3937999999999999E-3</v>
      </c>
      <c r="D30" s="1">
        <v>5.7834000000000003</v>
      </c>
      <c r="E30" s="4">
        <f>Tabela12[[#This Row],[Força (N)]]/$I$5</f>
        <v>131577.27098993506</v>
      </c>
      <c r="F30" s="4">
        <f>Tabela12[[#This Row],[Tensão (Pa)]]/1000000</f>
        <v>0.13157727098993505</v>
      </c>
    </row>
    <row r="31" spans="1:6" x14ac:dyDescent="0.3">
      <c r="A31" s="1">
        <v>5.1833</v>
      </c>
      <c r="B31" s="1">
        <v>0.42387999999999998</v>
      </c>
      <c r="C31" s="4">
        <f>Tabela12[[#This Row],[Alongamento (mm/mm)]]/$I$2</f>
        <v>8.4776000000000001E-3</v>
      </c>
      <c r="D31" s="1">
        <v>5.7834000000000003</v>
      </c>
      <c r="E31" s="4">
        <f>Tabela12[[#This Row],[Força (N)]]/$I$5</f>
        <v>131577.27098993506</v>
      </c>
      <c r="F31" s="4">
        <f>Tabela12[[#This Row],[Tensão (Pa)]]/1000000</f>
        <v>0.13157727098993505</v>
      </c>
    </row>
    <row r="32" spans="1:6" x14ac:dyDescent="0.3">
      <c r="A32" s="1">
        <v>5.2332999999999998</v>
      </c>
      <c r="B32" s="1">
        <v>0.42807000000000001</v>
      </c>
      <c r="C32" s="4">
        <f>Tabela12[[#This Row],[Alongamento (mm/mm)]]/$I$2</f>
        <v>8.5614000000000003E-3</v>
      </c>
      <c r="D32" s="1">
        <v>5.7834000000000003</v>
      </c>
      <c r="E32" s="4">
        <f>Tabela12[[#This Row],[Força (N)]]/$I$5</f>
        <v>131577.27098993506</v>
      </c>
      <c r="F32" s="4">
        <f>Tabela12[[#This Row],[Tensão (Pa)]]/1000000</f>
        <v>0.13157727098993505</v>
      </c>
    </row>
    <row r="33" spans="1:6" x14ac:dyDescent="0.3">
      <c r="A33" s="1">
        <v>5.2832999999999997</v>
      </c>
      <c r="B33" s="1">
        <v>0.43225000000000002</v>
      </c>
      <c r="C33" s="4">
        <f>Tabela12[[#This Row],[Alongamento (mm/mm)]]/$I$2</f>
        <v>8.6449999999999999E-3</v>
      </c>
      <c r="D33" s="1">
        <v>5.7834000000000003</v>
      </c>
      <c r="E33" s="4">
        <f>Tabela12[[#This Row],[Força (N)]]/$I$5</f>
        <v>131577.27098993506</v>
      </c>
      <c r="F33" s="4">
        <f>Tabela12[[#This Row],[Tensão (Pa)]]/1000000</f>
        <v>0.13157727098993505</v>
      </c>
    </row>
    <row r="34" spans="1:6" x14ac:dyDescent="0.3">
      <c r="A34" s="1">
        <v>5.3333000000000004</v>
      </c>
      <c r="B34" s="1">
        <v>0.43643999999999999</v>
      </c>
      <c r="C34" s="4">
        <f>Tabela12[[#This Row],[Alongamento (mm/mm)]]/$I$2</f>
        <v>8.7288000000000001E-3</v>
      </c>
      <c r="D34" s="1">
        <v>5.7834000000000003</v>
      </c>
      <c r="E34" s="4">
        <f>Tabela12[[#This Row],[Força (N)]]/$I$5</f>
        <v>131577.27098993506</v>
      </c>
      <c r="F34" s="4">
        <f>Tabela12[[#This Row],[Tensão (Pa)]]/1000000</f>
        <v>0.13157727098993505</v>
      </c>
    </row>
    <row r="35" spans="1:6" x14ac:dyDescent="0.3">
      <c r="A35" s="1">
        <v>5.3833000000000002</v>
      </c>
      <c r="B35" s="1">
        <v>0.44044</v>
      </c>
      <c r="C35" s="4">
        <f>Tabela12[[#This Row],[Alongamento (mm/mm)]]/$I$2</f>
        <v>8.8088000000000003E-3</v>
      </c>
      <c r="D35" s="1">
        <v>5.7834000000000003</v>
      </c>
      <c r="E35" s="4">
        <f>Tabela12[[#This Row],[Força (N)]]/$I$5</f>
        <v>131577.27098993506</v>
      </c>
      <c r="F35" s="4">
        <f>Tabela12[[#This Row],[Tensão (Pa)]]/1000000</f>
        <v>0.13157727098993505</v>
      </c>
    </row>
    <row r="36" spans="1:6" x14ac:dyDescent="0.3">
      <c r="A36" s="1">
        <v>5.4333</v>
      </c>
      <c r="B36" s="1">
        <v>0.44472</v>
      </c>
      <c r="C36" s="4">
        <f>Tabela12[[#This Row],[Alongamento (mm/mm)]]/$I$2</f>
        <v>8.8944000000000002E-3</v>
      </c>
      <c r="D36" s="1">
        <v>5.7834000000000003</v>
      </c>
      <c r="E36" s="4">
        <f>Tabela12[[#This Row],[Força (N)]]/$I$5</f>
        <v>131577.27098993506</v>
      </c>
      <c r="F36" s="4">
        <f>Tabela12[[#This Row],[Tensão (Pa)]]/1000000</f>
        <v>0.13157727098993505</v>
      </c>
    </row>
    <row r="37" spans="1:6" x14ac:dyDescent="0.3">
      <c r="A37" s="1">
        <v>5.4832999999999998</v>
      </c>
      <c r="B37" s="1">
        <v>0.44890999999999998</v>
      </c>
      <c r="C37" s="4">
        <f>Tabela12[[#This Row],[Alongamento (mm/mm)]]/$I$2</f>
        <v>8.9781999999999987E-3</v>
      </c>
      <c r="D37" s="1">
        <v>5.9535</v>
      </c>
      <c r="E37" s="4">
        <f>Tabela12[[#This Row],[Força (N)]]/$I$5</f>
        <v>135447.19072493314</v>
      </c>
      <c r="F37" s="4">
        <f>Tabela12[[#This Row],[Tensão (Pa)]]/1000000</f>
        <v>0.13544719072493314</v>
      </c>
    </row>
    <row r="38" spans="1:6" x14ac:dyDescent="0.3">
      <c r="A38" s="1">
        <v>5.5332999999999997</v>
      </c>
      <c r="B38" s="1">
        <v>0.4531</v>
      </c>
      <c r="C38" s="4">
        <f>Tabela12[[#This Row],[Alongamento (mm/mm)]]/$I$2</f>
        <v>9.0620000000000006E-3</v>
      </c>
      <c r="D38" s="1">
        <v>5.9535</v>
      </c>
      <c r="E38" s="4">
        <f>Tabela12[[#This Row],[Força (N)]]/$I$5</f>
        <v>135447.19072493314</v>
      </c>
      <c r="F38" s="4">
        <f>Tabela12[[#This Row],[Tensão (Pa)]]/1000000</f>
        <v>0.13544719072493314</v>
      </c>
    </row>
    <row r="39" spans="1:6" x14ac:dyDescent="0.3">
      <c r="A39" s="1">
        <v>5.5833000000000004</v>
      </c>
      <c r="B39" s="1">
        <v>0.45718999999999999</v>
      </c>
      <c r="C39" s="4">
        <f>Tabela12[[#This Row],[Alongamento (mm/mm)]]/$I$2</f>
        <v>9.1438000000000005E-3</v>
      </c>
      <c r="D39" s="1">
        <v>5.9535</v>
      </c>
      <c r="E39" s="4">
        <f>Tabela12[[#This Row],[Força (N)]]/$I$5</f>
        <v>135447.19072493314</v>
      </c>
      <c r="F39" s="4">
        <f>Tabela12[[#This Row],[Tensão (Pa)]]/1000000</f>
        <v>0.13544719072493314</v>
      </c>
    </row>
    <row r="40" spans="1:6" x14ac:dyDescent="0.3">
      <c r="A40" s="1">
        <v>5.6333000000000002</v>
      </c>
      <c r="B40" s="1">
        <v>0.46138000000000001</v>
      </c>
      <c r="C40" s="4">
        <f>Tabela12[[#This Row],[Alongamento (mm/mm)]]/$I$2</f>
        <v>9.2276000000000007E-3</v>
      </c>
      <c r="D40" s="1">
        <v>5.9535</v>
      </c>
      <c r="E40" s="4">
        <f>Tabela12[[#This Row],[Força (N)]]/$I$5</f>
        <v>135447.19072493314</v>
      </c>
      <c r="F40" s="4">
        <f>Tabela12[[#This Row],[Tensão (Pa)]]/1000000</f>
        <v>0.13544719072493314</v>
      </c>
    </row>
    <row r="41" spans="1:6" x14ac:dyDescent="0.3">
      <c r="A41" s="1">
        <v>5.6833</v>
      </c>
      <c r="B41" s="1">
        <v>0.46556999999999998</v>
      </c>
      <c r="C41" s="4">
        <f>Tabela12[[#This Row],[Alongamento (mm/mm)]]/$I$2</f>
        <v>9.3113999999999992E-3</v>
      </c>
      <c r="D41" s="1">
        <v>5.9535</v>
      </c>
      <c r="E41" s="4">
        <f>Tabela12[[#This Row],[Força (N)]]/$I$5</f>
        <v>135447.19072493314</v>
      </c>
      <c r="F41" s="4">
        <f>Tabela12[[#This Row],[Tensão (Pa)]]/1000000</f>
        <v>0.13544719072493314</v>
      </c>
    </row>
    <row r="42" spans="1:6" x14ac:dyDescent="0.3">
      <c r="A42" s="1">
        <v>5.7332999999999998</v>
      </c>
      <c r="B42" s="1">
        <v>0.46976000000000001</v>
      </c>
      <c r="C42" s="4">
        <f>Tabela12[[#This Row],[Alongamento (mm/mm)]]/$I$2</f>
        <v>9.3951999999999994E-3</v>
      </c>
      <c r="D42" s="1">
        <v>5.9535</v>
      </c>
      <c r="E42" s="4">
        <f>Tabela12[[#This Row],[Força (N)]]/$I$5</f>
        <v>135447.19072493314</v>
      </c>
      <c r="F42" s="4">
        <f>Tabela12[[#This Row],[Tensão (Pa)]]/1000000</f>
        <v>0.13544719072493314</v>
      </c>
    </row>
    <row r="43" spans="1:6" x14ac:dyDescent="0.3">
      <c r="A43" s="1">
        <v>5.7832999999999997</v>
      </c>
      <c r="B43" s="1">
        <v>0.47393999999999997</v>
      </c>
      <c r="C43" s="4">
        <f>Tabela12[[#This Row],[Alongamento (mm/mm)]]/$I$2</f>
        <v>9.478799999999999E-3</v>
      </c>
      <c r="D43" s="1">
        <v>5.9535</v>
      </c>
      <c r="E43" s="4">
        <f>Tabela12[[#This Row],[Força (N)]]/$I$5</f>
        <v>135447.19072493314</v>
      </c>
      <c r="F43" s="4">
        <f>Tabela12[[#This Row],[Tensão (Pa)]]/1000000</f>
        <v>0.13544719072493314</v>
      </c>
    </row>
    <row r="44" spans="1:6" x14ac:dyDescent="0.3">
      <c r="A44" s="1">
        <v>5.8333000000000004</v>
      </c>
      <c r="B44" s="1">
        <v>0.47804000000000002</v>
      </c>
      <c r="C44" s="4">
        <f>Tabela12[[#This Row],[Alongamento (mm/mm)]]/$I$2</f>
        <v>9.5608000000000012E-3</v>
      </c>
      <c r="D44" s="1">
        <v>5.9535</v>
      </c>
      <c r="E44" s="4">
        <f>Tabela12[[#This Row],[Força (N)]]/$I$5</f>
        <v>135447.19072493314</v>
      </c>
      <c r="F44" s="4">
        <f>Tabela12[[#This Row],[Tensão (Pa)]]/1000000</f>
        <v>0.13544719072493314</v>
      </c>
    </row>
    <row r="45" spans="1:6" x14ac:dyDescent="0.3">
      <c r="A45" s="1">
        <v>5.8833000000000002</v>
      </c>
      <c r="B45" s="1">
        <v>0.48222999999999999</v>
      </c>
      <c r="C45" s="4">
        <f>Tabela12[[#This Row],[Alongamento (mm/mm)]]/$I$2</f>
        <v>9.6445999999999997E-3</v>
      </c>
      <c r="D45" s="1">
        <v>5.9535</v>
      </c>
      <c r="E45" s="4">
        <f>Tabela12[[#This Row],[Força (N)]]/$I$5</f>
        <v>135447.19072493314</v>
      </c>
      <c r="F45" s="4">
        <f>Tabela12[[#This Row],[Tensão (Pa)]]/1000000</f>
        <v>0.13544719072493314</v>
      </c>
    </row>
    <row r="46" spans="1:6" x14ac:dyDescent="0.3">
      <c r="A46" s="1">
        <v>5.9333</v>
      </c>
      <c r="B46" s="1">
        <v>0.48631999999999997</v>
      </c>
      <c r="C46" s="4">
        <f>Tabela12[[#This Row],[Alongamento (mm/mm)]]/$I$2</f>
        <v>9.7263999999999996E-3</v>
      </c>
      <c r="D46" s="1">
        <v>5.7834000000000003</v>
      </c>
      <c r="E46" s="4">
        <f>Tabela12[[#This Row],[Força (N)]]/$I$5</f>
        <v>131577.27098993506</v>
      </c>
      <c r="F46" s="4">
        <f>Tabela12[[#This Row],[Tensão (Pa)]]/1000000</f>
        <v>0.13157727098993505</v>
      </c>
    </row>
    <row r="47" spans="1:6" x14ac:dyDescent="0.3">
      <c r="A47" s="1">
        <v>5.9832999999999998</v>
      </c>
      <c r="B47" s="1">
        <v>0.49059999999999998</v>
      </c>
      <c r="C47" s="4">
        <f>Tabela12[[#This Row],[Alongamento (mm/mm)]]/$I$2</f>
        <v>9.8119999999999995E-3</v>
      </c>
      <c r="D47" s="1">
        <v>5.7834000000000003</v>
      </c>
      <c r="E47" s="4">
        <f>Tabela12[[#This Row],[Força (N)]]/$I$5</f>
        <v>131577.27098993506</v>
      </c>
      <c r="F47" s="4">
        <f>Tabela12[[#This Row],[Tensão (Pa)]]/1000000</f>
        <v>0.13157727098993505</v>
      </c>
    </row>
    <row r="48" spans="1:6" x14ac:dyDescent="0.3">
      <c r="A48" s="1">
        <v>6.0332999999999997</v>
      </c>
      <c r="B48" s="1">
        <v>0.49469999999999997</v>
      </c>
      <c r="C48" s="4">
        <f>Tabela12[[#This Row],[Alongamento (mm/mm)]]/$I$2</f>
        <v>9.894E-3</v>
      </c>
      <c r="D48" s="1">
        <v>5.7834000000000003</v>
      </c>
      <c r="E48" s="4">
        <f>Tabela12[[#This Row],[Força (N)]]/$I$5</f>
        <v>131577.27098993506</v>
      </c>
      <c r="F48" s="4">
        <f>Tabela12[[#This Row],[Tensão (Pa)]]/1000000</f>
        <v>0.13157727098993505</v>
      </c>
    </row>
    <row r="49" spans="1:6" x14ac:dyDescent="0.3">
      <c r="A49" s="1">
        <v>6.0833000000000004</v>
      </c>
      <c r="B49" s="1">
        <v>0.49887999999999999</v>
      </c>
      <c r="C49" s="4">
        <f>Tabela12[[#This Row],[Alongamento (mm/mm)]]/$I$2</f>
        <v>9.9775999999999997E-3</v>
      </c>
      <c r="D49" s="1">
        <v>5.7834000000000003</v>
      </c>
      <c r="E49" s="4">
        <f>Tabela12[[#This Row],[Força (N)]]/$I$5</f>
        <v>131577.27098993506</v>
      </c>
      <c r="F49" s="4">
        <f>Tabela12[[#This Row],[Tensão (Pa)]]/1000000</f>
        <v>0.13157727098993505</v>
      </c>
    </row>
    <row r="50" spans="1:6" x14ac:dyDescent="0.3">
      <c r="A50" s="1">
        <v>6.1333000000000002</v>
      </c>
      <c r="B50" s="1">
        <v>0.50297999999999998</v>
      </c>
      <c r="C50" s="4">
        <f>Tabela12[[#This Row],[Alongamento (mm/mm)]]/$I$2</f>
        <v>1.00596E-2</v>
      </c>
      <c r="D50" s="1">
        <v>5.7834000000000003</v>
      </c>
      <c r="E50" s="4">
        <f>Tabela12[[#This Row],[Força (N)]]/$I$5</f>
        <v>131577.27098993506</v>
      </c>
      <c r="F50" s="4">
        <f>Tabela12[[#This Row],[Tensão (Pa)]]/1000000</f>
        <v>0.13157727098993505</v>
      </c>
    </row>
    <row r="51" spans="1:6" x14ac:dyDescent="0.3">
      <c r="A51" s="1">
        <v>6.1833</v>
      </c>
      <c r="B51" s="1">
        <v>0.50717000000000001</v>
      </c>
      <c r="C51" s="4">
        <f>Tabela12[[#This Row],[Alongamento (mm/mm)]]/$I$2</f>
        <v>1.01434E-2</v>
      </c>
      <c r="D51" s="1">
        <v>5.7834000000000003</v>
      </c>
      <c r="E51" s="4">
        <f>Tabela12[[#This Row],[Força (N)]]/$I$5</f>
        <v>131577.27098993506</v>
      </c>
      <c r="F51" s="4">
        <f>Tabela12[[#This Row],[Tensão (Pa)]]/1000000</f>
        <v>0.13157727098993505</v>
      </c>
    </row>
    <row r="52" spans="1:6" x14ac:dyDescent="0.3">
      <c r="A52" s="1">
        <v>6.2332999999999998</v>
      </c>
      <c r="B52" s="1">
        <v>0.51134999999999997</v>
      </c>
      <c r="C52" s="4">
        <f>Tabela12[[#This Row],[Alongamento (mm/mm)]]/$I$2</f>
        <v>1.0227E-2</v>
      </c>
      <c r="D52" s="1">
        <v>5.7834000000000003</v>
      </c>
      <c r="E52" s="4">
        <f>Tabela12[[#This Row],[Força (N)]]/$I$5</f>
        <v>131577.27098993506</v>
      </c>
      <c r="F52" s="4">
        <f>Tabela12[[#This Row],[Tensão (Pa)]]/1000000</f>
        <v>0.13157727098993505</v>
      </c>
    </row>
    <row r="53" spans="1:6" x14ac:dyDescent="0.3">
      <c r="A53" s="1">
        <v>6.2832999999999997</v>
      </c>
      <c r="B53" s="1">
        <v>0.51554</v>
      </c>
      <c r="C53" s="4">
        <f>Tabela12[[#This Row],[Alongamento (mm/mm)]]/$I$2</f>
        <v>1.03108E-2</v>
      </c>
      <c r="D53" s="1">
        <v>5.7834000000000003</v>
      </c>
      <c r="E53" s="4">
        <f>Tabela12[[#This Row],[Força (N)]]/$I$5</f>
        <v>131577.27098993506</v>
      </c>
      <c r="F53" s="4">
        <f>Tabela12[[#This Row],[Tensão (Pa)]]/1000000</f>
        <v>0.13157727098993505</v>
      </c>
    </row>
    <row r="54" spans="1:6" x14ac:dyDescent="0.3">
      <c r="A54" s="1">
        <v>6.3333000000000004</v>
      </c>
      <c r="B54" s="1">
        <v>0.51973000000000003</v>
      </c>
      <c r="C54" s="4">
        <f>Tabela12[[#This Row],[Alongamento (mm/mm)]]/$I$2</f>
        <v>1.03946E-2</v>
      </c>
      <c r="D54" s="1">
        <v>5.7834000000000003</v>
      </c>
      <c r="E54" s="4">
        <f>Tabela12[[#This Row],[Força (N)]]/$I$5</f>
        <v>131577.27098993506</v>
      </c>
      <c r="F54" s="4">
        <f>Tabela12[[#This Row],[Tensão (Pa)]]/1000000</f>
        <v>0.13157727098993505</v>
      </c>
    </row>
    <row r="55" spans="1:6" x14ac:dyDescent="0.3">
      <c r="A55" s="1">
        <v>6.3833000000000002</v>
      </c>
      <c r="B55" s="1">
        <v>0.52381999999999995</v>
      </c>
      <c r="C55" s="4">
        <f>Tabela12[[#This Row],[Alongamento (mm/mm)]]/$I$2</f>
        <v>1.0476399999999999E-2</v>
      </c>
      <c r="D55" s="1">
        <v>5.7834000000000003</v>
      </c>
      <c r="E55" s="4">
        <f>Tabela12[[#This Row],[Força (N)]]/$I$5</f>
        <v>131577.27098993506</v>
      </c>
      <c r="F55" s="4">
        <f>Tabela12[[#This Row],[Tensão (Pa)]]/1000000</f>
        <v>0.13157727098993505</v>
      </c>
    </row>
    <row r="56" spans="1:6" x14ac:dyDescent="0.3">
      <c r="A56" s="1">
        <v>6.4333</v>
      </c>
      <c r="B56" s="1">
        <v>0.52800999999999998</v>
      </c>
      <c r="C56" s="4">
        <f>Tabela12[[#This Row],[Alongamento (mm/mm)]]/$I$2</f>
        <v>1.0560199999999999E-2</v>
      </c>
      <c r="D56" s="1">
        <v>5.7834000000000003</v>
      </c>
      <c r="E56" s="4">
        <f>Tabela12[[#This Row],[Força (N)]]/$I$5</f>
        <v>131577.27098993506</v>
      </c>
      <c r="F56" s="4">
        <f>Tabela12[[#This Row],[Tensão (Pa)]]/1000000</f>
        <v>0.13157727098993505</v>
      </c>
    </row>
    <row r="57" spans="1:6" x14ac:dyDescent="0.3">
      <c r="A57" s="1">
        <v>6.4832999999999998</v>
      </c>
      <c r="B57" s="1">
        <v>0.53220000000000001</v>
      </c>
      <c r="C57" s="4">
        <f>Tabela12[[#This Row],[Alongamento (mm/mm)]]/$I$2</f>
        <v>1.0644000000000001E-2</v>
      </c>
      <c r="D57" s="1">
        <v>5.7834000000000003</v>
      </c>
      <c r="E57" s="4">
        <f>Tabela12[[#This Row],[Força (N)]]/$I$5</f>
        <v>131577.27098993506</v>
      </c>
      <c r="F57" s="4">
        <f>Tabela12[[#This Row],[Tensão (Pa)]]/1000000</f>
        <v>0.13157727098993505</v>
      </c>
    </row>
    <row r="58" spans="1:6" x14ac:dyDescent="0.3">
      <c r="A58" s="1">
        <v>6.5332999999999997</v>
      </c>
      <c r="B58" s="1">
        <v>0.53639000000000003</v>
      </c>
      <c r="C58" s="4">
        <f>Tabela12[[#This Row],[Alongamento (mm/mm)]]/$I$2</f>
        <v>1.0727800000000001E-2</v>
      </c>
      <c r="D58" s="1">
        <v>5.9535</v>
      </c>
      <c r="E58" s="4">
        <f>Tabela12[[#This Row],[Força (N)]]/$I$5</f>
        <v>135447.19072493314</v>
      </c>
      <c r="F58" s="4">
        <f>Tabela12[[#This Row],[Tensão (Pa)]]/1000000</f>
        <v>0.13544719072493314</v>
      </c>
    </row>
    <row r="59" spans="1:6" x14ac:dyDescent="0.3">
      <c r="A59" s="1">
        <v>6.5833000000000004</v>
      </c>
      <c r="B59" s="1">
        <v>0.54056999999999999</v>
      </c>
      <c r="C59" s="4">
        <f>Tabela12[[#This Row],[Alongamento (mm/mm)]]/$I$2</f>
        <v>1.0811400000000001E-2</v>
      </c>
      <c r="D59" s="1">
        <v>5.7834000000000003</v>
      </c>
      <c r="E59" s="4">
        <f>Tabela12[[#This Row],[Força (N)]]/$I$5</f>
        <v>131577.27098993506</v>
      </c>
      <c r="F59" s="4">
        <f>Tabela12[[#This Row],[Tensão (Pa)]]/1000000</f>
        <v>0.13157727098993505</v>
      </c>
    </row>
    <row r="60" spans="1:6" x14ac:dyDescent="0.3">
      <c r="A60" s="1">
        <v>6.6333000000000002</v>
      </c>
      <c r="B60" s="1">
        <v>0.54476000000000002</v>
      </c>
      <c r="C60" s="4">
        <f>Tabela12[[#This Row],[Alongamento (mm/mm)]]/$I$2</f>
        <v>1.0895200000000001E-2</v>
      </c>
      <c r="D60" s="1">
        <v>5.7834000000000003</v>
      </c>
      <c r="E60" s="4">
        <f>Tabela12[[#This Row],[Força (N)]]/$I$5</f>
        <v>131577.27098993506</v>
      </c>
      <c r="F60" s="4">
        <f>Tabela12[[#This Row],[Tensão (Pa)]]/1000000</f>
        <v>0.13157727098993505</v>
      </c>
    </row>
    <row r="61" spans="1:6" x14ac:dyDescent="0.3">
      <c r="A61" s="1">
        <v>6.7</v>
      </c>
      <c r="B61" s="1">
        <v>0.55035000000000001</v>
      </c>
      <c r="C61" s="4">
        <f>Tabela12[[#This Row],[Alongamento (mm/mm)]]/$I$2</f>
        <v>1.1006999999999999E-2</v>
      </c>
      <c r="D61" s="1">
        <v>5.7834000000000003</v>
      </c>
      <c r="E61" s="4">
        <f>Tabela12[[#This Row],[Força (N)]]/$I$5</f>
        <v>131577.27098993506</v>
      </c>
      <c r="F61" s="4">
        <f>Tabela12[[#This Row],[Tensão (Pa)]]/1000000</f>
        <v>0.13157727098993505</v>
      </c>
    </row>
    <row r="62" spans="1:6" x14ac:dyDescent="0.3">
      <c r="A62" s="1">
        <v>6.7667000000000002</v>
      </c>
      <c r="B62" s="1">
        <v>0.55584</v>
      </c>
      <c r="C62" s="4">
        <f>Tabela12[[#This Row],[Alongamento (mm/mm)]]/$I$2</f>
        <v>1.11168E-2</v>
      </c>
      <c r="D62" s="1">
        <v>5.9535</v>
      </c>
      <c r="E62" s="4">
        <f>Tabela12[[#This Row],[Força (N)]]/$I$5</f>
        <v>135447.19072493314</v>
      </c>
      <c r="F62" s="4">
        <f>Tabela12[[#This Row],[Tensão (Pa)]]/1000000</f>
        <v>0.13544719072493314</v>
      </c>
    </row>
    <row r="63" spans="1:6" x14ac:dyDescent="0.3">
      <c r="A63" s="1">
        <v>6.8333000000000004</v>
      </c>
      <c r="B63" s="1">
        <v>0.56142000000000003</v>
      </c>
      <c r="C63" s="4">
        <f>Tabela12[[#This Row],[Alongamento (mm/mm)]]/$I$2</f>
        <v>1.1228400000000001E-2</v>
      </c>
      <c r="D63" s="1">
        <v>5.7834000000000003</v>
      </c>
      <c r="E63" s="4">
        <f>Tabela12[[#This Row],[Força (N)]]/$I$5</f>
        <v>131577.27098993506</v>
      </c>
      <c r="F63" s="4">
        <f>Tabela12[[#This Row],[Tensão (Pa)]]/1000000</f>
        <v>0.13157727098993505</v>
      </c>
    </row>
    <row r="64" spans="1:6" x14ac:dyDescent="0.3">
      <c r="A64" s="1">
        <v>6.9</v>
      </c>
      <c r="B64" s="1">
        <v>0.56699999999999995</v>
      </c>
      <c r="C64" s="4">
        <f>Tabela12[[#This Row],[Alongamento (mm/mm)]]/$I$2</f>
        <v>1.1339999999999999E-2</v>
      </c>
      <c r="D64" s="1">
        <v>5.9535</v>
      </c>
      <c r="E64" s="4">
        <f>Tabela12[[#This Row],[Força (N)]]/$I$5</f>
        <v>135447.19072493314</v>
      </c>
      <c r="F64" s="4">
        <f>Tabela12[[#This Row],[Tensão (Pa)]]/1000000</f>
        <v>0.13544719072493314</v>
      </c>
    </row>
    <row r="65" spans="1:6" x14ac:dyDescent="0.3">
      <c r="A65" s="1">
        <v>6.9667000000000003</v>
      </c>
      <c r="B65" s="1">
        <v>0.57249000000000005</v>
      </c>
      <c r="C65" s="4">
        <f>Tabela12[[#This Row],[Alongamento (mm/mm)]]/$I$2</f>
        <v>1.1449800000000001E-2</v>
      </c>
      <c r="D65" s="1">
        <v>5.7834000000000003</v>
      </c>
      <c r="E65" s="4">
        <f>Tabela12[[#This Row],[Força (N)]]/$I$5</f>
        <v>131577.27098993506</v>
      </c>
      <c r="F65" s="4">
        <f>Tabela12[[#This Row],[Tensão (Pa)]]/1000000</f>
        <v>0.13157727098993505</v>
      </c>
    </row>
    <row r="66" spans="1:6" x14ac:dyDescent="0.3">
      <c r="A66" s="1">
        <v>7.0332999999999997</v>
      </c>
      <c r="B66" s="1">
        <v>0.57808000000000004</v>
      </c>
      <c r="C66" s="4">
        <f>Tabela12[[#This Row],[Alongamento (mm/mm)]]/$I$2</f>
        <v>1.15616E-2</v>
      </c>
      <c r="D66" s="1">
        <v>5.7834000000000003</v>
      </c>
      <c r="E66" s="4">
        <f>Tabela12[[#This Row],[Força (N)]]/$I$5</f>
        <v>131577.27098993506</v>
      </c>
      <c r="F66" s="4">
        <f>Tabela12[[#This Row],[Tensão (Pa)]]/1000000</f>
        <v>0.13157727098993505</v>
      </c>
    </row>
    <row r="67" spans="1:6" x14ac:dyDescent="0.3">
      <c r="A67" s="1">
        <v>7.1</v>
      </c>
      <c r="B67" s="1">
        <v>0.58365999999999996</v>
      </c>
      <c r="C67" s="4">
        <f>Tabela12[[#This Row],[Alongamento (mm/mm)]]/$I$2</f>
        <v>1.16732E-2</v>
      </c>
      <c r="D67" s="1">
        <v>5.7834000000000003</v>
      </c>
      <c r="E67" s="4">
        <f>Tabela12[[#This Row],[Força (N)]]/$I$5</f>
        <v>131577.27098993506</v>
      </c>
      <c r="F67" s="4">
        <f>Tabela12[[#This Row],[Tensão (Pa)]]/1000000</f>
        <v>0.13157727098993505</v>
      </c>
    </row>
    <row r="68" spans="1:6" x14ac:dyDescent="0.3">
      <c r="A68" s="1">
        <v>7.1666999999999996</v>
      </c>
      <c r="B68" s="1">
        <v>0.58914999999999995</v>
      </c>
      <c r="C68" s="4">
        <f>Tabela12[[#This Row],[Alongamento (mm/mm)]]/$I$2</f>
        <v>1.1782999999999998E-2</v>
      </c>
      <c r="D68" s="1">
        <v>5.9535</v>
      </c>
      <c r="E68" s="4">
        <f>Tabela12[[#This Row],[Força (N)]]/$I$5</f>
        <v>135447.19072493314</v>
      </c>
      <c r="F68" s="4">
        <f>Tabela12[[#This Row],[Tensão (Pa)]]/1000000</f>
        <v>0.13544719072493314</v>
      </c>
    </row>
    <row r="69" spans="1:6" x14ac:dyDescent="0.3">
      <c r="A69" s="1">
        <v>7.2332999999999998</v>
      </c>
      <c r="B69" s="1">
        <v>0.59472999999999998</v>
      </c>
      <c r="C69" s="4">
        <f>Tabela12[[#This Row],[Alongamento (mm/mm)]]/$I$2</f>
        <v>1.18946E-2</v>
      </c>
      <c r="D69" s="1">
        <v>5.9535</v>
      </c>
      <c r="E69" s="4">
        <f>Tabela12[[#This Row],[Força (N)]]/$I$5</f>
        <v>135447.19072493314</v>
      </c>
      <c r="F69" s="4">
        <f>Tabela12[[#This Row],[Tensão (Pa)]]/1000000</f>
        <v>0.13544719072493314</v>
      </c>
    </row>
    <row r="70" spans="1:6" x14ac:dyDescent="0.3">
      <c r="A70" s="1">
        <v>7.3</v>
      </c>
      <c r="B70" s="1">
        <v>0.60031999999999996</v>
      </c>
      <c r="C70" s="4">
        <f>Tabela12[[#This Row],[Alongamento (mm/mm)]]/$I$2</f>
        <v>1.2006399999999999E-2</v>
      </c>
      <c r="D70" s="1">
        <v>5.9535</v>
      </c>
      <c r="E70" s="4">
        <f>Tabela12[[#This Row],[Força (N)]]/$I$5</f>
        <v>135447.19072493314</v>
      </c>
      <c r="F70" s="4">
        <f>Tabela12[[#This Row],[Tensão (Pa)]]/1000000</f>
        <v>0.13544719072493314</v>
      </c>
    </row>
    <row r="71" spans="1:6" x14ac:dyDescent="0.3">
      <c r="A71" s="1">
        <v>7.3666999999999998</v>
      </c>
      <c r="B71" s="1">
        <v>0.60580999999999996</v>
      </c>
      <c r="C71" s="4">
        <f>Tabela12[[#This Row],[Alongamento (mm/mm)]]/$I$2</f>
        <v>1.2116199999999999E-2</v>
      </c>
      <c r="D71" s="1">
        <v>5.7834000000000003</v>
      </c>
      <c r="E71" s="4">
        <f>Tabela12[[#This Row],[Força (N)]]/$I$5</f>
        <v>131577.27098993506</v>
      </c>
      <c r="F71" s="4">
        <f>Tabela12[[#This Row],[Tensão (Pa)]]/1000000</f>
        <v>0.13157727098993505</v>
      </c>
    </row>
    <row r="72" spans="1:6" x14ac:dyDescent="0.3">
      <c r="A72" s="1">
        <v>7.4333</v>
      </c>
      <c r="B72" s="1">
        <v>0.61129999999999995</v>
      </c>
      <c r="C72" s="4">
        <f>Tabela12[[#This Row],[Alongamento (mm/mm)]]/$I$2</f>
        <v>1.2225999999999999E-2</v>
      </c>
      <c r="D72" s="1">
        <v>5.7834000000000003</v>
      </c>
      <c r="E72" s="4">
        <f>Tabela12[[#This Row],[Força (N)]]/$I$5</f>
        <v>131577.27098993506</v>
      </c>
      <c r="F72" s="4">
        <f>Tabela12[[#This Row],[Tensão (Pa)]]/1000000</f>
        <v>0.13157727098993505</v>
      </c>
    </row>
    <row r="73" spans="1:6" x14ac:dyDescent="0.3">
      <c r="A73" s="1">
        <v>7.5</v>
      </c>
      <c r="B73" s="1">
        <v>0.61687999999999998</v>
      </c>
      <c r="C73" s="4">
        <f>Tabela12[[#This Row],[Alongamento (mm/mm)]]/$I$2</f>
        <v>1.2337599999999999E-2</v>
      </c>
      <c r="D73" s="1">
        <v>5.7834000000000003</v>
      </c>
      <c r="E73" s="4">
        <f>Tabela12[[#This Row],[Força (N)]]/$I$5</f>
        <v>131577.27098993506</v>
      </c>
      <c r="F73" s="4">
        <f>Tabela12[[#This Row],[Tensão (Pa)]]/1000000</f>
        <v>0.13157727098993505</v>
      </c>
    </row>
    <row r="74" spans="1:6" x14ac:dyDescent="0.3">
      <c r="A74" s="1">
        <v>7.5667</v>
      </c>
      <c r="B74" s="1">
        <v>0.62246000000000001</v>
      </c>
      <c r="C74" s="4">
        <f>Tabela12[[#This Row],[Alongamento (mm/mm)]]/$I$2</f>
        <v>1.2449200000000001E-2</v>
      </c>
      <c r="D74" s="1">
        <v>5.7834000000000003</v>
      </c>
      <c r="E74" s="4">
        <f>Tabela12[[#This Row],[Força (N)]]/$I$5</f>
        <v>131577.27098993506</v>
      </c>
      <c r="F74" s="4">
        <f>Tabela12[[#This Row],[Tensão (Pa)]]/1000000</f>
        <v>0.13157727098993505</v>
      </c>
    </row>
    <row r="75" spans="1:6" x14ac:dyDescent="0.3">
      <c r="A75" s="1">
        <v>7.6333000000000002</v>
      </c>
      <c r="B75" s="1">
        <v>0.62805</v>
      </c>
      <c r="C75" s="4">
        <f>Tabela12[[#This Row],[Alongamento (mm/mm)]]/$I$2</f>
        <v>1.2560999999999999E-2</v>
      </c>
      <c r="D75" s="1">
        <v>5.7834000000000003</v>
      </c>
      <c r="E75" s="4">
        <f>Tabela12[[#This Row],[Força (N)]]/$I$5</f>
        <v>131577.27098993506</v>
      </c>
      <c r="F75" s="4">
        <f>Tabela12[[#This Row],[Tensão (Pa)]]/1000000</f>
        <v>0.13157727098993505</v>
      </c>
    </row>
    <row r="76" spans="1:6" x14ac:dyDescent="0.3">
      <c r="A76" s="1">
        <v>7.7</v>
      </c>
      <c r="B76" s="1">
        <v>0.63363000000000003</v>
      </c>
      <c r="C76" s="4">
        <f>Tabela12[[#This Row],[Alongamento (mm/mm)]]/$I$2</f>
        <v>1.2672600000000001E-2</v>
      </c>
      <c r="D76" s="1">
        <v>5.7834000000000003</v>
      </c>
      <c r="E76" s="4">
        <f>Tabela12[[#This Row],[Força (N)]]/$I$5</f>
        <v>131577.27098993506</v>
      </c>
      <c r="F76" s="4">
        <f>Tabela12[[#This Row],[Tensão (Pa)]]/1000000</f>
        <v>0.13157727098993505</v>
      </c>
    </row>
    <row r="77" spans="1:6" x14ac:dyDescent="0.3">
      <c r="A77" s="1">
        <v>7.7667000000000002</v>
      </c>
      <c r="B77" s="1">
        <v>0.63922000000000001</v>
      </c>
      <c r="C77" s="4">
        <f>Tabela12[[#This Row],[Alongamento (mm/mm)]]/$I$2</f>
        <v>1.27844E-2</v>
      </c>
      <c r="D77" s="1">
        <v>5.7834000000000003</v>
      </c>
      <c r="E77" s="4">
        <f>Tabela12[[#This Row],[Força (N)]]/$I$5</f>
        <v>131577.27098993506</v>
      </c>
      <c r="F77" s="4">
        <f>Tabela12[[#This Row],[Tensão (Pa)]]/1000000</f>
        <v>0.13157727098993505</v>
      </c>
    </row>
    <row r="78" spans="1:6" x14ac:dyDescent="0.3">
      <c r="A78" s="1">
        <v>7.8333000000000004</v>
      </c>
      <c r="B78" s="1">
        <v>0.64480000000000004</v>
      </c>
      <c r="C78" s="4">
        <f>Tabela12[[#This Row],[Alongamento (mm/mm)]]/$I$2</f>
        <v>1.2896000000000001E-2</v>
      </c>
      <c r="D78" s="1">
        <v>5.7834000000000003</v>
      </c>
      <c r="E78" s="4">
        <f>Tabela12[[#This Row],[Força (N)]]/$I$5</f>
        <v>131577.27098993506</v>
      </c>
      <c r="F78" s="4">
        <f>Tabela12[[#This Row],[Tensão (Pa)]]/1000000</f>
        <v>0.13157727098993505</v>
      </c>
    </row>
    <row r="79" spans="1:6" x14ac:dyDescent="0.3">
      <c r="A79" s="1">
        <v>7.9</v>
      </c>
      <c r="B79" s="1">
        <v>0.65029000000000003</v>
      </c>
      <c r="C79" s="4">
        <f>Tabela12[[#This Row],[Alongamento (mm/mm)]]/$I$2</f>
        <v>1.3005800000000001E-2</v>
      </c>
      <c r="D79" s="1">
        <v>5.9535</v>
      </c>
      <c r="E79" s="4">
        <f>Tabela12[[#This Row],[Força (N)]]/$I$5</f>
        <v>135447.19072493314</v>
      </c>
      <c r="F79" s="4">
        <f>Tabela12[[#This Row],[Tensão (Pa)]]/1000000</f>
        <v>0.13544719072493314</v>
      </c>
    </row>
    <row r="80" spans="1:6" x14ac:dyDescent="0.3">
      <c r="A80" s="1">
        <v>7.9667000000000003</v>
      </c>
      <c r="B80" s="1">
        <v>0.65586999999999995</v>
      </c>
      <c r="C80" s="4">
        <f>Tabela12[[#This Row],[Alongamento (mm/mm)]]/$I$2</f>
        <v>1.31174E-2</v>
      </c>
      <c r="D80" s="1">
        <v>5.9535</v>
      </c>
      <c r="E80" s="4">
        <f>Tabela12[[#This Row],[Força (N)]]/$I$5</f>
        <v>135447.19072493314</v>
      </c>
      <c r="F80" s="4">
        <f>Tabela12[[#This Row],[Tensão (Pa)]]/1000000</f>
        <v>0.13544719072493314</v>
      </c>
    </row>
    <row r="81" spans="1:6" x14ac:dyDescent="0.3">
      <c r="A81" s="1">
        <v>8.0333000000000006</v>
      </c>
      <c r="B81" s="1">
        <v>0.66146000000000005</v>
      </c>
      <c r="C81" s="4">
        <f>Tabela12[[#This Row],[Alongamento (mm/mm)]]/$I$2</f>
        <v>1.3229200000000002E-2</v>
      </c>
      <c r="D81" s="1">
        <v>5.9535</v>
      </c>
      <c r="E81" s="4">
        <f>Tabela12[[#This Row],[Força (N)]]/$I$5</f>
        <v>135447.19072493314</v>
      </c>
      <c r="F81" s="4">
        <f>Tabela12[[#This Row],[Tensão (Pa)]]/1000000</f>
        <v>0.13544719072493314</v>
      </c>
    </row>
    <row r="82" spans="1:6" x14ac:dyDescent="0.3">
      <c r="A82" s="1">
        <v>8.1</v>
      </c>
      <c r="B82" s="1">
        <v>0.66695000000000004</v>
      </c>
      <c r="C82" s="4">
        <f>Tabela12[[#This Row],[Alongamento (mm/mm)]]/$I$2</f>
        <v>1.3339E-2</v>
      </c>
      <c r="D82" s="1">
        <v>5.9535</v>
      </c>
      <c r="E82" s="4">
        <f>Tabela12[[#This Row],[Força (N)]]/$I$5</f>
        <v>135447.19072493314</v>
      </c>
      <c r="F82" s="4">
        <f>Tabela12[[#This Row],[Tensão (Pa)]]/1000000</f>
        <v>0.13544719072493314</v>
      </c>
    </row>
    <row r="83" spans="1:6" x14ac:dyDescent="0.3">
      <c r="A83" s="1">
        <v>8.1667000000000005</v>
      </c>
      <c r="B83" s="1">
        <v>0.67244000000000004</v>
      </c>
      <c r="C83" s="4">
        <f>Tabela12[[#This Row],[Alongamento (mm/mm)]]/$I$2</f>
        <v>1.34488E-2</v>
      </c>
      <c r="D83" s="1">
        <v>5.9535</v>
      </c>
      <c r="E83" s="4">
        <f>Tabela12[[#This Row],[Força (N)]]/$I$5</f>
        <v>135447.19072493314</v>
      </c>
      <c r="F83" s="4">
        <f>Tabela12[[#This Row],[Tensão (Pa)]]/1000000</f>
        <v>0.13544719072493314</v>
      </c>
    </row>
    <row r="84" spans="1:6" x14ac:dyDescent="0.3">
      <c r="A84" s="1">
        <v>8.2332999999999998</v>
      </c>
      <c r="B84" s="1">
        <v>0.67801999999999996</v>
      </c>
      <c r="C84" s="4">
        <f>Tabela12[[#This Row],[Alongamento (mm/mm)]]/$I$2</f>
        <v>1.3560399999999998E-2</v>
      </c>
      <c r="D84" s="1">
        <v>5.9535</v>
      </c>
      <c r="E84" s="4">
        <f>Tabela12[[#This Row],[Força (N)]]/$I$5</f>
        <v>135447.19072493314</v>
      </c>
      <c r="F84" s="4">
        <f>Tabela12[[#This Row],[Tensão (Pa)]]/1000000</f>
        <v>0.13544719072493314</v>
      </c>
    </row>
    <row r="85" spans="1:6" x14ac:dyDescent="0.3">
      <c r="A85" s="1">
        <v>8.3000000000000007</v>
      </c>
      <c r="B85" s="1">
        <v>0.68359999999999999</v>
      </c>
      <c r="C85" s="4">
        <f>Tabela12[[#This Row],[Alongamento (mm/mm)]]/$I$2</f>
        <v>1.3672E-2</v>
      </c>
      <c r="D85" s="1">
        <v>5.9535</v>
      </c>
      <c r="E85" s="4">
        <f>Tabela12[[#This Row],[Força (N)]]/$I$5</f>
        <v>135447.19072493314</v>
      </c>
      <c r="F85" s="4">
        <f>Tabela12[[#This Row],[Tensão (Pa)]]/1000000</f>
        <v>0.13544719072493314</v>
      </c>
    </row>
    <row r="86" spans="1:6" x14ac:dyDescent="0.3">
      <c r="A86" s="1">
        <v>8.3666999999999998</v>
      </c>
      <c r="B86" s="1">
        <v>0.68908999999999998</v>
      </c>
      <c r="C86" s="4">
        <f>Tabela12[[#This Row],[Alongamento (mm/mm)]]/$I$2</f>
        <v>1.37818E-2</v>
      </c>
      <c r="D86" s="1">
        <v>5.9535</v>
      </c>
      <c r="E86" s="4">
        <f>Tabela12[[#This Row],[Força (N)]]/$I$5</f>
        <v>135447.19072493314</v>
      </c>
      <c r="F86" s="4">
        <f>Tabela12[[#This Row],[Tensão (Pa)]]/1000000</f>
        <v>0.13544719072493314</v>
      </c>
    </row>
    <row r="87" spans="1:6" x14ac:dyDescent="0.3">
      <c r="A87" s="1">
        <v>8.4332999999999991</v>
      </c>
      <c r="B87" s="1">
        <v>0.69467999999999996</v>
      </c>
      <c r="C87" s="4">
        <f>Tabela12[[#This Row],[Alongamento (mm/mm)]]/$I$2</f>
        <v>1.3893599999999999E-2</v>
      </c>
      <c r="D87" s="1">
        <v>5.9535</v>
      </c>
      <c r="E87" s="4">
        <f>Tabela12[[#This Row],[Força (N)]]/$I$5</f>
        <v>135447.19072493314</v>
      </c>
      <c r="F87" s="4">
        <f>Tabela12[[#This Row],[Tensão (Pa)]]/1000000</f>
        <v>0.13544719072493314</v>
      </c>
    </row>
    <row r="88" spans="1:6" x14ac:dyDescent="0.3">
      <c r="A88" s="1">
        <v>8.5</v>
      </c>
      <c r="B88" s="1">
        <v>0.70025999999999999</v>
      </c>
      <c r="C88" s="4">
        <f>Tabela12[[#This Row],[Alongamento (mm/mm)]]/$I$2</f>
        <v>1.4005200000000001E-2</v>
      </c>
      <c r="D88" s="1">
        <v>5.9535</v>
      </c>
      <c r="E88" s="4">
        <f>Tabela12[[#This Row],[Força (N)]]/$I$5</f>
        <v>135447.19072493314</v>
      </c>
      <c r="F88" s="4">
        <f>Tabela12[[#This Row],[Tensão (Pa)]]/1000000</f>
        <v>0.13544719072493314</v>
      </c>
    </row>
    <row r="89" spans="1:6" x14ac:dyDescent="0.3">
      <c r="A89" s="1">
        <v>8.5667000000000009</v>
      </c>
      <c r="B89" s="1">
        <v>0.70584000000000002</v>
      </c>
      <c r="C89" s="4">
        <f>Tabela12[[#This Row],[Alongamento (mm/mm)]]/$I$2</f>
        <v>1.4116800000000001E-2</v>
      </c>
      <c r="D89" s="1">
        <v>5.9535</v>
      </c>
      <c r="E89" s="4">
        <f>Tabela12[[#This Row],[Força (N)]]/$I$5</f>
        <v>135447.19072493314</v>
      </c>
      <c r="F89" s="4">
        <f>Tabela12[[#This Row],[Tensão (Pa)]]/1000000</f>
        <v>0.13544719072493314</v>
      </c>
    </row>
    <row r="90" spans="1:6" x14ac:dyDescent="0.3">
      <c r="A90" s="1">
        <v>8.6333000000000002</v>
      </c>
      <c r="B90" s="1">
        <v>0.71143000000000001</v>
      </c>
      <c r="C90" s="4">
        <f>Tabela12[[#This Row],[Alongamento (mm/mm)]]/$I$2</f>
        <v>1.4228600000000001E-2</v>
      </c>
      <c r="D90" s="1">
        <v>5.9535</v>
      </c>
      <c r="E90" s="4">
        <f>Tabela12[[#This Row],[Força (N)]]/$I$5</f>
        <v>135447.19072493314</v>
      </c>
      <c r="F90" s="4">
        <f>Tabela12[[#This Row],[Tensão (Pa)]]/1000000</f>
        <v>0.13544719072493314</v>
      </c>
    </row>
    <row r="91" spans="1:6" x14ac:dyDescent="0.3">
      <c r="A91" s="1">
        <v>8.6999999999999993</v>
      </c>
      <c r="B91" s="1">
        <v>0.71701000000000004</v>
      </c>
      <c r="C91" s="4">
        <f>Tabela12[[#This Row],[Alongamento (mm/mm)]]/$I$2</f>
        <v>1.4340200000000001E-2</v>
      </c>
      <c r="D91" s="1">
        <v>5.9535</v>
      </c>
      <c r="E91" s="4">
        <f>Tabela12[[#This Row],[Força (N)]]/$I$5</f>
        <v>135447.19072493314</v>
      </c>
      <c r="F91" s="4">
        <f>Tabela12[[#This Row],[Tensão (Pa)]]/1000000</f>
        <v>0.13544719072493314</v>
      </c>
    </row>
    <row r="92" spans="1:6" x14ac:dyDescent="0.3">
      <c r="A92" s="1">
        <v>8.7833000000000006</v>
      </c>
      <c r="B92" s="1">
        <v>0.72389999999999999</v>
      </c>
      <c r="C92" s="4">
        <f>Tabela12[[#This Row],[Alongamento (mm/mm)]]/$I$2</f>
        <v>1.4478E-2</v>
      </c>
      <c r="D92" s="1">
        <v>5.9535</v>
      </c>
      <c r="E92" s="4">
        <f>Tabela12[[#This Row],[Força (N)]]/$I$5</f>
        <v>135447.19072493314</v>
      </c>
      <c r="F92" s="4">
        <f>Tabela12[[#This Row],[Tensão (Pa)]]/1000000</f>
        <v>0.13544719072493314</v>
      </c>
    </row>
    <row r="93" spans="1:6" x14ac:dyDescent="0.3">
      <c r="A93" s="1">
        <v>8.85</v>
      </c>
      <c r="B93" s="1">
        <v>0.72948000000000002</v>
      </c>
      <c r="C93" s="4">
        <f>Tabela12[[#This Row],[Alongamento (mm/mm)]]/$I$2</f>
        <v>1.4589600000000001E-2</v>
      </c>
      <c r="D93" s="1">
        <v>5.7834000000000003</v>
      </c>
      <c r="E93" s="4">
        <f>Tabela12[[#This Row],[Força (N)]]/$I$5</f>
        <v>131577.27098993506</v>
      </c>
      <c r="F93" s="4">
        <f>Tabela12[[#This Row],[Tensão (Pa)]]/1000000</f>
        <v>0.13157727098993505</v>
      </c>
    </row>
    <row r="94" spans="1:6" x14ac:dyDescent="0.3">
      <c r="A94" s="1">
        <v>8.9332999999999991</v>
      </c>
      <c r="B94" s="1">
        <v>0.73636999999999997</v>
      </c>
      <c r="C94" s="4">
        <f>Tabela12[[#This Row],[Alongamento (mm/mm)]]/$I$2</f>
        <v>1.47274E-2</v>
      </c>
      <c r="D94" s="1">
        <v>5.7834000000000003</v>
      </c>
      <c r="E94" s="4">
        <f>Tabela12[[#This Row],[Força (N)]]/$I$5</f>
        <v>131577.27098993506</v>
      </c>
      <c r="F94" s="4">
        <f>Tabela12[[#This Row],[Tensão (Pa)]]/1000000</f>
        <v>0.13157727098993505</v>
      </c>
    </row>
    <row r="95" spans="1:6" x14ac:dyDescent="0.3">
      <c r="A95" s="1">
        <v>9.0167000000000002</v>
      </c>
      <c r="B95" s="1">
        <v>0.74334999999999996</v>
      </c>
      <c r="C95" s="4">
        <f>Tabela12[[#This Row],[Alongamento (mm/mm)]]/$I$2</f>
        <v>1.4866999999999998E-2</v>
      </c>
      <c r="D95" s="1">
        <v>5.9535</v>
      </c>
      <c r="E95" s="4">
        <f>Tabela12[[#This Row],[Força (N)]]/$I$5</f>
        <v>135447.19072493314</v>
      </c>
      <c r="F95" s="4">
        <f>Tabela12[[#This Row],[Tensão (Pa)]]/1000000</f>
        <v>0.13544719072493314</v>
      </c>
    </row>
    <row r="96" spans="1:6" x14ac:dyDescent="0.3">
      <c r="A96" s="1">
        <v>9.1</v>
      </c>
      <c r="B96" s="1">
        <v>0.75022999999999995</v>
      </c>
      <c r="C96" s="4">
        <f>Tabela12[[#This Row],[Alongamento (mm/mm)]]/$I$2</f>
        <v>1.50046E-2</v>
      </c>
      <c r="D96" s="1">
        <v>5.9535</v>
      </c>
      <c r="E96" s="4">
        <f>Tabela12[[#This Row],[Força (N)]]/$I$5</f>
        <v>135447.19072493314</v>
      </c>
      <c r="F96" s="4">
        <f>Tabela12[[#This Row],[Tensão (Pa)]]/1000000</f>
        <v>0.13544719072493314</v>
      </c>
    </row>
    <row r="97" spans="1:6" x14ac:dyDescent="0.3">
      <c r="A97" s="1">
        <v>9.1832999999999991</v>
      </c>
      <c r="B97" s="1">
        <v>0.75721000000000005</v>
      </c>
      <c r="C97" s="4">
        <f>Tabela12[[#This Row],[Alongamento (mm/mm)]]/$I$2</f>
        <v>1.5144200000000002E-2</v>
      </c>
      <c r="D97" s="1">
        <v>5.9535</v>
      </c>
      <c r="E97" s="4">
        <f>Tabela12[[#This Row],[Força (N)]]/$I$5</f>
        <v>135447.19072493314</v>
      </c>
      <c r="F97" s="4">
        <f>Tabela12[[#This Row],[Tensão (Pa)]]/1000000</f>
        <v>0.13544719072493314</v>
      </c>
    </row>
    <row r="98" spans="1:6" x14ac:dyDescent="0.3">
      <c r="A98" s="1">
        <v>9.2667000000000002</v>
      </c>
      <c r="B98" s="1">
        <v>0.76419000000000004</v>
      </c>
      <c r="C98" s="4">
        <f>Tabela12[[#This Row],[Alongamento (mm/mm)]]/$I$2</f>
        <v>1.52838E-2</v>
      </c>
      <c r="D98" s="1">
        <v>5.7834000000000003</v>
      </c>
      <c r="E98" s="4">
        <f>Tabela12[[#This Row],[Força (N)]]/$I$5</f>
        <v>131577.27098993506</v>
      </c>
      <c r="F98" s="4">
        <f>Tabela12[[#This Row],[Tensão (Pa)]]/1000000</f>
        <v>0.13157727098993505</v>
      </c>
    </row>
    <row r="99" spans="1:6" x14ac:dyDescent="0.3">
      <c r="A99" s="1">
        <v>9.35</v>
      </c>
      <c r="B99" s="1">
        <v>0.77107999999999999</v>
      </c>
      <c r="C99" s="4">
        <f>Tabela12[[#This Row],[Alongamento (mm/mm)]]/$I$2</f>
        <v>1.5421600000000001E-2</v>
      </c>
      <c r="D99" s="1">
        <v>5.7834000000000003</v>
      </c>
      <c r="E99" s="4">
        <f>Tabela12[[#This Row],[Força (N)]]/$I$5</f>
        <v>131577.27098993506</v>
      </c>
      <c r="F99" s="4">
        <f>Tabela12[[#This Row],[Tensão (Pa)]]/1000000</f>
        <v>0.13157727098993505</v>
      </c>
    </row>
    <row r="100" spans="1:6" x14ac:dyDescent="0.3">
      <c r="A100" s="1">
        <v>9.4332999999999991</v>
      </c>
      <c r="B100" s="1">
        <v>0.77805999999999997</v>
      </c>
      <c r="C100" s="4">
        <f>Tabela12[[#This Row],[Alongamento (mm/mm)]]/$I$2</f>
        <v>1.5561199999999999E-2</v>
      </c>
      <c r="D100" s="1">
        <v>5.7834000000000003</v>
      </c>
      <c r="E100" s="4">
        <f>Tabela12[[#This Row],[Força (N)]]/$I$5</f>
        <v>131577.27098993506</v>
      </c>
      <c r="F100" s="4">
        <f>Tabela12[[#This Row],[Tensão (Pa)]]/1000000</f>
        <v>0.13157727098993505</v>
      </c>
    </row>
    <row r="101" spans="1:6" x14ac:dyDescent="0.3">
      <c r="A101" s="1">
        <v>9.5167000000000002</v>
      </c>
      <c r="B101" s="1">
        <v>0.78503999999999996</v>
      </c>
      <c r="C101" s="4">
        <f>Tabela12[[#This Row],[Alongamento (mm/mm)]]/$I$2</f>
        <v>1.5700800000000001E-2</v>
      </c>
      <c r="D101" s="1">
        <v>5.7834000000000003</v>
      </c>
      <c r="E101" s="4">
        <f>Tabela12[[#This Row],[Força (N)]]/$I$5</f>
        <v>131577.27098993506</v>
      </c>
      <c r="F101" s="4">
        <f>Tabela12[[#This Row],[Tensão (Pa)]]/1000000</f>
        <v>0.13157727098993505</v>
      </c>
    </row>
    <row r="102" spans="1:6" x14ac:dyDescent="0.3">
      <c r="A102" s="1">
        <v>9.6</v>
      </c>
      <c r="B102" s="1">
        <v>0.79191999999999996</v>
      </c>
      <c r="C102" s="4">
        <f>Tabela12[[#This Row],[Alongamento (mm/mm)]]/$I$2</f>
        <v>1.5838399999999999E-2</v>
      </c>
      <c r="D102" s="1">
        <v>5.7834000000000003</v>
      </c>
      <c r="E102" s="4">
        <f>Tabela12[[#This Row],[Força (N)]]/$I$5</f>
        <v>131577.27098993506</v>
      </c>
      <c r="F102" s="4">
        <f>Tabela12[[#This Row],[Tensão (Pa)]]/1000000</f>
        <v>0.13157727098993505</v>
      </c>
    </row>
    <row r="103" spans="1:6" x14ac:dyDescent="0.3">
      <c r="A103" s="1">
        <v>9.6832999999999991</v>
      </c>
      <c r="B103" s="1">
        <v>0.79890000000000005</v>
      </c>
      <c r="C103" s="4">
        <f>Tabela12[[#This Row],[Alongamento (mm/mm)]]/$I$2</f>
        <v>1.5978000000000003E-2</v>
      </c>
      <c r="D103" s="1">
        <v>5.7834000000000003</v>
      </c>
      <c r="E103" s="4">
        <f>Tabela12[[#This Row],[Força (N)]]/$I$5</f>
        <v>131577.27098993506</v>
      </c>
      <c r="F103" s="4">
        <f>Tabela12[[#This Row],[Tensão (Pa)]]/1000000</f>
        <v>0.13157727098993505</v>
      </c>
    </row>
    <row r="104" spans="1:6" x14ac:dyDescent="0.3">
      <c r="A104" s="1">
        <v>9.7667000000000002</v>
      </c>
      <c r="B104" s="1">
        <v>0.80588000000000004</v>
      </c>
      <c r="C104" s="4">
        <f>Tabela12[[#This Row],[Alongamento (mm/mm)]]/$I$2</f>
        <v>1.6117599999999999E-2</v>
      </c>
      <c r="D104" s="1">
        <v>5.9535</v>
      </c>
      <c r="E104" s="4">
        <f>Tabela12[[#This Row],[Força (N)]]/$I$5</f>
        <v>135447.19072493314</v>
      </c>
      <c r="F104" s="4">
        <f>Tabela12[[#This Row],[Tensão (Pa)]]/1000000</f>
        <v>0.13544719072493314</v>
      </c>
    </row>
    <row r="105" spans="1:6" x14ac:dyDescent="0.3">
      <c r="A105" s="1">
        <v>9.85</v>
      </c>
      <c r="B105" s="1">
        <v>0.81267999999999996</v>
      </c>
      <c r="C105" s="4">
        <f>Tabela12[[#This Row],[Alongamento (mm/mm)]]/$I$2</f>
        <v>1.62536E-2</v>
      </c>
      <c r="D105" s="1">
        <v>5.9535</v>
      </c>
      <c r="E105" s="4">
        <f>Tabela12[[#This Row],[Força (N)]]/$I$5</f>
        <v>135447.19072493314</v>
      </c>
      <c r="F105" s="4">
        <f>Tabela12[[#This Row],[Tensão (Pa)]]/1000000</f>
        <v>0.13544719072493314</v>
      </c>
    </row>
    <row r="106" spans="1:6" x14ac:dyDescent="0.3">
      <c r="A106" s="1">
        <v>9.9332999999999991</v>
      </c>
      <c r="B106" s="1">
        <v>0.81974999999999998</v>
      </c>
      <c r="C106" s="4">
        <f>Tabela12[[#This Row],[Alongamento (mm/mm)]]/$I$2</f>
        <v>1.6395E-2</v>
      </c>
      <c r="D106" s="1">
        <v>5.9535</v>
      </c>
      <c r="E106" s="4">
        <f>Tabela12[[#This Row],[Força (N)]]/$I$5</f>
        <v>135447.19072493314</v>
      </c>
      <c r="F106" s="4">
        <f>Tabela12[[#This Row],[Tensão (Pa)]]/1000000</f>
        <v>0.13544719072493314</v>
      </c>
    </row>
    <row r="107" spans="1:6" x14ac:dyDescent="0.3">
      <c r="A107" s="1">
        <v>10.016999999999999</v>
      </c>
      <c r="B107" s="1">
        <v>0.82672999999999996</v>
      </c>
      <c r="C107" s="4">
        <f>Tabela12[[#This Row],[Alongamento (mm/mm)]]/$I$2</f>
        <v>1.65346E-2</v>
      </c>
      <c r="D107" s="1">
        <v>5.9535</v>
      </c>
      <c r="E107" s="4">
        <f>Tabela12[[#This Row],[Força (N)]]/$I$5</f>
        <v>135447.19072493314</v>
      </c>
      <c r="F107" s="4">
        <f>Tabela12[[#This Row],[Tensão (Pa)]]/1000000</f>
        <v>0.13544719072493314</v>
      </c>
    </row>
    <row r="108" spans="1:6" x14ac:dyDescent="0.3">
      <c r="A108" s="1">
        <v>10.1</v>
      </c>
      <c r="B108" s="1">
        <v>0.83360999999999996</v>
      </c>
      <c r="C108" s="4">
        <f>Tabela12[[#This Row],[Alongamento (mm/mm)]]/$I$2</f>
        <v>1.6672199999999998E-2</v>
      </c>
      <c r="D108" s="1">
        <v>6.1235999999999997</v>
      </c>
      <c r="E108" s="4">
        <f>Tabela12[[#This Row],[Força (N)]]/$I$5</f>
        <v>139317.11045993122</v>
      </c>
      <c r="F108" s="4">
        <f>Tabela12[[#This Row],[Tensão (Pa)]]/1000000</f>
        <v>0.13931711045993123</v>
      </c>
    </row>
    <row r="109" spans="1:6" x14ac:dyDescent="0.3">
      <c r="A109" s="1">
        <v>10.183</v>
      </c>
      <c r="B109" s="1">
        <v>0.84058999999999995</v>
      </c>
      <c r="C109" s="4">
        <f>Tabela12[[#This Row],[Alongamento (mm/mm)]]/$I$2</f>
        <v>1.6811799999999998E-2</v>
      </c>
      <c r="D109" s="1">
        <v>6.1235999999999997</v>
      </c>
      <c r="E109" s="4">
        <f>Tabela12[[#This Row],[Força (N)]]/$I$5</f>
        <v>139317.11045993122</v>
      </c>
      <c r="F109" s="4">
        <f>Tabela12[[#This Row],[Tensão (Pa)]]/1000000</f>
        <v>0.13931711045993123</v>
      </c>
    </row>
    <row r="110" spans="1:6" x14ac:dyDescent="0.3">
      <c r="A110" s="1">
        <v>10.266999999999999</v>
      </c>
      <c r="B110" s="1">
        <v>0.84748000000000001</v>
      </c>
      <c r="C110" s="4">
        <f>Tabela12[[#This Row],[Alongamento (mm/mm)]]/$I$2</f>
        <v>1.6949599999999999E-2</v>
      </c>
      <c r="D110" s="1">
        <v>6.1235999999999997</v>
      </c>
      <c r="E110" s="4">
        <f>Tabela12[[#This Row],[Força (N)]]/$I$5</f>
        <v>139317.11045993122</v>
      </c>
      <c r="F110" s="4">
        <f>Tabela12[[#This Row],[Tensão (Pa)]]/1000000</f>
        <v>0.13931711045993123</v>
      </c>
    </row>
    <row r="111" spans="1:6" x14ac:dyDescent="0.3">
      <c r="A111" s="1">
        <v>10.35</v>
      </c>
      <c r="B111" s="1">
        <v>0.85446</v>
      </c>
      <c r="C111" s="4">
        <f>Tabela12[[#This Row],[Alongamento (mm/mm)]]/$I$2</f>
        <v>1.7089199999999999E-2</v>
      </c>
      <c r="D111" s="1">
        <v>6.1235999999999997</v>
      </c>
      <c r="E111" s="4">
        <f>Tabela12[[#This Row],[Força (N)]]/$I$5</f>
        <v>139317.11045993122</v>
      </c>
      <c r="F111" s="4">
        <f>Tabela12[[#This Row],[Tensão (Pa)]]/1000000</f>
        <v>0.13931711045993123</v>
      </c>
    </row>
    <row r="112" spans="1:6" x14ac:dyDescent="0.3">
      <c r="A112" s="1">
        <v>10.433</v>
      </c>
      <c r="B112" s="1">
        <v>0.86143999999999998</v>
      </c>
      <c r="C112" s="4">
        <f>Tabela12[[#This Row],[Alongamento (mm/mm)]]/$I$2</f>
        <v>1.7228799999999999E-2</v>
      </c>
      <c r="D112" s="1">
        <v>6.1235999999999997</v>
      </c>
      <c r="E112" s="4">
        <f>Tabela12[[#This Row],[Força (N)]]/$I$5</f>
        <v>139317.11045993122</v>
      </c>
      <c r="F112" s="4">
        <f>Tabela12[[#This Row],[Tensão (Pa)]]/1000000</f>
        <v>0.13931711045993123</v>
      </c>
    </row>
    <row r="113" spans="1:6" x14ac:dyDescent="0.3">
      <c r="A113" s="1">
        <v>10.516999999999999</v>
      </c>
      <c r="B113" s="1">
        <v>0.86831999999999998</v>
      </c>
      <c r="C113" s="4">
        <f>Tabela12[[#This Row],[Alongamento (mm/mm)]]/$I$2</f>
        <v>1.7366400000000001E-2</v>
      </c>
      <c r="D113" s="1">
        <v>6.2937000000000003</v>
      </c>
      <c r="E113" s="4">
        <f>Tabela12[[#This Row],[Força (N)]]/$I$5</f>
        <v>143187.03019492931</v>
      </c>
      <c r="F113" s="4">
        <f>Tabela12[[#This Row],[Tensão (Pa)]]/1000000</f>
        <v>0.14318703019492932</v>
      </c>
    </row>
    <row r="114" spans="1:6" x14ac:dyDescent="0.3">
      <c r="A114" s="1">
        <v>10.6</v>
      </c>
      <c r="B114" s="1">
        <v>0.87521000000000004</v>
      </c>
      <c r="C114" s="4">
        <f>Tabela12[[#This Row],[Alongamento (mm/mm)]]/$I$2</f>
        <v>1.7504200000000001E-2</v>
      </c>
      <c r="D114" s="1">
        <v>6.2937000000000003</v>
      </c>
      <c r="E114" s="4">
        <f>Tabela12[[#This Row],[Força (N)]]/$I$5</f>
        <v>143187.03019492931</v>
      </c>
      <c r="F114" s="4">
        <f>Tabela12[[#This Row],[Tensão (Pa)]]/1000000</f>
        <v>0.14318703019492932</v>
      </c>
    </row>
    <row r="115" spans="1:6" x14ac:dyDescent="0.3">
      <c r="A115" s="1">
        <v>10.683</v>
      </c>
      <c r="B115" s="1">
        <v>0.88219000000000003</v>
      </c>
      <c r="C115" s="4">
        <f>Tabela12[[#This Row],[Alongamento (mm/mm)]]/$I$2</f>
        <v>1.7643800000000001E-2</v>
      </c>
      <c r="D115" s="1">
        <v>6.4638</v>
      </c>
      <c r="E115" s="4">
        <f>Tabela12[[#This Row],[Força (N)]]/$I$5</f>
        <v>147056.94992992739</v>
      </c>
      <c r="F115" s="4">
        <f>Tabela12[[#This Row],[Tensão (Pa)]]/1000000</f>
        <v>0.14705694992992738</v>
      </c>
    </row>
    <row r="116" spans="1:6" x14ac:dyDescent="0.3">
      <c r="A116" s="1">
        <v>10.766999999999999</v>
      </c>
      <c r="B116" s="1">
        <v>0.88917000000000002</v>
      </c>
      <c r="C116" s="4">
        <f>Tabela12[[#This Row],[Alongamento (mm/mm)]]/$I$2</f>
        <v>1.7783400000000001E-2</v>
      </c>
      <c r="D116" s="1">
        <v>6.4638</v>
      </c>
      <c r="E116" s="4">
        <f>Tabela12[[#This Row],[Força (N)]]/$I$5</f>
        <v>147056.94992992739</v>
      </c>
      <c r="F116" s="4">
        <f>Tabela12[[#This Row],[Tensão (Pa)]]/1000000</f>
        <v>0.14705694992992738</v>
      </c>
    </row>
    <row r="117" spans="1:6" x14ac:dyDescent="0.3">
      <c r="A117" s="1">
        <v>10.85</v>
      </c>
      <c r="B117" s="1">
        <v>0.89605999999999997</v>
      </c>
      <c r="C117" s="4">
        <f>Tabela12[[#This Row],[Alongamento (mm/mm)]]/$I$2</f>
        <v>1.7921199999999998E-2</v>
      </c>
      <c r="D117" s="1">
        <v>6.4638</v>
      </c>
      <c r="E117" s="4">
        <f>Tabela12[[#This Row],[Força (N)]]/$I$5</f>
        <v>147056.94992992739</v>
      </c>
      <c r="F117" s="4">
        <f>Tabela12[[#This Row],[Tensão (Pa)]]/1000000</f>
        <v>0.14705694992992738</v>
      </c>
    </row>
    <row r="118" spans="1:6" x14ac:dyDescent="0.3">
      <c r="A118" s="1">
        <v>10.933</v>
      </c>
      <c r="B118" s="1">
        <v>0.90312999999999999</v>
      </c>
      <c r="C118" s="4">
        <f>Tabela12[[#This Row],[Alongamento (mm/mm)]]/$I$2</f>
        <v>1.8062599999999998E-2</v>
      </c>
      <c r="D118" s="1">
        <v>6.4638</v>
      </c>
      <c r="E118" s="4">
        <f>Tabela12[[#This Row],[Força (N)]]/$I$5</f>
        <v>147056.94992992739</v>
      </c>
      <c r="F118" s="4">
        <f>Tabela12[[#This Row],[Tensão (Pa)]]/1000000</f>
        <v>0.14705694992992738</v>
      </c>
    </row>
    <row r="119" spans="1:6" x14ac:dyDescent="0.3">
      <c r="A119" s="1">
        <v>11.032999999999999</v>
      </c>
      <c r="B119" s="1">
        <v>0.91141000000000005</v>
      </c>
      <c r="C119" s="4">
        <f>Tabela12[[#This Row],[Alongamento (mm/mm)]]/$I$2</f>
        <v>1.82282E-2</v>
      </c>
      <c r="D119" s="1">
        <v>6.4638</v>
      </c>
      <c r="E119" s="4">
        <f>Tabela12[[#This Row],[Força (N)]]/$I$5</f>
        <v>147056.94992992739</v>
      </c>
      <c r="F119" s="4">
        <f>Tabela12[[#This Row],[Tensão (Pa)]]/1000000</f>
        <v>0.14705694992992738</v>
      </c>
    </row>
    <row r="120" spans="1:6" x14ac:dyDescent="0.3">
      <c r="A120" s="1">
        <v>11.132999999999999</v>
      </c>
      <c r="B120" s="1">
        <v>0.91979</v>
      </c>
      <c r="C120" s="4">
        <f>Tabela12[[#This Row],[Alongamento (mm/mm)]]/$I$2</f>
        <v>1.83958E-2</v>
      </c>
      <c r="D120" s="1">
        <v>6.4638</v>
      </c>
      <c r="E120" s="4">
        <f>Tabela12[[#This Row],[Força (N)]]/$I$5</f>
        <v>147056.94992992739</v>
      </c>
      <c r="F120" s="4">
        <f>Tabela12[[#This Row],[Tensão (Pa)]]/1000000</f>
        <v>0.14705694992992738</v>
      </c>
    </row>
    <row r="121" spans="1:6" x14ac:dyDescent="0.3">
      <c r="A121" s="1">
        <v>11.233000000000001</v>
      </c>
      <c r="B121" s="1">
        <v>0.92806999999999995</v>
      </c>
      <c r="C121" s="4">
        <f>Tabela12[[#This Row],[Alongamento (mm/mm)]]/$I$2</f>
        <v>1.8561399999999999E-2</v>
      </c>
      <c r="D121" s="1">
        <v>6.6338999999999997</v>
      </c>
      <c r="E121" s="4">
        <f>Tabela12[[#This Row],[Força (N)]]/$I$5</f>
        <v>150926.86966492547</v>
      </c>
      <c r="F121" s="4">
        <f>Tabela12[[#This Row],[Tensão (Pa)]]/1000000</f>
        <v>0.15092686966492547</v>
      </c>
    </row>
    <row r="122" spans="1:6" x14ac:dyDescent="0.3">
      <c r="A122" s="1">
        <v>11.333</v>
      </c>
      <c r="B122" s="1">
        <v>0.93635000000000002</v>
      </c>
      <c r="C122" s="4">
        <f>Tabela12[[#This Row],[Alongamento (mm/mm)]]/$I$2</f>
        <v>1.8727000000000001E-2</v>
      </c>
      <c r="D122" s="1">
        <v>6.8040000000000003</v>
      </c>
      <c r="E122" s="4">
        <f>Tabela12[[#This Row],[Força (N)]]/$I$5</f>
        <v>154796.78939992358</v>
      </c>
      <c r="F122" s="4">
        <f>Tabela12[[#This Row],[Tensão (Pa)]]/1000000</f>
        <v>0.15479678939992358</v>
      </c>
    </row>
    <row r="123" spans="1:6" x14ac:dyDescent="0.3">
      <c r="A123" s="1">
        <v>11.433</v>
      </c>
      <c r="B123" s="1">
        <v>0.94472</v>
      </c>
      <c r="C123" s="4">
        <f>Tabela12[[#This Row],[Alongamento (mm/mm)]]/$I$2</f>
        <v>1.8894399999999999E-2</v>
      </c>
      <c r="D123" s="1">
        <v>7.1441999999999997</v>
      </c>
      <c r="E123" s="4">
        <f>Tabela12[[#This Row],[Força (N)]]/$I$5</f>
        <v>162536.62886991975</v>
      </c>
      <c r="F123" s="4">
        <f>Tabela12[[#This Row],[Tensão (Pa)]]/1000000</f>
        <v>0.16253662886991974</v>
      </c>
    </row>
    <row r="124" spans="1:6" x14ac:dyDescent="0.3">
      <c r="A124" s="1">
        <v>11.532999999999999</v>
      </c>
      <c r="B124" s="1">
        <v>0.95301000000000002</v>
      </c>
      <c r="C124" s="4">
        <f>Tabela12[[#This Row],[Alongamento (mm/mm)]]/$I$2</f>
        <v>1.9060199999999999E-2</v>
      </c>
      <c r="D124" s="1">
        <v>6.9741</v>
      </c>
      <c r="E124" s="4">
        <f>Tabela12[[#This Row],[Força (N)]]/$I$5</f>
        <v>158666.70913492166</v>
      </c>
      <c r="F124" s="4">
        <f>Tabela12[[#This Row],[Tensão (Pa)]]/1000000</f>
        <v>0.15866670913492167</v>
      </c>
    </row>
    <row r="125" spans="1:6" x14ac:dyDescent="0.3">
      <c r="A125" s="1">
        <v>11.632999999999999</v>
      </c>
      <c r="B125" s="1">
        <v>0.96138000000000001</v>
      </c>
      <c r="C125" s="4">
        <f>Tabela12[[#This Row],[Alongamento (mm/mm)]]/$I$2</f>
        <v>1.9227600000000001E-2</v>
      </c>
      <c r="D125" s="1">
        <v>6.9741</v>
      </c>
      <c r="E125" s="4">
        <f>Tabela12[[#This Row],[Força (N)]]/$I$5</f>
        <v>158666.70913492166</v>
      </c>
      <c r="F125" s="4">
        <f>Tabela12[[#This Row],[Tensão (Pa)]]/1000000</f>
        <v>0.15866670913492167</v>
      </c>
    </row>
    <row r="126" spans="1:6" x14ac:dyDescent="0.3">
      <c r="A126" s="1">
        <v>11.733000000000001</v>
      </c>
      <c r="B126" s="1">
        <v>0.96975999999999996</v>
      </c>
      <c r="C126" s="4">
        <f>Tabela12[[#This Row],[Alongamento (mm/mm)]]/$I$2</f>
        <v>1.9395199999999998E-2</v>
      </c>
      <c r="D126" s="1">
        <v>6.9741</v>
      </c>
      <c r="E126" s="4">
        <f>Tabela12[[#This Row],[Força (N)]]/$I$5</f>
        <v>158666.70913492166</v>
      </c>
      <c r="F126" s="4">
        <f>Tabela12[[#This Row],[Tensão (Pa)]]/1000000</f>
        <v>0.15866670913492167</v>
      </c>
    </row>
    <row r="127" spans="1:6" x14ac:dyDescent="0.3">
      <c r="A127" s="1">
        <v>11.833</v>
      </c>
      <c r="B127" s="1">
        <v>0.97804000000000002</v>
      </c>
      <c r="C127" s="4">
        <f>Tabela12[[#This Row],[Alongamento (mm/mm)]]/$I$2</f>
        <v>1.95608E-2</v>
      </c>
      <c r="D127" s="1">
        <v>6.9741</v>
      </c>
      <c r="E127" s="4">
        <f>Tabela12[[#This Row],[Força (N)]]/$I$5</f>
        <v>158666.70913492166</v>
      </c>
      <c r="F127" s="4">
        <f>Tabela12[[#This Row],[Tensão (Pa)]]/1000000</f>
        <v>0.15866670913492167</v>
      </c>
    </row>
    <row r="128" spans="1:6" x14ac:dyDescent="0.3">
      <c r="A128" s="1">
        <v>11.933</v>
      </c>
      <c r="B128" s="1">
        <v>0.98641000000000001</v>
      </c>
      <c r="C128" s="4">
        <f>Tabela12[[#This Row],[Alongamento (mm/mm)]]/$I$2</f>
        <v>1.9728200000000001E-2</v>
      </c>
      <c r="D128" s="1">
        <v>6.9741</v>
      </c>
      <c r="E128" s="4">
        <f>Tabela12[[#This Row],[Força (N)]]/$I$5</f>
        <v>158666.70913492166</v>
      </c>
      <c r="F128" s="4">
        <f>Tabela12[[#This Row],[Tensão (Pa)]]/1000000</f>
        <v>0.15866670913492167</v>
      </c>
    </row>
    <row r="129" spans="1:6" x14ac:dyDescent="0.3">
      <c r="A129" s="1">
        <v>12.032999999999999</v>
      </c>
      <c r="B129" s="1">
        <v>0.99470000000000003</v>
      </c>
      <c r="C129" s="4">
        <f>Tabela12[[#This Row],[Alongamento (mm/mm)]]/$I$2</f>
        <v>1.9894000000000002E-2</v>
      </c>
      <c r="D129" s="1">
        <v>6.9741</v>
      </c>
      <c r="E129" s="4">
        <f>Tabela12[[#This Row],[Força (N)]]/$I$5</f>
        <v>158666.70913492166</v>
      </c>
      <c r="F129" s="4">
        <f>Tabela12[[#This Row],[Tensão (Pa)]]/1000000</f>
        <v>0.15866670913492167</v>
      </c>
    </row>
    <row r="130" spans="1:6" x14ac:dyDescent="0.3">
      <c r="A130" s="1">
        <v>12.132999999999999</v>
      </c>
      <c r="B130" s="1">
        <v>1.0031000000000001</v>
      </c>
      <c r="C130" s="4">
        <f>Tabela12[[#This Row],[Alongamento (mm/mm)]]/$I$2</f>
        <v>2.0062000000000003E-2</v>
      </c>
      <c r="D130" s="1">
        <v>6.9741</v>
      </c>
      <c r="E130" s="4">
        <f>Tabela12[[#This Row],[Força (N)]]/$I$5</f>
        <v>158666.70913492166</v>
      </c>
      <c r="F130" s="4">
        <f>Tabela12[[#This Row],[Tensão (Pa)]]/1000000</f>
        <v>0.15866670913492167</v>
      </c>
    </row>
    <row r="131" spans="1:6" x14ac:dyDescent="0.3">
      <c r="A131" s="1">
        <v>12.233000000000001</v>
      </c>
      <c r="B131" s="1">
        <v>1.0114000000000001</v>
      </c>
      <c r="C131" s="4">
        <f>Tabela12[[#This Row],[Alongamento (mm/mm)]]/$I$2</f>
        <v>2.0228000000000003E-2</v>
      </c>
      <c r="D131" s="1">
        <v>7.1441999999999997</v>
      </c>
      <c r="E131" s="4">
        <f>Tabela12[[#This Row],[Força (N)]]/$I$5</f>
        <v>162536.62886991975</v>
      </c>
      <c r="F131" s="4">
        <f>Tabela12[[#This Row],[Tensão (Pa)]]/1000000</f>
        <v>0.16253662886991974</v>
      </c>
    </row>
    <row r="132" spans="1:6" x14ac:dyDescent="0.3">
      <c r="A132" s="1">
        <v>12.333</v>
      </c>
      <c r="B132" s="1">
        <v>1.0197000000000001</v>
      </c>
      <c r="C132" s="4">
        <f>Tabela12[[#This Row],[Alongamento (mm/mm)]]/$I$2</f>
        <v>2.0394000000000002E-2</v>
      </c>
      <c r="D132" s="1">
        <v>7.8244999999999996</v>
      </c>
      <c r="E132" s="4">
        <f>Tabela12[[#This Row],[Força (N)]]/$I$5</f>
        <v>178014.03272482392</v>
      </c>
      <c r="F132" s="4">
        <f>Tabela12[[#This Row],[Tensão (Pa)]]/1000000</f>
        <v>0.17801403272482391</v>
      </c>
    </row>
    <row r="133" spans="1:6" x14ac:dyDescent="0.3">
      <c r="A133" s="1">
        <v>12.433</v>
      </c>
      <c r="B133" s="1">
        <v>1.0281</v>
      </c>
      <c r="C133" s="4">
        <f>Tabela12[[#This Row],[Alongamento (mm/mm)]]/$I$2</f>
        <v>2.0562E-2</v>
      </c>
      <c r="D133" s="1">
        <v>8.3347999999999995</v>
      </c>
      <c r="E133" s="4">
        <f>Tabela12[[#This Row],[Força (N)]]/$I$5</f>
        <v>189623.7919298182</v>
      </c>
      <c r="F133" s="4">
        <f>Tabela12[[#This Row],[Tensão (Pa)]]/1000000</f>
        <v>0.18962379192981821</v>
      </c>
    </row>
    <row r="134" spans="1:6" x14ac:dyDescent="0.3">
      <c r="A134" s="1">
        <v>12.532999999999999</v>
      </c>
      <c r="B134" s="1">
        <v>1.0364</v>
      </c>
      <c r="C134" s="4">
        <f>Tabela12[[#This Row],[Alongamento (mm/mm)]]/$I$2</f>
        <v>2.0728E-2</v>
      </c>
      <c r="D134" s="1">
        <v>8.8451000000000004</v>
      </c>
      <c r="E134" s="4">
        <f>Tabela12[[#This Row],[Força (N)]]/$I$5</f>
        <v>201233.55113481247</v>
      </c>
      <c r="F134" s="4">
        <f>Tabela12[[#This Row],[Tensão (Pa)]]/1000000</f>
        <v>0.20123355113481248</v>
      </c>
    </row>
    <row r="135" spans="1:6" x14ac:dyDescent="0.3">
      <c r="A135" s="1">
        <v>12.632999999999999</v>
      </c>
      <c r="B135" s="1">
        <v>1.0447</v>
      </c>
      <c r="C135" s="4">
        <f>Tabela12[[#This Row],[Alongamento (mm/mm)]]/$I$2</f>
        <v>2.0893999999999999E-2</v>
      </c>
      <c r="D135" s="1">
        <v>9.1852999999999998</v>
      </c>
      <c r="E135" s="4">
        <f>Tabela12[[#This Row],[Força (N)]]/$I$5</f>
        <v>208973.39060480864</v>
      </c>
      <c r="F135" s="4">
        <f>Tabela12[[#This Row],[Tensão (Pa)]]/1000000</f>
        <v>0.20897339060480863</v>
      </c>
    </row>
    <row r="136" spans="1:6" x14ac:dyDescent="0.3">
      <c r="A136" s="1">
        <v>12.733000000000001</v>
      </c>
      <c r="B136" s="1">
        <v>1.0529999999999999</v>
      </c>
      <c r="C136" s="4">
        <f>Tabela12[[#This Row],[Alongamento (mm/mm)]]/$I$2</f>
        <v>2.1059999999999999E-2</v>
      </c>
      <c r="D136" s="1">
        <v>9.3553999999999995</v>
      </c>
      <c r="E136" s="4">
        <f>Tabela12[[#This Row],[Força (N)]]/$I$5</f>
        <v>212843.31033980672</v>
      </c>
      <c r="F136" s="4">
        <f>Tabela12[[#This Row],[Tensão (Pa)]]/1000000</f>
        <v>0.21284331033980672</v>
      </c>
    </row>
    <row r="137" spans="1:6" x14ac:dyDescent="0.3">
      <c r="A137" s="1">
        <v>12.833</v>
      </c>
      <c r="B137" s="1">
        <v>1.0612999999999999</v>
      </c>
      <c r="C137" s="4">
        <f>Tabela12[[#This Row],[Alongamento (mm/mm)]]/$I$2</f>
        <v>2.1225999999999998E-2</v>
      </c>
      <c r="D137" s="1">
        <v>9.3553999999999995</v>
      </c>
      <c r="E137" s="4">
        <f>Tabela12[[#This Row],[Força (N)]]/$I$5</f>
        <v>212843.31033980672</v>
      </c>
      <c r="F137" s="4">
        <f>Tabela12[[#This Row],[Tensão (Pa)]]/1000000</f>
        <v>0.21284331033980672</v>
      </c>
    </row>
    <row r="138" spans="1:6" x14ac:dyDescent="0.3">
      <c r="A138" s="1">
        <v>12.933</v>
      </c>
      <c r="B138" s="1">
        <v>1.0697000000000001</v>
      </c>
      <c r="C138" s="4">
        <f>Tabela12[[#This Row],[Alongamento (mm/mm)]]/$I$2</f>
        <v>2.1394000000000003E-2</v>
      </c>
      <c r="D138" s="1">
        <v>9.3553999999999995</v>
      </c>
      <c r="E138" s="4">
        <f>Tabela12[[#This Row],[Força (N)]]/$I$5</f>
        <v>212843.31033980672</v>
      </c>
      <c r="F138" s="4">
        <f>Tabela12[[#This Row],[Tensão (Pa)]]/1000000</f>
        <v>0.21284331033980672</v>
      </c>
    </row>
    <row r="139" spans="1:6" x14ac:dyDescent="0.3">
      <c r="A139" s="1">
        <v>13.032999999999999</v>
      </c>
      <c r="B139" s="1">
        <v>1.0781000000000001</v>
      </c>
      <c r="C139" s="4">
        <f>Tabela12[[#This Row],[Alongamento (mm/mm)]]/$I$2</f>
        <v>2.1562000000000001E-2</v>
      </c>
      <c r="D139" s="1">
        <v>9.3553999999999995</v>
      </c>
      <c r="E139" s="4">
        <f>Tabela12[[#This Row],[Força (N)]]/$I$5</f>
        <v>212843.31033980672</v>
      </c>
      <c r="F139" s="4">
        <f>Tabela12[[#This Row],[Tensão (Pa)]]/1000000</f>
        <v>0.21284331033980672</v>
      </c>
    </row>
    <row r="140" spans="1:6" x14ac:dyDescent="0.3">
      <c r="A140" s="1">
        <v>13.15</v>
      </c>
      <c r="B140" s="1">
        <v>1.0878000000000001</v>
      </c>
      <c r="C140" s="4">
        <f>Tabela12[[#This Row],[Alongamento (mm/mm)]]/$I$2</f>
        <v>2.1756000000000001E-2</v>
      </c>
      <c r="D140" s="1">
        <v>9.3553999999999995</v>
      </c>
      <c r="E140" s="4">
        <f>Tabela12[[#This Row],[Força (N)]]/$I$5</f>
        <v>212843.31033980672</v>
      </c>
      <c r="F140" s="4">
        <f>Tabela12[[#This Row],[Tensão (Pa)]]/1000000</f>
        <v>0.21284331033980672</v>
      </c>
    </row>
    <row r="141" spans="1:6" x14ac:dyDescent="0.3">
      <c r="A141" s="1">
        <v>13.266999999999999</v>
      </c>
      <c r="B141" s="1">
        <v>1.0974999999999999</v>
      </c>
      <c r="C141" s="4">
        <f>Tabela12[[#This Row],[Alongamento (mm/mm)]]/$I$2</f>
        <v>2.1949999999999997E-2</v>
      </c>
      <c r="D141" s="1">
        <v>9.3553999999999995</v>
      </c>
      <c r="E141" s="4">
        <f>Tabela12[[#This Row],[Força (N)]]/$I$5</f>
        <v>212843.31033980672</v>
      </c>
      <c r="F141" s="4">
        <f>Tabela12[[#This Row],[Tensão (Pa)]]/1000000</f>
        <v>0.21284331033980672</v>
      </c>
    </row>
    <row r="142" spans="1:6" x14ac:dyDescent="0.3">
      <c r="A142" s="1">
        <v>13.382999999999999</v>
      </c>
      <c r="B142" s="1">
        <v>1.1072</v>
      </c>
      <c r="C142" s="4">
        <f>Tabela12[[#This Row],[Alongamento (mm/mm)]]/$I$2</f>
        <v>2.2144E-2</v>
      </c>
      <c r="D142" s="1">
        <v>9.3553999999999995</v>
      </c>
      <c r="E142" s="4">
        <f>Tabela12[[#This Row],[Força (N)]]/$I$5</f>
        <v>212843.31033980672</v>
      </c>
      <c r="F142" s="4">
        <f>Tabela12[[#This Row],[Tensão (Pa)]]/1000000</f>
        <v>0.21284331033980672</v>
      </c>
    </row>
    <row r="143" spans="1:6" x14ac:dyDescent="0.3">
      <c r="A143" s="1">
        <v>13.5</v>
      </c>
      <c r="B143" s="1">
        <v>1.117</v>
      </c>
      <c r="C143" s="4">
        <f>Tabela12[[#This Row],[Alongamento (mm/mm)]]/$I$2</f>
        <v>2.2339999999999999E-2</v>
      </c>
      <c r="D143" s="1">
        <v>9.3553999999999995</v>
      </c>
      <c r="E143" s="4">
        <f>Tabela12[[#This Row],[Força (N)]]/$I$5</f>
        <v>212843.31033980672</v>
      </c>
      <c r="F143" s="4">
        <f>Tabela12[[#This Row],[Tensão (Pa)]]/1000000</f>
        <v>0.21284331033980672</v>
      </c>
    </row>
    <row r="144" spans="1:6" x14ac:dyDescent="0.3">
      <c r="A144" s="1">
        <v>13.617000000000001</v>
      </c>
      <c r="B144" s="1">
        <v>1.1267</v>
      </c>
      <c r="C144" s="4">
        <f>Tabela12[[#This Row],[Alongamento (mm/mm)]]/$I$2</f>
        <v>2.2534000000000002E-2</v>
      </c>
      <c r="D144" s="1">
        <v>9.3553999999999995</v>
      </c>
      <c r="E144" s="4">
        <f>Tabela12[[#This Row],[Força (N)]]/$I$5</f>
        <v>212843.31033980672</v>
      </c>
      <c r="F144" s="4">
        <f>Tabela12[[#This Row],[Tensão (Pa)]]/1000000</f>
        <v>0.21284331033980672</v>
      </c>
    </row>
    <row r="145" spans="1:6" x14ac:dyDescent="0.3">
      <c r="A145" s="1">
        <v>13.733000000000001</v>
      </c>
      <c r="B145" s="1">
        <v>1.1364000000000001</v>
      </c>
      <c r="C145" s="4">
        <f>Tabela12[[#This Row],[Alongamento (mm/mm)]]/$I$2</f>
        <v>2.2728000000000002E-2</v>
      </c>
      <c r="D145" s="1">
        <v>9.3553999999999995</v>
      </c>
      <c r="E145" s="4">
        <f>Tabela12[[#This Row],[Força (N)]]/$I$5</f>
        <v>212843.31033980672</v>
      </c>
      <c r="F145" s="4">
        <f>Tabela12[[#This Row],[Tensão (Pa)]]/1000000</f>
        <v>0.21284331033980672</v>
      </c>
    </row>
    <row r="146" spans="1:6" x14ac:dyDescent="0.3">
      <c r="A146" s="1">
        <v>13.85</v>
      </c>
      <c r="B146" s="1">
        <v>1.1460999999999999</v>
      </c>
      <c r="C146" s="4">
        <f>Tabela12[[#This Row],[Alongamento (mm/mm)]]/$I$2</f>
        <v>2.2921999999999998E-2</v>
      </c>
      <c r="D146" s="1">
        <v>9.3553999999999995</v>
      </c>
      <c r="E146" s="4">
        <f>Tabela12[[#This Row],[Força (N)]]/$I$5</f>
        <v>212843.31033980672</v>
      </c>
      <c r="F146" s="4">
        <f>Tabela12[[#This Row],[Tensão (Pa)]]/1000000</f>
        <v>0.21284331033980672</v>
      </c>
    </row>
    <row r="147" spans="1:6" x14ac:dyDescent="0.3">
      <c r="A147" s="1">
        <v>13.967000000000001</v>
      </c>
      <c r="B147" s="1">
        <v>1.1558999999999999</v>
      </c>
      <c r="C147" s="4">
        <f>Tabela12[[#This Row],[Alongamento (mm/mm)]]/$I$2</f>
        <v>2.3118E-2</v>
      </c>
      <c r="D147" s="1">
        <v>9.3553999999999995</v>
      </c>
      <c r="E147" s="4">
        <f>Tabela12[[#This Row],[Força (N)]]/$I$5</f>
        <v>212843.31033980672</v>
      </c>
      <c r="F147" s="4">
        <f>Tabela12[[#This Row],[Tensão (Pa)]]/1000000</f>
        <v>0.21284331033980672</v>
      </c>
    </row>
    <row r="148" spans="1:6" x14ac:dyDescent="0.3">
      <c r="A148" s="1">
        <v>14.083</v>
      </c>
      <c r="B148" s="1">
        <v>1.1656</v>
      </c>
      <c r="C148" s="4">
        <f>Tabela12[[#This Row],[Alongamento (mm/mm)]]/$I$2</f>
        <v>2.3311999999999999E-2</v>
      </c>
      <c r="D148" s="1">
        <v>9.3553999999999995</v>
      </c>
      <c r="E148" s="4">
        <f>Tabela12[[#This Row],[Força (N)]]/$I$5</f>
        <v>212843.31033980672</v>
      </c>
      <c r="F148" s="4">
        <f>Tabela12[[#This Row],[Tensão (Pa)]]/1000000</f>
        <v>0.21284331033980672</v>
      </c>
    </row>
    <row r="149" spans="1:6" x14ac:dyDescent="0.3">
      <c r="A149" s="1">
        <v>14.2</v>
      </c>
      <c r="B149" s="1">
        <v>1.1752</v>
      </c>
      <c r="C149" s="4">
        <f>Tabela12[[#This Row],[Alongamento (mm/mm)]]/$I$2</f>
        <v>2.3504000000000001E-2</v>
      </c>
      <c r="D149" s="1">
        <v>9.3553999999999995</v>
      </c>
      <c r="E149" s="4">
        <f>Tabela12[[#This Row],[Força (N)]]/$I$5</f>
        <v>212843.31033980672</v>
      </c>
      <c r="F149" s="4">
        <f>Tabela12[[#This Row],[Tensão (Pa)]]/1000000</f>
        <v>0.21284331033980672</v>
      </c>
    </row>
    <row r="150" spans="1:6" x14ac:dyDescent="0.3">
      <c r="A150" s="1">
        <v>14.317</v>
      </c>
      <c r="B150" s="1">
        <v>1.1849000000000001</v>
      </c>
      <c r="C150" s="4">
        <f>Tabela12[[#This Row],[Alongamento (mm/mm)]]/$I$2</f>
        <v>2.3698E-2</v>
      </c>
      <c r="D150" s="1">
        <v>9.3553999999999995</v>
      </c>
      <c r="E150" s="4">
        <f>Tabela12[[#This Row],[Força (N)]]/$I$5</f>
        <v>212843.31033980672</v>
      </c>
      <c r="F150" s="4">
        <f>Tabela12[[#This Row],[Tensão (Pa)]]/1000000</f>
        <v>0.21284331033980672</v>
      </c>
    </row>
    <row r="151" spans="1:6" x14ac:dyDescent="0.3">
      <c r="A151" s="1">
        <v>14.433</v>
      </c>
      <c r="B151" s="1">
        <v>1.1947000000000001</v>
      </c>
      <c r="C151" s="4">
        <f>Tabela12[[#This Row],[Alongamento (mm/mm)]]/$I$2</f>
        <v>2.3894000000000002E-2</v>
      </c>
      <c r="D151" s="1">
        <v>9.3553999999999995</v>
      </c>
      <c r="E151" s="4">
        <f>Tabela12[[#This Row],[Força (N)]]/$I$5</f>
        <v>212843.31033980672</v>
      </c>
      <c r="F151" s="4">
        <f>Tabela12[[#This Row],[Tensão (Pa)]]/1000000</f>
        <v>0.21284331033980672</v>
      </c>
    </row>
    <row r="152" spans="1:6" x14ac:dyDescent="0.3">
      <c r="A152" s="1">
        <v>14.55</v>
      </c>
      <c r="B152" s="1">
        <v>1.2043999999999999</v>
      </c>
      <c r="C152" s="4">
        <f>Tabela12[[#This Row],[Alongamento (mm/mm)]]/$I$2</f>
        <v>2.4087999999999998E-2</v>
      </c>
      <c r="D152" s="1">
        <v>9.5254999999999992</v>
      </c>
      <c r="E152" s="4">
        <f>Tabela12[[#This Row],[Força (N)]]/$I$5</f>
        <v>216713.2300748048</v>
      </c>
      <c r="F152" s="4">
        <f>Tabela12[[#This Row],[Tensão (Pa)]]/1000000</f>
        <v>0.21671323007480481</v>
      </c>
    </row>
    <row r="153" spans="1:6" x14ac:dyDescent="0.3">
      <c r="A153" s="1">
        <v>14.667</v>
      </c>
      <c r="B153" s="1">
        <v>1.2141999999999999</v>
      </c>
      <c r="C153" s="4">
        <f>Tabela12[[#This Row],[Alongamento (mm/mm)]]/$I$2</f>
        <v>2.4284E-2</v>
      </c>
      <c r="D153" s="1">
        <v>9.5254999999999992</v>
      </c>
      <c r="E153" s="4">
        <f>Tabela12[[#This Row],[Força (N)]]/$I$5</f>
        <v>216713.2300748048</v>
      </c>
      <c r="F153" s="4">
        <f>Tabela12[[#This Row],[Tensão (Pa)]]/1000000</f>
        <v>0.21671323007480481</v>
      </c>
    </row>
    <row r="154" spans="1:6" x14ac:dyDescent="0.3">
      <c r="A154" s="1">
        <v>14.782999999999999</v>
      </c>
      <c r="B154" s="1">
        <v>1.2239</v>
      </c>
      <c r="C154" s="4">
        <f>Tabela12[[#This Row],[Alongamento (mm/mm)]]/$I$2</f>
        <v>2.4478E-2</v>
      </c>
      <c r="D154" s="1">
        <v>9.5254999999999992</v>
      </c>
      <c r="E154" s="4">
        <f>Tabela12[[#This Row],[Força (N)]]/$I$5</f>
        <v>216713.2300748048</v>
      </c>
      <c r="F154" s="4">
        <f>Tabela12[[#This Row],[Tensão (Pa)]]/1000000</f>
        <v>0.21671323007480481</v>
      </c>
    </row>
    <row r="155" spans="1:6" x14ac:dyDescent="0.3">
      <c r="A155" s="1">
        <v>14.9</v>
      </c>
      <c r="B155" s="1">
        <v>1.2336</v>
      </c>
      <c r="C155" s="4">
        <f>Tabela12[[#This Row],[Alongamento (mm/mm)]]/$I$2</f>
        <v>2.4671999999999999E-2</v>
      </c>
      <c r="D155" s="1">
        <v>9.5254999999999992</v>
      </c>
      <c r="E155" s="4">
        <f>Tabela12[[#This Row],[Força (N)]]/$I$5</f>
        <v>216713.2300748048</v>
      </c>
      <c r="F155" s="4">
        <f>Tabela12[[#This Row],[Tensão (Pa)]]/1000000</f>
        <v>0.21671323007480481</v>
      </c>
    </row>
    <row r="156" spans="1:6" x14ac:dyDescent="0.3">
      <c r="A156" s="1">
        <v>15.016999999999999</v>
      </c>
      <c r="B156" s="1">
        <v>1.2433000000000001</v>
      </c>
      <c r="C156" s="4">
        <f>Tabela12[[#This Row],[Alongamento (mm/mm)]]/$I$2</f>
        <v>2.4866000000000003E-2</v>
      </c>
      <c r="D156" s="1">
        <v>10.036</v>
      </c>
      <c r="E156" s="4">
        <f>Tabela12[[#This Row],[Força (N)]]/$I$5</f>
        <v>228327.53944997545</v>
      </c>
      <c r="F156" s="4">
        <f>Tabela12[[#This Row],[Tensão (Pa)]]/1000000</f>
        <v>0.22832753944997544</v>
      </c>
    </row>
    <row r="157" spans="1:6" x14ac:dyDescent="0.3">
      <c r="A157" s="1">
        <v>15.1</v>
      </c>
      <c r="B157" s="1">
        <v>1.2503</v>
      </c>
      <c r="C157" s="4">
        <f>Tabela12[[#This Row],[Alongamento (mm/mm)]]/$I$2</f>
        <v>2.5006E-2</v>
      </c>
      <c r="D157" s="1">
        <v>10.715999999999999</v>
      </c>
      <c r="E157" s="4">
        <f>Tabela12[[#This Row],[Força (N)]]/$I$5</f>
        <v>243798.11804961506</v>
      </c>
      <c r="F157" s="4">
        <f>Tabela12[[#This Row],[Tensão (Pa)]]/1000000</f>
        <v>0.24379811804961507</v>
      </c>
    </row>
    <row r="158" spans="1:6" x14ac:dyDescent="0.3">
      <c r="A158" s="1">
        <v>15.217000000000001</v>
      </c>
      <c r="B158" s="1">
        <v>1.26</v>
      </c>
      <c r="C158" s="4">
        <f>Tabela12[[#This Row],[Alongamento (mm/mm)]]/$I$2</f>
        <v>2.52E-2</v>
      </c>
      <c r="D158" s="1">
        <v>11.227</v>
      </c>
      <c r="E158" s="4">
        <f>Tabela12[[#This Row],[Força (N)]]/$I$5</f>
        <v>255423.80285022664</v>
      </c>
      <c r="F158" s="4">
        <f>Tabela12[[#This Row],[Tensão (Pa)]]/1000000</f>
        <v>0.25542380285022664</v>
      </c>
    </row>
    <row r="159" spans="1:6" x14ac:dyDescent="0.3">
      <c r="A159" s="1">
        <v>15.35</v>
      </c>
      <c r="B159" s="1">
        <v>1.2712000000000001</v>
      </c>
      <c r="C159" s="4">
        <f>Tabela12[[#This Row],[Alongamento (mm/mm)]]/$I$2</f>
        <v>2.5424000000000002E-2</v>
      </c>
      <c r="D159" s="1">
        <v>11.397</v>
      </c>
      <c r="E159" s="4">
        <f>Tabela12[[#This Row],[Força (N)]]/$I$5</f>
        <v>259291.44750013654</v>
      </c>
      <c r="F159" s="4">
        <f>Tabela12[[#This Row],[Tensão (Pa)]]/1000000</f>
        <v>0.25929144750013655</v>
      </c>
    </row>
    <row r="160" spans="1:6" x14ac:dyDescent="0.3">
      <c r="A160" s="1">
        <v>15.483000000000001</v>
      </c>
      <c r="B160" s="1">
        <v>1.2822</v>
      </c>
      <c r="C160" s="4">
        <f>Tabela12[[#This Row],[Alongamento (mm/mm)]]/$I$2</f>
        <v>2.5644E-2</v>
      </c>
      <c r="D160" s="1">
        <v>11.567</v>
      </c>
      <c r="E160" s="4">
        <f>Tabela12[[#This Row],[Força (N)]]/$I$5</f>
        <v>263159.09215004643</v>
      </c>
      <c r="F160" s="4">
        <f>Tabela12[[#This Row],[Tensão (Pa)]]/1000000</f>
        <v>0.26315909215004646</v>
      </c>
    </row>
    <row r="161" spans="1:6" x14ac:dyDescent="0.3">
      <c r="A161" s="1">
        <v>15.617000000000001</v>
      </c>
      <c r="B161" s="1">
        <v>1.2932999999999999</v>
      </c>
      <c r="C161" s="4">
        <f>Tabela12[[#This Row],[Alongamento (mm/mm)]]/$I$2</f>
        <v>2.5865999999999997E-2</v>
      </c>
      <c r="D161" s="1">
        <v>11.567</v>
      </c>
      <c r="E161" s="4">
        <f>Tabela12[[#This Row],[Força (N)]]/$I$5</f>
        <v>263159.09215004643</v>
      </c>
      <c r="F161" s="4">
        <f>Tabela12[[#This Row],[Tensão (Pa)]]/1000000</f>
        <v>0.26315909215004646</v>
      </c>
    </row>
    <row r="162" spans="1:6" x14ac:dyDescent="0.3">
      <c r="A162" s="1">
        <v>15.75</v>
      </c>
      <c r="B162" s="1">
        <v>1.3044</v>
      </c>
      <c r="C162" s="4">
        <f>Tabela12[[#This Row],[Alongamento (mm/mm)]]/$I$2</f>
        <v>2.6088E-2</v>
      </c>
      <c r="D162" s="1">
        <v>11.567</v>
      </c>
      <c r="E162" s="4">
        <f>Tabela12[[#This Row],[Força (N)]]/$I$5</f>
        <v>263159.09215004643</v>
      </c>
      <c r="F162" s="4">
        <f>Tabela12[[#This Row],[Tensão (Pa)]]/1000000</f>
        <v>0.26315909215004646</v>
      </c>
    </row>
    <row r="163" spans="1:6" x14ac:dyDescent="0.3">
      <c r="A163" s="1">
        <v>15.882999999999999</v>
      </c>
      <c r="B163" s="1">
        <v>1.3156000000000001</v>
      </c>
      <c r="C163" s="4">
        <f>Tabela12[[#This Row],[Alongamento (mm/mm)]]/$I$2</f>
        <v>2.6312000000000002E-2</v>
      </c>
      <c r="D163" s="1">
        <v>11.567</v>
      </c>
      <c r="E163" s="4">
        <f>Tabela12[[#This Row],[Força (N)]]/$I$5</f>
        <v>263159.09215004643</v>
      </c>
      <c r="F163" s="4">
        <f>Tabela12[[#This Row],[Tensão (Pa)]]/1000000</f>
        <v>0.26315909215004646</v>
      </c>
    </row>
    <row r="164" spans="1:6" x14ac:dyDescent="0.3">
      <c r="A164" s="1">
        <v>16.016999999999999</v>
      </c>
      <c r="B164" s="1">
        <v>1.3266</v>
      </c>
      <c r="C164" s="4">
        <f>Tabela12[[#This Row],[Alongamento (mm/mm)]]/$I$2</f>
        <v>2.6532E-2</v>
      </c>
      <c r="D164" s="1">
        <v>11.567</v>
      </c>
      <c r="E164" s="4">
        <f>Tabela12[[#This Row],[Força (N)]]/$I$5</f>
        <v>263159.09215004643</v>
      </c>
      <c r="F164" s="4">
        <f>Tabela12[[#This Row],[Tensão (Pa)]]/1000000</f>
        <v>0.26315909215004646</v>
      </c>
    </row>
    <row r="165" spans="1:6" x14ac:dyDescent="0.3">
      <c r="A165" s="1">
        <v>16.149999999999999</v>
      </c>
      <c r="B165" s="1">
        <v>1.3378000000000001</v>
      </c>
      <c r="C165" s="4">
        <f>Tabela12[[#This Row],[Alongamento (mm/mm)]]/$I$2</f>
        <v>2.6756000000000002E-2</v>
      </c>
      <c r="D165" s="1">
        <v>11.567</v>
      </c>
      <c r="E165" s="4">
        <f>Tabela12[[#This Row],[Força (N)]]/$I$5</f>
        <v>263159.09215004643</v>
      </c>
      <c r="F165" s="4">
        <f>Tabela12[[#This Row],[Tensão (Pa)]]/1000000</f>
        <v>0.26315909215004646</v>
      </c>
    </row>
    <row r="166" spans="1:6" x14ac:dyDescent="0.3">
      <c r="A166" s="1">
        <v>16.283000000000001</v>
      </c>
      <c r="B166" s="1">
        <v>1.3489</v>
      </c>
      <c r="C166" s="4">
        <f>Tabela12[[#This Row],[Alongamento (mm/mm)]]/$I$2</f>
        <v>2.6977999999999999E-2</v>
      </c>
      <c r="D166" s="1">
        <v>11.567</v>
      </c>
      <c r="E166" s="4">
        <f>Tabela12[[#This Row],[Força (N)]]/$I$5</f>
        <v>263159.09215004643</v>
      </c>
      <c r="F166" s="4">
        <f>Tabela12[[#This Row],[Tensão (Pa)]]/1000000</f>
        <v>0.26315909215004646</v>
      </c>
    </row>
    <row r="167" spans="1:6" x14ac:dyDescent="0.3">
      <c r="A167" s="1">
        <v>16.417000000000002</v>
      </c>
      <c r="B167" s="1">
        <v>1.36</v>
      </c>
      <c r="C167" s="4">
        <f>Tabela12[[#This Row],[Alongamento (mm/mm)]]/$I$2</f>
        <v>2.7200000000000002E-2</v>
      </c>
      <c r="D167" s="1">
        <v>11.567</v>
      </c>
      <c r="E167" s="4">
        <f>Tabela12[[#This Row],[Força (N)]]/$I$5</f>
        <v>263159.09215004643</v>
      </c>
      <c r="F167" s="4">
        <f>Tabela12[[#This Row],[Tensão (Pa)]]/1000000</f>
        <v>0.26315909215004646</v>
      </c>
    </row>
    <row r="168" spans="1:6" x14ac:dyDescent="0.3">
      <c r="A168" s="1">
        <v>16.55</v>
      </c>
      <c r="B168" s="1">
        <v>1.371</v>
      </c>
      <c r="C168" s="4">
        <f>Tabela12[[#This Row],[Alongamento (mm/mm)]]/$I$2</f>
        <v>2.742E-2</v>
      </c>
      <c r="D168" s="1">
        <v>11.567</v>
      </c>
      <c r="E168" s="4">
        <f>Tabela12[[#This Row],[Força (N)]]/$I$5</f>
        <v>263159.09215004643</v>
      </c>
      <c r="F168" s="4">
        <f>Tabela12[[#This Row],[Tensão (Pa)]]/1000000</f>
        <v>0.26315909215004646</v>
      </c>
    </row>
    <row r="169" spans="1:6" x14ac:dyDescent="0.3">
      <c r="A169" s="1">
        <v>16.683</v>
      </c>
      <c r="B169" s="1">
        <v>1.3823000000000001</v>
      </c>
      <c r="C169" s="4">
        <f>Tabela12[[#This Row],[Alongamento (mm/mm)]]/$I$2</f>
        <v>2.7646E-2</v>
      </c>
      <c r="D169" s="1">
        <v>11.567</v>
      </c>
      <c r="E169" s="4">
        <f>Tabela12[[#This Row],[Força (N)]]/$I$5</f>
        <v>263159.09215004643</v>
      </c>
      <c r="F169" s="4">
        <f>Tabela12[[#This Row],[Tensão (Pa)]]/1000000</f>
        <v>0.26315909215004646</v>
      </c>
    </row>
    <row r="170" spans="1:6" x14ac:dyDescent="0.3">
      <c r="A170" s="1">
        <v>16.817</v>
      </c>
      <c r="B170" s="1">
        <v>1.3934</v>
      </c>
      <c r="C170" s="4">
        <f>Tabela12[[#This Row],[Alongamento (mm/mm)]]/$I$2</f>
        <v>2.7868E-2</v>
      </c>
      <c r="D170" s="1">
        <v>11.567</v>
      </c>
      <c r="E170" s="4">
        <f>Tabela12[[#This Row],[Força (N)]]/$I$5</f>
        <v>263159.09215004643</v>
      </c>
      <c r="F170" s="4">
        <f>Tabela12[[#This Row],[Tensão (Pa)]]/1000000</f>
        <v>0.26315909215004646</v>
      </c>
    </row>
    <row r="171" spans="1:6" x14ac:dyDescent="0.3">
      <c r="A171" s="1">
        <v>16.95</v>
      </c>
      <c r="B171" s="1">
        <v>1.4044000000000001</v>
      </c>
      <c r="C171" s="4">
        <f>Tabela12[[#This Row],[Alongamento (mm/mm)]]/$I$2</f>
        <v>2.8088000000000002E-2</v>
      </c>
      <c r="D171" s="1">
        <v>11.567</v>
      </c>
      <c r="E171" s="4">
        <f>Tabela12[[#This Row],[Força (N)]]/$I$5</f>
        <v>263159.09215004643</v>
      </c>
      <c r="F171" s="4">
        <f>Tabela12[[#This Row],[Tensão (Pa)]]/1000000</f>
        <v>0.26315909215004646</v>
      </c>
    </row>
    <row r="172" spans="1:6" x14ac:dyDescent="0.3">
      <c r="A172" s="1">
        <v>17.082999999999998</v>
      </c>
      <c r="B172" s="1">
        <v>1.4156</v>
      </c>
      <c r="C172" s="4">
        <f>Tabela12[[#This Row],[Alongamento (mm/mm)]]/$I$2</f>
        <v>2.8312E-2</v>
      </c>
      <c r="D172" s="1">
        <v>11.567</v>
      </c>
      <c r="E172" s="4">
        <f>Tabela12[[#This Row],[Força (N)]]/$I$5</f>
        <v>263159.09215004643</v>
      </c>
      <c r="F172" s="4">
        <f>Tabela12[[#This Row],[Tensão (Pa)]]/1000000</f>
        <v>0.26315909215004646</v>
      </c>
    </row>
    <row r="173" spans="1:6" x14ac:dyDescent="0.3">
      <c r="A173" s="1">
        <v>17.216999999999999</v>
      </c>
      <c r="B173" s="1">
        <v>1.4267000000000001</v>
      </c>
      <c r="C173" s="4">
        <f>Tabela12[[#This Row],[Alongamento (mm/mm)]]/$I$2</f>
        <v>2.8534E-2</v>
      </c>
      <c r="D173" s="1">
        <v>11.737</v>
      </c>
      <c r="E173" s="4">
        <f>Tabela12[[#This Row],[Força (N)]]/$I$5</f>
        <v>267026.73679995636</v>
      </c>
      <c r="F173" s="4">
        <f>Tabela12[[#This Row],[Tensão (Pa)]]/1000000</f>
        <v>0.26702673679995637</v>
      </c>
    </row>
    <row r="174" spans="1:6" x14ac:dyDescent="0.3">
      <c r="A174" s="1">
        <v>17.350000000000001</v>
      </c>
      <c r="B174" s="1">
        <v>1.4377</v>
      </c>
      <c r="C174" s="4">
        <f>Tabela12[[#This Row],[Alongamento (mm/mm)]]/$I$2</f>
        <v>2.8753999999999998E-2</v>
      </c>
      <c r="D174" s="1">
        <v>11.567</v>
      </c>
      <c r="E174" s="4">
        <f>Tabela12[[#This Row],[Força (N)]]/$I$5</f>
        <v>263159.09215004643</v>
      </c>
      <c r="F174" s="4">
        <f>Tabela12[[#This Row],[Tensão (Pa)]]/1000000</f>
        <v>0.26315909215004646</v>
      </c>
    </row>
    <row r="175" spans="1:6" x14ac:dyDescent="0.3">
      <c r="A175" s="1">
        <v>17.5</v>
      </c>
      <c r="B175" s="1">
        <v>1.4502999999999999</v>
      </c>
      <c r="C175" s="4">
        <f>Tabela12[[#This Row],[Alongamento (mm/mm)]]/$I$2</f>
        <v>2.9005999999999997E-2</v>
      </c>
      <c r="D175" s="1">
        <v>11.737</v>
      </c>
      <c r="E175" s="4">
        <f>Tabela12[[#This Row],[Força (N)]]/$I$5</f>
        <v>267026.73679995636</v>
      </c>
      <c r="F175" s="4">
        <f>Tabela12[[#This Row],[Tensão (Pa)]]/1000000</f>
        <v>0.26702673679995637</v>
      </c>
    </row>
    <row r="176" spans="1:6" x14ac:dyDescent="0.3">
      <c r="A176" s="1">
        <v>17.649999999999999</v>
      </c>
      <c r="B176" s="1">
        <v>1.4628000000000001</v>
      </c>
      <c r="C176" s="4">
        <f>Tabela12[[#This Row],[Alongamento (mm/mm)]]/$I$2</f>
        <v>2.9256000000000001E-2</v>
      </c>
      <c r="D176" s="1">
        <v>11.567</v>
      </c>
      <c r="E176" s="4">
        <f>Tabela12[[#This Row],[Força (N)]]/$I$5</f>
        <v>263159.09215004643</v>
      </c>
      <c r="F176" s="4">
        <f>Tabela12[[#This Row],[Tensão (Pa)]]/1000000</f>
        <v>0.26315909215004646</v>
      </c>
    </row>
    <row r="177" spans="1:6" x14ac:dyDescent="0.3">
      <c r="A177" s="1">
        <v>17.8</v>
      </c>
      <c r="B177" s="1">
        <v>1.4753000000000001</v>
      </c>
      <c r="C177" s="4">
        <f>Tabela12[[#This Row],[Alongamento (mm/mm)]]/$I$2</f>
        <v>2.9506000000000001E-2</v>
      </c>
      <c r="D177" s="1">
        <v>11.737</v>
      </c>
      <c r="E177" s="4">
        <f>Tabela12[[#This Row],[Força (N)]]/$I$5</f>
        <v>267026.73679995636</v>
      </c>
      <c r="F177" s="4">
        <f>Tabela12[[#This Row],[Tensão (Pa)]]/1000000</f>
        <v>0.26702673679995637</v>
      </c>
    </row>
    <row r="178" spans="1:6" x14ac:dyDescent="0.3">
      <c r="A178" s="1">
        <v>17.95</v>
      </c>
      <c r="B178" s="1">
        <v>1.4878</v>
      </c>
      <c r="C178" s="4">
        <f>Tabela12[[#This Row],[Alongamento (mm/mm)]]/$I$2</f>
        <v>2.9756000000000001E-2</v>
      </c>
      <c r="D178" s="1">
        <v>11.737</v>
      </c>
      <c r="E178" s="4">
        <f>Tabela12[[#This Row],[Força (N)]]/$I$5</f>
        <v>267026.73679995636</v>
      </c>
      <c r="F178" s="4">
        <f>Tabela12[[#This Row],[Tensão (Pa)]]/1000000</f>
        <v>0.26702673679995637</v>
      </c>
    </row>
    <row r="179" spans="1:6" x14ac:dyDescent="0.3">
      <c r="A179" s="1">
        <v>18.100000000000001</v>
      </c>
      <c r="B179" s="1">
        <v>1.5003</v>
      </c>
      <c r="C179" s="4">
        <f>Tabela12[[#This Row],[Alongamento (mm/mm)]]/$I$2</f>
        <v>3.0005999999999998E-2</v>
      </c>
      <c r="D179" s="1">
        <v>11.737</v>
      </c>
      <c r="E179" s="4">
        <f>Tabela12[[#This Row],[Força (N)]]/$I$5</f>
        <v>267026.73679995636</v>
      </c>
      <c r="F179" s="4">
        <f>Tabela12[[#This Row],[Tensão (Pa)]]/1000000</f>
        <v>0.26702673679995637</v>
      </c>
    </row>
    <row r="180" spans="1:6" x14ac:dyDescent="0.3">
      <c r="A180" s="1">
        <v>18.25</v>
      </c>
      <c r="B180" s="1">
        <v>1.5127999999999999</v>
      </c>
      <c r="C180" s="4">
        <f>Tabela12[[#This Row],[Alongamento (mm/mm)]]/$I$2</f>
        <v>3.0255999999999998E-2</v>
      </c>
      <c r="D180" s="1">
        <v>11.737</v>
      </c>
      <c r="E180" s="4">
        <f>Tabela12[[#This Row],[Força (N)]]/$I$5</f>
        <v>267026.73679995636</v>
      </c>
      <c r="F180" s="4">
        <f>Tabela12[[#This Row],[Tensão (Pa)]]/1000000</f>
        <v>0.26702673679995637</v>
      </c>
    </row>
    <row r="181" spans="1:6" x14ac:dyDescent="0.3">
      <c r="A181" s="1">
        <v>18.399999999999999</v>
      </c>
      <c r="B181" s="1">
        <v>1.5253000000000001</v>
      </c>
      <c r="C181" s="4">
        <f>Tabela12[[#This Row],[Alongamento (mm/mm)]]/$I$2</f>
        <v>3.0506000000000002E-2</v>
      </c>
      <c r="D181" s="1">
        <v>11.737</v>
      </c>
      <c r="E181" s="4">
        <f>Tabela12[[#This Row],[Força (N)]]/$I$5</f>
        <v>267026.73679995636</v>
      </c>
      <c r="F181" s="4">
        <f>Tabela12[[#This Row],[Tensão (Pa)]]/1000000</f>
        <v>0.26702673679995637</v>
      </c>
    </row>
    <row r="182" spans="1:6" x14ac:dyDescent="0.3">
      <c r="A182" s="1">
        <v>18.55</v>
      </c>
      <c r="B182" s="1">
        <v>1.5378000000000001</v>
      </c>
      <c r="C182" s="4">
        <f>Tabela12[[#This Row],[Alongamento (mm/mm)]]/$I$2</f>
        <v>3.0756000000000002E-2</v>
      </c>
      <c r="D182" s="1">
        <v>11.907</v>
      </c>
      <c r="E182" s="4">
        <f>Tabela12[[#This Row],[Força (N)]]/$I$5</f>
        <v>270894.38144986628</v>
      </c>
      <c r="F182" s="4">
        <f>Tabela12[[#This Row],[Tensão (Pa)]]/1000000</f>
        <v>0.27089438144986627</v>
      </c>
    </row>
    <row r="183" spans="1:6" x14ac:dyDescent="0.3">
      <c r="A183" s="1">
        <v>18.7</v>
      </c>
      <c r="B183" s="1">
        <v>1.5503</v>
      </c>
      <c r="C183" s="4">
        <f>Tabela12[[#This Row],[Alongamento (mm/mm)]]/$I$2</f>
        <v>3.1005999999999999E-2</v>
      </c>
      <c r="D183" s="1">
        <v>11.907</v>
      </c>
      <c r="E183" s="4">
        <f>Tabela12[[#This Row],[Força (N)]]/$I$5</f>
        <v>270894.38144986628</v>
      </c>
      <c r="F183" s="4">
        <f>Tabela12[[#This Row],[Tensão (Pa)]]/1000000</f>
        <v>0.27089438144986627</v>
      </c>
    </row>
    <row r="184" spans="1:6" x14ac:dyDescent="0.3">
      <c r="A184" s="1">
        <v>18.850000000000001</v>
      </c>
      <c r="B184" s="1">
        <v>1.5627</v>
      </c>
      <c r="C184" s="4">
        <f>Tabela12[[#This Row],[Alongamento (mm/mm)]]/$I$2</f>
        <v>3.1253999999999997E-2</v>
      </c>
      <c r="D184" s="1">
        <v>11.907</v>
      </c>
      <c r="E184" s="4">
        <f>Tabela12[[#This Row],[Força (N)]]/$I$5</f>
        <v>270894.38144986628</v>
      </c>
      <c r="F184" s="4">
        <f>Tabela12[[#This Row],[Tensão (Pa)]]/1000000</f>
        <v>0.27089438144986627</v>
      </c>
    </row>
    <row r="185" spans="1:6" x14ac:dyDescent="0.3">
      <c r="A185" s="1">
        <v>19</v>
      </c>
      <c r="B185" s="1">
        <v>1.5752999999999999</v>
      </c>
      <c r="C185" s="4">
        <f>Tabela12[[#This Row],[Alongamento (mm/mm)]]/$I$2</f>
        <v>3.1505999999999999E-2</v>
      </c>
      <c r="D185" s="1">
        <v>12.077</v>
      </c>
      <c r="E185" s="4">
        <f>Tabela12[[#This Row],[Força (N)]]/$I$5</f>
        <v>274762.02609977615</v>
      </c>
      <c r="F185" s="4">
        <f>Tabela12[[#This Row],[Tensão (Pa)]]/1000000</f>
        <v>0.27476202609977612</v>
      </c>
    </row>
    <row r="186" spans="1:6" x14ac:dyDescent="0.3">
      <c r="A186" s="1">
        <v>19.149999999999999</v>
      </c>
      <c r="B186" s="1">
        <v>1.5878000000000001</v>
      </c>
      <c r="C186" s="4">
        <f>Tabela12[[#This Row],[Alongamento (mm/mm)]]/$I$2</f>
        <v>3.1756E-2</v>
      </c>
      <c r="D186" s="1">
        <v>12.077</v>
      </c>
      <c r="E186" s="4">
        <f>Tabela12[[#This Row],[Força (N)]]/$I$5</f>
        <v>274762.02609977615</v>
      </c>
      <c r="F186" s="4">
        <f>Tabela12[[#This Row],[Tensão (Pa)]]/1000000</f>
        <v>0.27476202609977612</v>
      </c>
    </row>
    <row r="187" spans="1:6" x14ac:dyDescent="0.3">
      <c r="A187" s="1">
        <v>19.3</v>
      </c>
      <c r="B187" s="1">
        <v>1.6003000000000001</v>
      </c>
      <c r="C187" s="4">
        <f>Tabela12[[#This Row],[Alongamento (mm/mm)]]/$I$2</f>
        <v>3.2006E-2</v>
      </c>
      <c r="D187" s="1">
        <v>12.077</v>
      </c>
      <c r="E187" s="4">
        <f>Tabela12[[#This Row],[Força (N)]]/$I$5</f>
        <v>274762.02609977615</v>
      </c>
      <c r="F187" s="4">
        <f>Tabela12[[#This Row],[Tensão (Pa)]]/1000000</f>
        <v>0.27476202609977612</v>
      </c>
    </row>
    <row r="188" spans="1:6" x14ac:dyDescent="0.3">
      <c r="A188" s="1">
        <v>19.45</v>
      </c>
      <c r="B188" s="1">
        <v>1.6128</v>
      </c>
      <c r="C188" s="4">
        <f>Tabela12[[#This Row],[Alongamento (mm/mm)]]/$I$2</f>
        <v>3.2256E-2</v>
      </c>
      <c r="D188" s="1">
        <v>12.247</v>
      </c>
      <c r="E188" s="4">
        <f>Tabela12[[#This Row],[Força (N)]]/$I$5</f>
        <v>278629.67074968608</v>
      </c>
      <c r="F188" s="4">
        <f>Tabela12[[#This Row],[Tensão (Pa)]]/1000000</f>
        <v>0.27862967074968609</v>
      </c>
    </row>
    <row r="189" spans="1:6" x14ac:dyDescent="0.3">
      <c r="A189" s="1">
        <v>19.617000000000001</v>
      </c>
      <c r="B189" s="1">
        <v>1.6267</v>
      </c>
      <c r="C189" s="4">
        <f>Tabela12[[#This Row],[Alongamento (mm/mm)]]/$I$2</f>
        <v>3.2534E-2</v>
      </c>
      <c r="D189" s="1">
        <v>12.247</v>
      </c>
      <c r="E189" s="4">
        <f>Tabela12[[#This Row],[Força (N)]]/$I$5</f>
        <v>278629.67074968608</v>
      </c>
      <c r="F189" s="4">
        <f>Tabela12[[#This Row],[Tensão (Pa)]]/1000000</f>
        <v>0.27862967074968609</v>
      </c>
    </row>
    <row r="190" spans="1:6" x14ac:dyDescent="0.3">
      <c r="A190" s="1">
        <v>19.783000000000001</v>
      </c>
      <c r="B190" s="1">
        <v>1.6405000000000001</v>
      </c>
      <c r="C190" s="4">
        <f>Tabela12[[#This Row],[Alongamento (mm/mm)]]/$I$2</f>
        <v>3.2809999999999999E-2</v>
      </c>
      <c r="D190" s="1">
        <v>12.247</v>
      </c>
      <c r="E190" s="4">
        <f>Tabela12[[#This Row],[Força (N)]]/$I$5</f>
        <v>278629.67074968608</v>
      </c>
      <c r="F190" s="4">
        <f>Tabela12[[#This Row],[Tensão (Pa)]]/1000000</f>
        <v>0.27862967074968609</v>
      </c>
    </row>
    <row r="191" spans="1:6" x14ac:dyDescent="0.3">
      <c r="A191" s="1">
        <v>19.95</v>
      </c>
      <c r="B191" s="1">
        <v>1.6545000000000001</v>
      </c>
      <c r="C191" s="4">
        <f>Tabela12[[#This Row],[Alongamento (mm/mm)]]/$I$2</f>
        <v>3.3090000000000001E-2</v>
      </c>
      <c r="D191" s="1">
        <v>12.417</v>
      </c>
      <c r="E191" s="4">
        <f>Tabela12[[#This Row],[Força (N)]]/$I$5</f>
        <v>282497.315399596</v>
      </c>
      <c r="F191" s="4">
        <f>Tabela12[[#This Row],[Tensão (Pa)]]/1000000</f>
        <v>0.28249731539959599</v>
      </c>
    </row>
    <row r="192" spans="1:6" x14ac:dyDescent="0.3">
      <c r="A192" s="1">
        <v>20.117000000000001</v>
      </c>
      <c r="B192" s="1">
        <v>1.6682999999999999</v>
      </c>
      <c r="C192" s="4">
        <f>Tabela12[[#This Row],[Alongamento (mm/mm)]]/$I$2</f>
        <v>3.3366E-2</v>
      </c>
      <c r="D192" s="1">
        <v>12.417</v>
      </c>
      <c r="E192" s="4">
        <f>Tabela12[[#This Row],[Força (N)]]/$I$5</f>
        <v>282497.315399596</v>
      </c>
      <c r="F192" s="4">
        <f>Tabela12[[#This Row],[Tensão (Pa)]]/1000000</f>
        <v>0.28249731539959599</v>
      </c>
    </row>
    <row r="193" spans="1:6" x14ac:dyDescent="0.3">
      <c r="A193" s="1">
        <v>20.283000000000001</v>
      </c>
      <c r="B193" s="1">
        <v>1.6821999999999999</v>
      </c>
      <c r="C193" s="4">
        <f>Tabela12[[#This Row],[Alongamento (mm/mm)]]/$I$2</f>
        <v>3.3644E-2</v>
      </c>
      <c r="D193" s="1">
        <v>12.587</v>
      </c>
      <c r="E193" s="4">
        <f>Tabela12[[#This Row],[Força (N)]]/$I$5</f>
        <v>286364.96004950587</v>
      </c>
      <c r="F193" s="4">
        <f>Tabela12[[#This Row],[Tensão (Pa)]]/1000000</f>
        <v>0.28636496004950585</v>
      </c>
    </row>
    <row r="194" spans="1:6" x14ac:dyDescent="0.3">
      <c r="A194" s="1">
        <v>20.45</v>
      </c>
      <c r="B194" s="1">
        <v>1.6960999999999999</v>
      </c>
      <c r="C194" s="4">
        <f>Tabela12[[#This Row],[Alongamento (mm/mm)]]/$I$2</f>
        <v>3.3922000000000001E-2</v>
      </c>
      <c r="D194" s="1">
        <v>12.757</v>
      </c>
      <c r="E194" s="4">
        <f>Tabela12[[#This Row],[Força (N)]]/$I$5</f>
        <v>290232.6046994158</v>
      </c>
      <c r="F194" s="4">
        <f>Tabela12[[#This Row],[Tensão (Pa)]]/1000000</f>
        <v>0.29023260469941581</v>
      </c>
    </row>
    <row r="195" spans="1:6" x14ac:dyDescent="0.3">
      <c r="A195" s="1">
        <v>20.617000000000001</v>
      </c>
      <c r="B195" s="1">
        <v>1.71</v>
      </c>
      <c r="C195" s="4">
        <f>Tabela12[[#This Row],[Alongamento (mm/mm)]]/$I$2</f>
        <v>3.4200000000000001E-2</v>
      </c>
      <c r="D195" s="1">
        <v>13.268000000000001</v>
      </c>
      <c r="E195" s="4">
        <f>Tabela12[[#This Row],[Força (N)]]/$I$5</f>
        <v>301858.28950002737</v>
      </c>
      <c r="F195" s="4">
        <f>Tabela12[[#This Row],[Tensão (Pa)]]/1000000</f>
        <v>0.30185828950002735</v>
      </c>
    </row>
    <row r="196" spans="1:6" x14ac:dyDescent="0.3">
      <c r="A196" s="1">
        <v>20.783000000000001</v>
      </c>
      <c r="B196" s="1">
        <v>1.7239</v>
      </c>
      <c r="C196" s="4">
        <f>Tabela12[[#This Row],[Alongamento (mm/mm)]]/$I$2</f>
        <v>3.4478000000000002E-2</v>
      </c>
      <c r="D196" s="1">
        <v>13.778</v>
      </c>
      <c r="E196" s="4">
        <f>Tabela12[[#This Row],[Força (N)]]/$I$5</f>
        <v>313461.22344975709</v>
      </c>
      <c r="F196" s="4">
        <f>Tabela12[[#This Row],[Tensão (Pa)]]/1000000</f>
        <v>0.31346122344975708</v>
      </c>
    </row>
    <row r="197" spans="1:6" x14ac:dyDescent="0.3">
      <c r="A197" s="1">
        <v>20.882999999999999</v>
      </c>
      <c r="B197" s="1">
        <v>1.7322</v>
      </c>
      <c r="C197" s="4">
        <f>Tabela12[[#This Row],[Alongamento (mm/mm)]]/$I$2</f>
        <v>3.4644000000000001E-2</v>
      </c>
      <c r="D197" s="1">
        <v>14.458</v>
      </c>
      <c r="E197" s="4">
        <f>Tabela12[[#This Row],[Força (N)]]/$I$5</f>
        <v>328931.80204939668</v>
      </c>
      <c r="F197" s="4">
        <f>Tabela12[[#This Row],[Tensão (Pa)]]/1000000</f>
        <v>0.32893180204939665</v>
      </c>
    </row>
    <row r="198" spans="1:6" x14ac:dyDescent="0.3">
      <c r="A198" s="1">
        <v>21.033000000000001</v>
      </c>
      <c r="B198" s="1">
        <v>1.7446999999999999</v>
      </c>
      <c r="C198" s="4">
        <f>Tabela12[[#This Row],[Alongamento (mm/mm)]]/$I$2</f>
        <v>3.4894000000000001E-2</v>
      </c>
      <c r="D198" s="1">
        <v>15.138999999999999</v>
      </c>
      <c r="E198" s="4">
        <f>Tabela12[[#This Row],[Força (N)]]/$I$5</f>
        <v>344425.13149991812</v>
      </c>
      <c r="F198" s="4">
        <f>Tabela12[[#This Row],[Tensão (Pa)]]/1000000</f>
        <v>0.3444251314999181</v>
      </c>
    </row>
    <row r="199" spans="1:6" x14ac:dyDescent="0.3">
      <c r="A199" s="1">
        <v>21.2</v>
      </c>
      <c r="B199" s="1">
        <v>1.7585</v>
      </c>
      <c r="C199" s="4">
        <f>Tabela12[[#This Row],[Alongamento (mm/mm)]]/$I$2</f>
        <v>3.517E-2</v>
      </c>
      <c r="D199" s="1">
        <v>15.648999999999999</v>
      </c>
      <c r="E199" s="4">
        <f>Tabela12[[#This Row],[Força (N)]]/$I$5</f>
        <v>356028.06544964784</v>
      </c>
      <c r="F199" s="4">
        <f>Tabela12[[#This Row],[Tensão (Pa)]]/1000000</f>
        <v>0.35602806544964782</v>
      </c>
    </row>
    <row r="200" spans="1:6" x14ac:dyDescent="0.3">
      <c r="A200" s="1">
        <v>21.367000000000001</v>
      </c>
      <c r="B200" s="1">
        <v>1.7725</v>
      </c>
      <c r="C200" s="4">
        <f>Tabela12[[#This Row],[Alongamento (mm/mm)]]/$I$2</f>
        <v>3.5450000000000002E-2</v>
      </c>
      <c r="D200" s="1">
        <v>15.989000000000001</v>
      </c>
      <c r="E200" s="4">
        <f>Tabela12[[#This Row],[Força (N)]]/$I$5</f>
        <v>363763.35474946769</v>
      </c>
      <c r="F200" s="4">
        <f>Tabela12[[#This Row],[Tensão (Pa)]]/1000000</f>
        <v>0.36376335474946769</v>
      </c>
    </row>
    <row r="201" spans="1:6" x14ac:dyDescent="0.3">
      <c r="A201" s="1">
        <v>21.533000000000001</v>
      </c>
      <c r="B201" s="1">
        <v>1.7864</v>
      </c>
      <c r="C201" s="4">
        <f>Tabela12[[#This Row],[Alongamento (mm/mm)]]/$I$2</f>
        <v>3.5728000000000003E-2</v>
      </c>
      <c r="D201" s="1">
        <v>16.158999999999999</v>
      </c>
      <c r="E201" s="4">
        <f>Tabela12[[#This Row],[Força (N)]]/$I$5</f>
        <v>367630.99939937756</v>
      </c>
      <c r="F201" s="4">
        <f>Tabela12[[#This Row],[Tensão (Pa)]]/1000000</f>
        <v>0.36763099939937754</v>
      </c>
    </row>
    <row r="202" spans="1:6" x14ac:dyDescent="0.3">
      <c r="A202" s="1">
        <v>21.7</v>
      </c>
      <c r="B202" s="1">
        <v>1.8003</v>
      </c>
      <c r="C202" s="4">
        <f>Tabela12[[#This Row],[Alongamento (mm/mm)]]/$I$2</f>
        <v>3.6006000000000003E-2</v>
      </c>
      <c r="D202" s="1">
        <v>16.5</v>
      </c>
      <c r="E202" s="4">
        <f>Tabela12[[#This Row],[Força (N)]]/$I$5</f>
        <v>375389.03955007921</v>
      </c>
      <c r="F202" s="4">
        <f>Tabela12[[#This Row],[Tensão (Pa)]]/1000000</f>
        <v>0.37538903955007918</v>
      </c>
    </row>
    <row r="203" spans="1:6" x14ac:dyDescent="0.3">
      <c r="A203" s="1">
        <v>21.882999999999999</v>
      </c>
      <c r="B203" s="1">
        <v>1.8156000000000001</v>
      </c>
      <c r="C203" s="4">
        <f>Tabela12[[#This Row],[Alongamento (mm/mm)]]/$I$2</f>
        <v>3.6312000000000004E-2</v>
      </c>
      <c r="D203" s="1">
        <v>16.84</v>
      </c>
      <c r="E203" s="4">
        <f>Tabela12[[#This Row],[Força (N)]]/$I$5</f>
        <v>383124.32884989906</v>
      </c>
      <c r="F203" s="4">
        <f>Tabela12[[#This Row],[Tensão (Pa)]]/1000000</f>
        <v>0.38312432884989905</v>
      </c>
    </row>
    <row r="204" spans="1:6" x14ac:dyDescent="0.3">
      <c r="A204" s="1">
        <v>22.067</v>
      </c>
      <c r="B204" s="1">
        <v>1.8308</v>
      </c>
      <c r="C204" s="4">
        <f>Tabela12[[#This Row],[Alongamento (mm/mm)]]/$I$2</f>
        <v>3.6616000000000003E-2</v>
      </c>
      <c r="D204" s="1">
        <v>17.18</v>
      </c>
      <c r="E204" s="4">
        <f>Tabela12[[#This Row],[Força (N)]]/$I$5</f>
        <v>390859.61814971885</v>
      </c>
      <c r="F204" s="4">
        <f>Tabela12[[#This Row],[Tensão (Pa)]]/1000000</f>
        <v>0.39085961814971887</v>
      </c>
    </row>
    <row r="205" spans="1:6" x14ac:dyDescent="0.3">
      <c r="A205" s="1">
        <v>22.25</v>
      </c>
      <c r="B205" s="1">
        <v>1.8461000000000001</v>
      </c>
      <c r="C205" s="4">
        <f>Tabela12[[#This Row],[Alongamento (mm/mm)]]/$I$2</f>
        <v>3.6922000000000003E-2</v>
      </c>
      <c r="D205" s="1">
        <v>17.690000000000001</v>
      </c>
      <c r="E205" s="4">
        <f>Tabela12[[#This Row],[Força (N)]]/$I$5</f>
        <v>402462.55209944863</v>
      </c>
      <c r="F205" s="4">
        <f>Tabela12[[#This Row],[Tensão (Pa)]]/1000000</f>
        <v>0.40246255209944864</v>
      </c>
    </row>
    <row r="206" spans="1:6" x14ac:dyDescent="0.3">
      <c r="A206" s="1">
        <v>22.433</v>
      </c>
      <c r="B206" s="1">
        <v>1.8613</v>
      </c>
      <c r="C206" s="4">
        <f>Tabela12[[#This Row],[Alongamento (mm/mm)]]/$I$2</f>
        <v>3.7226000000000002E-2</v>
      </c>
      <c r="D206" s="1">
        <v>18.201000000000001</v>
      </c>
      <c r="E206" s="4">
        <f>Tabela12[[#This Row],[Força (N)]]/$I$5</f>
        <v>414088.23690006015</v>
      </c>
      <c r="F206" s="4">
        <f>Tabela12[[#This Row],[Tensão (Pa)]]/1000000</f>
        <v>0.41408823690006014</v>
      </c>
    </row>
    <row r="207" spans="1:6" x14ac:dyDescent="0.3">
      <c r="A207" s="1">
        <v>22.617000000000001</v>
      </c>
      <c r="B207" s="1">
        <v>1.8767</v>
      </c>
      <c r="C207" s="4">
        <f>Tabela12[[#This Row],[Alongamento (mm/mm)]]/$I$2</f>
        <v>3.7533999999999998E-2</v>
      </c>
      <c r="D207" s="1">
        <v>18.710999999999999</v>
      </c>
      <c r="E207" s="4">
        <f>Tabela12[[#This Row],[Força (N)]]/$I$5</f>
        <v>425691.17084978981</v>
      </c>
      <c r="F207" s="4">
        <f>Tabela12[[#This Row],[Tensão (Pa)]]/1000000</f>
        <v>0.4256911708497898</v>
      </c>
    </row>
    <row r="208" spans="1:6" x14ac:dyDescent="0.3">
      <c r="A208" s="1">
        <v>22.8</v>
      </c>
      <c r="B208" s="1">
        <v>1.8919999999999999</v>
      </c>
      <c r="C208" s="4">
        <f>Tabela12[[#This Row],[Alongamento (mm/mm)]]/$I$2</f>
        <v>3.7839999999999999E-2</v>
      </c>
      <c r="D208" s="1">
        <v>19.390999999999998</v>
      </c>
      <c r="E208" s="4">
        <f>Tabela12[[#This Row],[Força (N)]]/$I$5</f>
        <v>441161.74944942945</v>
      </c>
      <c r="F208" s="4">
        <f>Tabela12[[#This Row],[Tensão (Pa)]]/1000000</f>
        <v>0.44116174944942943</v>
      </c>
    </row>
    <row r="209" spans="1:6" x14ac:dyDescent="0.3">
      <c r="A209" s="1">
        <v>22.983000000000001</v>
      </c>
      <c r="B209" s="1">
        <v>1.9072</v>
      </c>
      <c r="C209" s="4">
        <f>Tabela12[[#This Row],[Alongamento (mm/mm)]]/$I$2</f>
        <v>3.8143999999999997E-2</v>
      </c>
      <c r="D209" s="1">
        <v>19.902000000000001</v>
      </c>
      <c r="E209" s="4">
        <f>Tabela12[[#This Row],[Força (N)]]/$I$5</f>
        <v>452787.43425004103</v>
      </c>
      <c r="F209" s="4">
        <f>Tabela12[[#This Row],[Tensão (Pa)]]/1000000</f>
        <v>0.45278743425004103</v>
      </c>
    </row>
    <row r="210" spans="1:6" x14ac:dyDescent="0.3">
      <c r="A210" s="1">
        <v>23.167000000000002</v>
      </c>
      <c r="B210" s="1">
        <v>1.9225000000000001</v>
      </c>
      <c r="C210" s="4">
        <f>Tabela12[[#This Row],[Alongamento (mm/mm)]]/$I$2</f>
        <v>3.8450000000000005E-2</v>
      </c>
      <c r="D210" s="1">
        <v>20.411999999999999</v>
      </c>
      <c r="E210" s="4">
        <f>Tabela12[[#This Row],[Força (N)]]/$I$5</f>
        <v>464390.36819977069</v>
      </c>
      <c r="F210" s="4">
        <f>Tabela12[[#This Row],[Tensão (Pa)]]/1000000</f>
        <v>0.4643903681997707</v>
      </c>
    </row>
    <row r="211" spans="1:6" x14ac:dyDescent="0.3">
      <c r="A211" s="1">
        <v>23.35</v>
      </c>
      <c r="B211" s="1">
        <v>1.9378</v>
      </c>
      <c r="C211" s="4">
        <f>Tabela12[[#This Row],[Alongamento (mm/mm)]]/$I$2</f>
        <v>3.8755999999999999E-2</v>
      </c>
      <c r="D211" s="1">
        <v>20.751999999999999</v>
      </c>
      <c r="E211" s="4">
        <f>Tabela12[[#This Row],[Força (N)]]/$I$5</f>
        <v>472125.65749959054</v>
      </c>
      <c r="F211" s="4">
        <f>Tabela12[[#This Row],[Tensão (Pa)]]/1000000</f>
        <v>0.47212565749959051</v>
      </c>
    </row>
    <row r="212" spans="1:6" x14ac:dyDescent="0.3">
      <c r="A212" s="1">
        <v>23.483000000000001</v>
      </c>
      <c r="B212" s="1">
        <v>1.9489000000000001</v>
      </c>
      <c r="C212" s="4">
        <f>Tabela12[[#This Row],[Alongamento (mm/mm)]]/$I$2</f>
        <v>3.8977999999999999E-2</v>
      </c>
      <c r="D212" s="1">
        <v>21.431999999999999</v>
      </c>
      <c r="E212" s="4">
        <f>Tabela12[[#This Row],[Força (N)]]/$I$5</f>
        <v>487596.23609923013</v>
      </c>
      <c r="F212" s="4">
        <f>Tabela12[[#This Row],[Tensão (Pa)]]/1000000</f>
        <v>0.48759623609923014</v>
      </c>
    </row>
    <row r="213" spans="1:6" x14ac:dyDescent="0.3">
      <c r="A213" s="1">
        <v>23.667000000000002</v>
      </c>
      <c r="B213" s="1">
        <v>1.9641999999999999</v>
      </c>
      <c r="C213" s="4">
        <f>Tabela12[[#This Row],[Alongamento (mm/mm)]]/$I$2</f>
        <v>3.9283999999999999E-2</v>
      </c>
      <c r="D213" s="1">
        <v>21.943000000000001</v>
      </c>
      <c r="E213" s="4">
        <f>Tabela12[[#This Row],[Força (N)]]/$I$5</f>
        <v>499221.92089984176</v>
      </c>
      <c r="F213" s="4">
        <f>Tabela12[[#This Row],[Tensão (Pa)]]/1000000</f>
        <v>0.49922192089984174</v>
      </c>
    </row>
    <row r="214" spans="1:6" x14ac:dyDescent="0.3">
      <c r="A214" s="1">
        <v>23.85</v>
      </c>
      <c r="B214" s="1">
        <v>1.9794</v>
      </c>
      <c r="C214" s="4">
        <f>Tabela12[[#This Row],[Alongamento (mm/mm)]]/$I$2</f>
        <v>3.9587999999999998E-2</v>
      </c>
      <c r="D214" s="1">
        <v>22.452999999999999</v>
      </c>
      <c r="E214" s="4">
        <f>Tabela12[[#This Row],[Força (N)]]/$I$5</f>
        <v>510824.85484957142</v>
      </c>
      <c r="F214" s="4">
        <f>Tabela12[[#This Row],[Tensão (Pa)]]/1000000</f>
        <v>0.51082485484957141</v>
      </c>
    </row>
    <row r="215" spans="1:6" x14ac:dyDescent="0.3">
      <c r="A215" s="1">
        <v>23.983000000000001</v>
      </c>
      <c r="B215" s="1">
        <v>1.9904999999999999</v>
      </c>
      <c r="C215" s="4">
        <f>Tabela12[[#This Row],[Alongamento (mm/mm)]]/$I$2</f>
        <v>3.9809999999999998E-2</v>
      </c>
      <c r="D215" s="1">
        <v>23.132999999999999</v>
      </c>
      <c r="E215" s="4">
        <f>Tabela12[[#This Row],[Força (N)]]/$I$5</f>
        <v>526295.43344921106</v>
      </c>
      <c r="F215" s="4">
        <f>Tabela12[[#This Row],[Tensão (Pa)]]/1000000</f>
        <v>0.52629543344921104</v>
      </c>
    </row>
    <row r="216" spans="1:6" x14ac:dyDescent="0.3">
      <c r="A216" s="1">
        <v>24.167000000000002</v>
      </c>
      <c r="B216" s="1">
        <v>2.0057999999999998</v>
      </c>
      <c r="C216" s="4">
        <f>Tabela12[[#This Row],[Alongamento (mm/mm)]]/$I$2</f>
        <v>4.0115999999999999E-2</v>
      </c>
      <c r="D216" s="1">
        <v>23.814</v>
      </c>
      <c r="E216" s="4">
        <f>Tabela12[[#This Row],[Força (N)]]/$I$5</f>
        <v>541788.76289973257</v>
      </c>
      <c r="F216" s="4">
        <f>Tabela12[[#This Row],[Tensão (Pa)]]/1000000</f>
        <v>0.54178876289973255</v>
      </c>
    </row>
    <row r="217" spans="1:6" x14ac:dyDescent="0.3">
      <c r="A217" s="1">
        <v>24.35</v>
      </c>
      <c r="B217" s="1">
        <v>2.0211000000000001</v>
      </c>
      <c r="C217" s="4">
        <f>Tabela12[[#This Row],[Alongamento (mm/mm)]]/$I$2</f>
        <v>4.0422E-2</v>
      </c>
      <c r="D217" s="1">
        <v>24.494</v>
      </c>
      <c r="E217" s="4">
        <f>Tabela12[[#This Row],[Força (N)]]/$I$5</f>
        <v>557259.34149937215</v>
      </c>
      <c r="F217" s="4">
        <f>Tabela12[[#This Row],[Tensão (Pa)]]/1000000</f>
        <v>0.55725934149937217</v>
      </c>
    </row>
    <row r="218" spans="1:6" x14ac:dyDescent="0.3">
      <c r="A218" s="1">
        <v>24.483000000000001</v>
      </c>
      <c r="B218" s="1">
        <v>2.0323000000000002</v>
      </c>
      <c r="C218" s="4">
        <f>Tabela12[[#This Row],[Alongamento (mm/mm)]]/$I$2</f>
        <v>4.0646000000000002E-2</v>
      </c>
      <c r="D218" s="1">
        <v>25.175000000000001</v>
      </c>
      <c r="E218" s="4">
        <f>Tabela12[[#This Row],[Força (N)]]/$I$5</f>
        <v>572752.67094989365</v>
      </c>
      <c r="F218" s="4">
        <f>Tabela12[[#This Row],[Tensão (Pa)]]/1000000</f>
        <v>0.57275267094989368</v>
      </c>
    </row>
    <row r="219" spans="1:6" x14ac:dyDescent="0.3">
      <c r="A219" s="1">
        <v>24.617000000000001</v>
      </c>
      <c r="B219" s="1">
        <v>2.0432999999999999</v>
      </c>
      <c r="C219" s="4">
        <f>Tabela12[[#This Row],[Alongamento (mm/mm)]]/$I$2</f>
        <v>4.0866E-2</v>
      </c>
      <c r="D219" s="1">
        <v>25.855</v>
      </c>
      <c r="E219" s="4">
        <f>Tabela12[[#This Row],[Força (N)]]/$I$5</f>
        <v>588223.24954953324</v>
      </c>
      <c r="F219" s="4">
        <f>Tabela12[[#This Row],[Tensão (Pa)]]/1000000</f>
        <v>0.5882232495495332</v>
      </c>
    </row>
    <row r="220" spans="1:6" x14ac:dyDescent="0.3">
      <c r="A220" s="1">
        <v>24.716999999999999</v>
      </c>
      <c r="B220" s="1">
        <v>2.0516000000000001</v>
      </c>
      <c r="C220" s="4">
        <f>Tabela12[[#This Row],[Alongamento (mm/mm)]]/$I$2</f>
        <v>4.1031999999999999E-2</v>
      </c>
      <c r="D220" s="1">
        <v>26.535</v>
      </c>
      <c r="E220" s="4">
        <f>Tabela12[[#This Row],[Força (N)]]/$I$5</f>
        <v>603693.82814917283</v>
      </c>
      <c r="F220" s="4">
        <f>Tabela12[[#This Row],[Tensão (Pa)]]/1000000</f>
        <v>0.60369382814917283</v>
      </c>
    </row>
    <row r="221" spans="1:6" x14ac:dyDescent="0.3">
      <c r="A221" s="1">
        <v>24.817</v>
      </c>
      <c r="B221" s="1">
        <v>2.06</v>
      </c>
      <c r="C221" s="4">
        <f>Tabela12[[#This Row],[Alongamento (mm/mm)]]/$I$2</f>
        <v>4.1200000000000001E-2</v>
      </c>
      <c r="D221" s="1">
        <v>27.216000000000001</v>
      </c>
      <c r="E221" s="4">
        <f>Tabela12[[#This Row],[Força (N)]]/$I$5</f>
        <v>619187.15759969433</v>
      </c>
      <c r="F221" s="4">
        <f>Tabela12[[#This Row],[Tensão (Pa)]]/1000000</f>
        <v>0.61918715759969434</v>
      </c>
    </row>
    <row r="222" spans="1:6" x14ac:dyDescent="0.3">
      <c r="A222" s="1">
        <v>24.917000000000002</v>
      </c>
      <c r="B222" s="1">
        <v>2.0682999999999998</v>
      </c>
      <c r="C222" s="4">
        <f>Tabela12[[#This Row],[Alongamento (mm/mm)]]/$I$2</f>
        <v>4.1365999999999993E-2</v>
      </c>
      <c r="D222" s="1">
        <v>27.896000000000001</v>
      </c>
      <c r="E222" s="4">
        <f>Tabela12[[#This Row],[Força (N)]]/$I$5</f>
        <v>634657.73619933391</v>
      </c>
      <c r="F222" s="4">
        <f>Tabela12[[#This Row],[Tensão (Pa)]]/1000000</f>
        <v>0.63465773619933397</v>
      </c>
    </row>
    <row r="223" spans="1:6" x14ac:dyDescent="0.3">
      <c r="A223" s="1">
        <v>25.016999999999999</v>
      </c>
      <c r="B223" s="1">
        <v>2.0767000000000002</v>
      </c>
      <c r="C223" s="4">
        <f>Tabela12[[#This Row],[Alongamento (mm/mm)]]/$I$2</f>
        <v>4.1534000000000001E-2</v>
      </c>
      <c r="D223" s="1">
        <v>28.577000000000002</v>
      </c>
      <c r="E223" s="4">
        <f>Tabela12[[#This Row],[Força (N)]]/$I$5</f>
        <v>650151.06564985542</v>
      </c>
      <c r="F223" s="4">
        <f>Tabela12[[#This Row],[Tensão (Pa)]]/1000000</f>
        <v>0.65015106564985536</v>
      </c>
    </row>
    <row r="224" spans="1:6" x14ac:dyDescent="0.3">
      <c r="A224" s="1">
        <v>25.1</v>
      </c>
      <c r="B224" s="1">
        <v>2.0836000000000001</v>
      </c>
      <c r="C224" s="4">
        <f>Tabela12[[#This Row],[Alongamento (mm/mm)]]/$I$2</f>
        <v>4.1672000000000001E-2</v>
      </c>
      <c r="D224" s="1">
        <v>29.257000000000001</v>
      </c>
      <c r="E224" s="4">
        <f>Tabela12[[#This Row],[Força (N)]]/$I$5</f>
        <v>665621.644249495</v>
      </c>
      <c r="F224" s="4">
        <f>Tabela12[[#This Row],[Tensão (Pa)]]/1000000</f>
        <v>0.66562164424949499</v>
      </c>
    </row>
    <row r="225" spans="1:6" x14ac:dyDescent="0.3">
      <c r="A225" s="1">
        <v>25.2</v>
      </c>
      <c r="B225" s="1">
        <v>2.0918999999999999</v>
      </c>
      <c r="C225" s="4">
        <f>Tabela12[[#This Row],[Alongamento (mm/mm)]]/$I$2</f>
        <v>4.1838E-2</v>
      </c>
      <c r="D225" s="1">
        <v>29.937000000000001</v>
      </c>
      <c r="E225" s="4">
        <f>Tabela12[[#This Row],[Força (N)]]/$I$5</f>
        <v>681092.22284913471</v>
      </c>
      <c r="F225" s="4">
        <f>Tabela12[[#This Row],[Tensão (Pa)]]/1000000</f>
        <v>0.68109222284913473</v>
      </c>
    </row>
    <row r="226" spans="1:6" x14ac:dyDescent="0.3">
      <c r="A226" s="1">
        <v>25.3</v>
      </c>
      <c r="B226" s="1">
        <v>2.1002000000000001</v>
      </c>
      <c r="C226" s="4">
        <f>Tabela12[[#This Row],[Alongamento (mm/mm)]]/$I$2</f>
        <v>4.2004E-2</v>
      </c>
      <c r="D226" s="1">
        <v>30.617999999999999</v>
      </c>
      <c r="E226" s="4">
        <f>Tabela12[[#This Row],[Força (N)]]/$I$5</f>
        <v>696585.55229965609</v>
      </c>
      <c r="F226" s="4">
        <f>Tabela12[[#This Row],[Tensão (Pa)]]/1000000</f>
        <v>0.69658555229965613</v>
      </c>
    </row>
    <row r="227" spans="1:6" x14ac:dyDescent="0.3">
      <c r="A227" s="1">
        <v>25.382999999999999</v>
      </c>
      <c r="B227" s="1">
        <v>2.1072000000000002</v>
      </c>
      <c r="C227" s="4">
        <f>Tabela12[[#This Row],[Alongamento (mm/mm)]]/$I$2</f>
        <v>4.2144000000000001E-2</v>
      </c>
      <c r="D227" s="1">
        <v>31.297999999999998</v>
      </c>
      <c r="E227" s="4">
        <f>Tabela12[[#This Row],[Força (N)]]/$I$5</f>
        <v>712056.13089929568</v>
      </c>
      <c r="F227" s="4">
        <f>Tabela12[[#This Row],[Tensão (Pa)]]/1000000</f>
        <v>0.71205613089929565</v>
      </c>
    </row>
    <row r="228" spans="1:6" x14ac:dyDescent="0.3">
      <c r="A228" s="1">
        <v>25.483000000000001</v>
      </c>
      <c r="B228" s="1">
        <v>2.1154999999999999</v>
      </c>
      <c r="C228" s="4">
        <f>Tabela12[[#This Row],[Alongamento (mm/mm)]]/$I$2</f>
        <v>4.231E-2</v>
      </c>
      <c r="D228" s="1">
        <v>31.978999999999999</v>
      </c>
      <c r="E228" s="4">
        <f>Tabela12[[#This Row],[Força (N)]]/$I$5</f>
        <v>727549.46034981718</v>
      </c>
      <c r="F228" s="4">
        <f>Tabela12[[#This Row],[Tensão (Pa)]]/1000000</f>
        <v>0.72754946034981716</v>
      </c>
    </row>
    <row r="229" spans="1:6" x14ac:dyDescent="0.3">
      <c r="A229" s="1">
        <v>25.567</v>
      </c>
      <c r="B229" s="1">
        <v>2.1225000000000001</v>
      </c>
      <c r="C229" s="4">
        <f>Tabela12[[#This Row],[Alongamento (mm/mm)]]/$I$2</f>
        <v>4.2450000000000002E-2</v>
      </c>
      <c r="D229" s="1">
        <v>32.658999999999999</v>
      </c>
      <c r="E229" s="4">
        <f>Tabela12[[#This Row],[Força (N)]]/$I$5</f>
        <v>743020.03894945676</v>
      </c>
      <c r="F229" s="4">
        <f>Tabela12[[#This Row],[Tensão (Pa)]]/1000000</f>
        <v>0.74302003894945678</v>
      </c>
    </row>
    <row r="230" spans="1:6" x14ac:dyDescent="0.3">
      <c r="A230" s="1">
        <v>25.65</v>
      </c>
      <c r="B230" s="1">
        <v>2.1294</v>
      </c>
      <c r="C230" s="4">
        <f>Tabela12[[#This Row],[Alongamento (mm/mm)]]/$I$2</f>
        <v>4.2588000000000001E-2</v>
      </c>
      <c r="D230" s="1">
        <v>33.338999999999999</v>
      </c>
      <c r="E230" s="4">
        <f>Tabela12[[#This Row],[Força (N)]]/$I$5</f>
        <v>758490.61754909647</v>
      </c>
      <c r="F230" s="4">
        <f>Tabela12[[#This Row],[Tensão (Pa)]]/1000000</f>
        <v>0.75849061754909641</v>
      </c>
    </row>
    <row r="231" spans="1:6" x14ac:dyDescent="0.3">
      <c r="A231" s="1">
        <v>25.75</v>
      </c>
      <c r="B231" s="1">
        <v>2.1377000000000002</v>
      </c>
      <c r="C231" s="4">
        <f>Tabela12[[#This Row],[Alongamento (mm/mm)]]/$I$2</f>
        <v>4.2754E-2</v>
      </c>
      <c r="D231" s="1">
        <v>34.020000000000003</v>
      </c>
      <c r="E231" s="4">
        <f>Tabela12[[#This Row],[Força (N)]]/$I$5</f>
        <v>773983.94699961797</v>
      </c>
      <c r="F231" s="4">
        <f>Tabela12[[#This Row],[Tensão (Pa)]]/1000000</f>
        <v>0.77398394699961792</v>
      </c>
    </row>
    <row r="232" spans="1:6" x14ac:dyDescent="0.3">
      <c r="A232" s="1">
        <v>25.832999999999998</v>
      </c>
      <c r="B232" s="1">
        <v>2.1446999999999998</v>
      </c>
      <c r="C232" s="4">
        <f>Tabela12[[#This Row],[Alongamento (mm/mm)]]/$I$2</f>
        <v>4.2893999999999995E-2</v>
      </c>
      <c r="D232" s="1">
        <v>34.700000000000003</v>
      </c>
      <c r="E232" s="4">
        <f>Tabela12[[#This Row],[Força (N)]]/$I$5</f>
        <v>789454.52559925755</v>
      </c>
      <c r="F232" s="4">
        <f>Tabela12[[#This Row],[Tensão (Pa)]]/1000000</f>
        <v>0.78945452559925755</v>
      </c>
    </row>
    <row r="233" spans="1:6" x14ac:dyDescent="0.3">
      <c r="A233" s="1">
        <v>25.917000000000002</v>
      </c>
      <c r="B233" s="1">
        <v>2.1516999999999999</v>
      </c>
      <c r="C233" s="4">
        <f>Tabela12[[#This Row],[Alongamento (mm/mm)]]/$I$2</f>
        <v>4.3033999999999996E-2</v>
      </c>
      <c r="D233" s="1">
        <v>35.381</v>
      </c>
      <c r="E233" s="4">
        <f>Tabela12[[#This Row],[Força (N)]]/$I$5</f>
        <v>804947.85504977894</v>
      </c>
      <c r="F233" s="4">
        <f>Tabela12[[#This Row],[Tensão (Pa)]]/1000000</f>
        <v>0.80494785504977895</v>
      </c>
    </row>
    <row r="234" spans="1:6" x14ac:dyDescent="0.3">
      <c r="A234" s="1">
        <v>26</v>
      </c>
      <c r="B234" s="1">
        <v>2.1587000000000001</v>
      </c>
      <c r="C234" s="4">
        <f>Tabela12[[#This Row],[Alongamento (mm/mm)]]/$I$2</f>
        <v>4.3174000000000004E-2</v>
      </c>
      <c r="D234" s="1">
        <v>36.061</v>
      </c>
      <c r="E234" s="4">
        <f>Tabela12[[#This Row],[Força (N)]]/$I$5</f>
        <v>820418.43364941864</v>
      </c>
      <c r="F234" s="4">
        <f>Tabela12[[#This Row],[Tensão (Pa)]]/1000000</f>
        <v>0.82041843364941869</v>
      </c>
    </row>
    <row r="235" spans="1:6" x14ac:dyDescent="0.3">
      <c r="A235" s="1">
        <v>26.082999999999998</v>
      </c>
      <c r="B235" s="1">
        <v>2.1656</v>
      </c>
      <c r="C235" s="4">
        <f>Tabela12[[#This Row],[Alongamento (mm/mm)]]/$I$2</f>
        <v>4.3311999999999996E-2</v>
      </c>
      <c r="D235" s="1">
        <v>36.741</v>
      </c>
      <c r="E235" s="4">
        <f>Tabela12[[#This Row],[Força (N)]]/$I$5</f>
        <v>835889.01224905823</v>
      </c>
      <c r="F235" s="4">
        <f>Tabela12[[#This Row],[Tensão (Pa)]]/1000000</f>
        <v>0.83588901224905821</v>
      </c>
    </row>
    <row r="236" spans="1:6" x14ac:dyDescent="0.3">
      <c r="A236" s="1">
        <v>26.167000000000002</v>
      </c>
      <c r="B236" s="1">
        <v>2.1724999999999999</v>
      </c>
      <c r="C236" s="4">
        <f>Tabela12[[#This Row],[Alongamento (mm/mm)]]/$I$2</f>
        <v>4.3449999999999996E-2</v>
      </c>
      <c r="D236" s="1">
        <v>37.421999999999997</v>
      </c>
      <c r="E236" s="4">
        <f>Tabela12[[#This Row],[Força (N)]]/$I$5</f>
        <v>851382.34169957961</v>
      </c>
      <c r="F236" s="4">
        <f>Tabela12[[#This Row],[Tensão (Pa)]]/1000000</f>
        <v>0.8513823416995796</v>
      </c>
    </row>
    <row r="237" spans="1:6" x14ac:dyDescent="0.3">
      <c r="A237" s="1">
        <v>26.25</v>
      </c>
      <c r="B237" s="1">
        <v>2.1795</v>
      </c>
      <c r="C237" s="4">
        <f>Tabela12[[#This Row],[Alongamento (mm/mm)]]/$I$2</f>
        <v>4.3589999999999997E-2</v>
      </c>
      <c r="D237" s="1">
        <v>38.101999999999997</v>
      </c>
      <c r="E237" s="4">
        <f>Tabela12[[#This Row],[Força (N)]]/$I$5</f>
        <v>866852.9202992192</v>
      </c>
      <c r="F237" s="4">
        <f>Tabela12[[#This Row],[Tensão (Pa)]]/1000000</f>
        <v>0.86685292029921923</v>
      </c>
    </row>
    <row r="238" spans="1:6" x14ac:dyDescent="0.3">
      <c r="A238" s="1">
        <v>26.332999999999998</v>
      </c>
      <c r="B238" s="1">
        <v>2.1863999999999999</v>
      </c>
      <c r="C238" s="4">
        <f>Tabela12[[#This Row],[Alongamento (mm/mm)]]/$I$2</f>
        <v>4.3727999999999996E-2</v>
      </c>
      <c r="D238" s="1">
        <v>38.783000000000001</v>
      </c>
      <c r="E238" s="4">
        <f>Tabela12[[#This Row],[Força (N)]]/$I$5</f>
        <v>882346.24974974082</v>
      </c>
      <c r="F238" s="4">
        <f>Tabela12[[#This Row],[Tensão (Pa)]]/1000000</f>
        <v>0.88234624974974085</v>
      </c>
    </row>
    <row r="239" spans="1:6" x14ac:dyDescent="0.3">
      <c r="A239" s="1">
        <v>26.433</v>
      </c>
      <c r="B239" s="1">
        <v>2.1947999999999999</v>
      </c>
      <c r="C239" s="4">
        <f>Tabela12[[#This Row],[Alongamento (mm/mm)]]/$I$2</f>
        <v>4.3895999999999998E-2</v>
      </c>
      <c r="D239" s="1">
        <v>39.463000000000001</v>
      </c>
      <c r="E239" s="4">
        <f>Tabela12[[#This Row],[Força (N)]]/$I$5</f>
        <v>897816.8283493804</v>
      </c>
      <c r="F239" s="4">
        <f>Tabela12[[#This Row],[Tensão (Pa)]]/1000000</f>
        <v>0.89781682834938037</v>
      </c>
    </row>
    <row r="240" spans="1:6" x14ac:dyDescent="0.3">
      <c r="A240" s="1">
        <v>26.533000000000001</v>
      </c>
      <c r="B240" s="1">
        <v>2.2031000000000001</v>
      </c>
      <c r="C240" s="4">
        <f>Tabela12[[#This Row],[Alongamento (mm/mm)]]/$I$2</f>
        <v>4.4062000000000004E-2</v>
      </c>
      <c r="D240" s="1">
        <v>40.143000000000001</v>
      </c>
      <c r="E240" s="4">
        <f>Tabela12[[#This Row],[Força (N)]]/$I$5</f>
        <v>913287.40694901999</v>
      </c>
      <c r="F240" s="4">
        <f>Tabela12[[#This Row],[Tensão (Pa)]]/1000000</f>
        <v>0.91328740694902</v>
      </c>
    </row>
    <row r="241" spans="1:6" x14ac:dyDescent="0.3">
      <c r="A241" s="1">
        <v>26.617000000000001</v>
      </c>
      <c r="B241" s="1">
        <v>2.2099000000000002</v>
      </c>
      <c r="C241" s="4">
        <f>Tabela12[[#This Row],[Alongamento (mm/mm)]]/$I$2</f>
        <v>4.4198000000000001E-2</v>
      </c>
      <c r="D241" s="1">
        <v>40.823999999999998</v>
      </c>
      <c r="E241" s="4">
        <f>Tabela12[[#This Row],[Força (N)]]/$I$5</f>
        <v>928780.73639954138</v>
      </c>
      <c r="F241" s="4">
        <f>Tabela12[[#This Row],[Tensão (Pa)]]/1000000</f>
        <v>0.9287807363995414</v>
      </c>
    </row>
    <row r="242" spans="1:6" x14ac:dyDescent="0.3">
      <c r="A242" s="1">
        <v>26.716999999999999</v>
      </c>
      <c r="B242" s="1">
        <v>2.2183000000000002</v>
      </c>
      <c r="C242" s="4">
        <f>Tabela12[[#This Row],[Alongamento (mm/mm)]]/$I$2</f>
        <v>4.4366000000000003E-2</v>
      </c>
      <c r="D242" s="1">
        <v>41.503999999999998</v>
      </c>
      <c r="E242" s="4">
        <f>Tabela12[[#This Row],[Força (N)]]/$I$5</f>
        <v>944251.31499918108</v>
      </c>
      <c r="F242" s="4">
        <f>Tabela12[[#This Row],[Tensão (Pa)]]/1000000</f>
        <v>0.94425131499918102</v>
      </c>
    </row>
    <row r="243" spans="1:6" x14ac:dyDescent="0.3">
      <c r="A243" s="1">
        <v>26.817</v>
      </c>
      <c r="B243" s="1">
        <v>2.2267000000000001</v>
      </c>
      <c r="C243" s="4">
        <f>Tabela12[[#This Row],[Alongamento (mm/mm)]]/$I$2</f>
        <v>4.4534000000000004E-2</v>
      </c>
      <c r="D243" s="1">
        <v>42.185000000000002</v>
      </c>
      <c r="E243" s="4">
        <f>Tabela12[[#This Row],[Força (N)]]/$I$5</f>
        <v>959744.64444970258</v>
      </c>
      <c r="F243" s="4">
        <f>Tabela12[[#This Row],[Tensão (Pa)]]/1000000</f>
        <v>0.95974464444970253</v>
      </c>
    </row>
    <row r="244" spans="1:6" x14ac:dyDescent="0.3">
      <c r="A244" s="1">
        <v>26.917000000000002</v>
      </c>
      <c r="B244" s="1">
        <v>2.2349999999999999</v>
      </c>
      <c r="C244" s="4">
        <f>Tabela12[[#This Row],[Alongamento (mm/mm)]]/$I$2</f>
        <v>4.4699999999999997E-2</v>
      </c>
      <c r="D244" s="1">
        <v>42.865000000000002</v>
      </c>
      <c r="E244" s="4">
        <f>Tabela12[[#This Row],[Força (N)]]/$I$5</f>
        <v>975215.22304934228</v>
      </c>
      <c r="F244" s="4">
        <f>Tabela12[[#This Row],[Tensão (Pa)]]/1000000</f>
        <v>0.97521522304934227</v>
      </c>
    </row>
    <row r="245" spans="1:6" x14ac:dyDescent="0.3">
      <c r="A245" s="1">
        <v>27</v>
      </c>
      <c r="B245" s="1">
        <v>2.242</v>
      </c>
      <c r="C245" s="4">
        <f>Tabela12[[#This Row],[Alongamento (mm/mm)]]/$I$2</f>
        <v>4.4839999999999998E-2</v>
      </c>
      <c r="D245" s="1">
        <v>43.545000000000002</v>
      </c>
      <c r="E245" s="4">
        <f>Tabela12[[#This Row],[Força (N)]]/$I$5</f>
        <v>990685.80164898187</v>
      </c>
      <c r="F245" s="4">
        <f>Tabela12[[#This Row],[Tensão (Pa)]]/1000000</f>
        <v>0.9906858016489819</v>
      </c>
    </row>
    <row r="246" spans="1:6" x14ac:dyDescent="0.3">
      <c r="A246" s="1">
        <v>27.067</v>
      </c>
      <c r="B246" s="1">
        <v>2.2475000000000001</v>
      </c>
      <c r="C246" s="4">
        <f>Tabela12[[#This Row],[Alongamento (mm/mm)]]/$I$2</f>
        <v>4.4950000000000004E-2</v>
      </c>
      <c r="D246" s="1">
        <v>44.225999999999999</v>
      </c>
      <c r="E246" s="4">
        <f>Tabela12[[#This Row],[Força (N)]]/$I$5</f>
        <v>1006179.1310995033</v>
      </c>
      <c r="F246" s="4">
        <f>Tabela12[[#This Row],[Tensão (Pa)]]/1000000</f>
        <v>1.0061791310995032</v>
      </c>
    </row>
    <row r="247" spans="1:6" x14ac:dyDescent="0.3">
      <c r="A247" s="1">
        <v>27.15</v>
      </c>
      <c r="B247" s="1">
        <v>2.2544</v>
      </c>
      <c r="C247" s="4">
        <f>Tabela12[[#This Row],[Alongamento (mm/mm)]]/$I$2</f>
        <v>4.5087999999999996E-2</v>
      </c>
      <c r="D247" s="1">
        <v>44.905999999999999</v>
      </c>
      <c r="E247" s="4">
        <f>Tabela12[[#This Row],[Força (N)]]/$I$5</f>
        <v>1021649.7096991428</v>
      </c>
      <c r="F247" s="4">
        <f>Tabela12[[#This Row],[Tensão (Pa)]]/1000000</f>
        <v>1.0216497096991428</v>
      </c>
    </row>
    <row r="248" spans="1:6" x14ac:dyDescent="0.3">
      <c r="A248" s="1">
        <v>27.216999999999999</v>
      </c>
      <c r="B248" s="1">
        <v>2.2599999999999998</v>
      </c>
      <c r="C248" s="4">
        <f>Tabela12[[#This Row],[Alongamento (mm/mm)]]/$I$2</f>
        <v>4.5199999999999997E-2</v>
      </c>
      <c r="D248" s="1">
        <v>45.585999999999999</v>
      </c>
      <c r="E248" s="4">
        <f>Tabela12[[#This Row],[Força (N)]]/$I$5</f>
        <v>1037120.2882987825</v>
      </c>
      <c r="F248" s="4">
        <f>Tabela12[[#This Row],[Tensão (Pa)]]/1000000</f>
        <v>1.0371202882987824</v>
      </c>
    </row>
    <row r="249" spans="1:6" x14ac:dyDescent="0.3">
      <c r="A249" s="1">
        <v>27.3</v>
      </c>
      <c r="B249" s="1">
        <v>2.2669999999999999</v>
      </c>
      <c r="C249" s="4">
        <f>Tabela12[[#This Row],[Alongamento (mm/mm)]]/$I$2</f>
        <v>4.5339999999999998E-2</v>
      </c>
      <c r="D249" s="1">
        <v>46.267000000000003</v>
      </c>
      <c r="E249" s="4">
        <f>Tabela12[[#This Row],[Força (N)]]/$I$5</f>
        <v>1052613.617749304</v>
      </c>
      <c r="F249" s="4">
        <f>Tabela12[[#This Row],[Tensão (Pa)]]/1000000</f>
        <v>1.052613617749304</v>
      </c>
    </row>
    <row r="250" spans="1:6" x14ac:dyDescent="0.3">
      <c r="A250" s="1">
        <v>27.367000000000001</v>
      </c>
      <c r="B250" s="1">
        <v>2.2725</v>
      </c>
      <c r="C250" s="4">
        <f>Tabela12[[#This Row],[Alongamento (mm/mm)]]/$I$2</f>
        <v>4.5449999999999997E-2</v>
      </c>
      <c r="D250" s="1">
        <v>46.947000000000003</v>
      </c>
      <c r="E250" s="4">
        <f>Tabela12[[#This Row],[Força (N)]]/$I$5</f>
        <v>1068084.1963489437</v>
      </c>
      <c r="F250" s="4">
        <f>Tabela12[[#This Row],[Tensão (Pa)]]/1000000</f>
        <v>1.0680841963489438</v>
      </c>
    </row>
    <row r="251" spans="1:6" x14ac:dyDescent="0.3">
      <c r="A251" s="1">
        <v>27.45</v>
      </c>
      <c r="B251" s="1">
        <v>2.2795000000000001</v>
      </c>
      <c r="C251" s="4">
        <f>Tabela12[[#This Row],[Alongamento (mm/mm)]]/$I$2</f>
        <v>4.5589999999999999E-2</v>
      </c>
      <c r="D251" s="1">
        <v>47.628</v>
      </c>
      <c r="E251" s="4">
        <f>Tabela12[[#This Row],[Força (N)]]/$I$5</f>
        <v>1083577.5257994651</v>
      </c>
      <c r="F251" s="4">
        <f>Tabela12[[#This Row],[Tensão (Pa)]]/1000000</f>
        <v>1.0835775257994651</v>
      </c>
    </row>
    <row r="252" spans="1:6" x14ac:dyDescent="0.3">
      <c r="A252" s="1">
        <v>27.516999999999999</v>
      </c>
      <c r="B252" s="1">
        <v>2.2850000000000001</v>
      </c>
      <c r="C252" s="4">
        <f>Tabela12[[#This Row],[Alongamento (mm/mm)]]/$I$2</f>
        <v>4.5700000000000005E-2</v>
      </c>
      <c r="D252" s="1">
        <v>48.308</v>
      </c>
      <c r="E252" s="4">
        <f>Tabela12[[#This Row],[Força (N)]]/$I$5</f>
        <v>1099048.1043991046</v>
      </c>
      <c r="F252" s="4">
        <f>Tabela12[[#This Row],[Tensão (Pa)]]/1000000</f>
        <v>1.0990481043991045</v>
      </c>
    </row>
    <row r="253" spans="1:6" x14ac:dyDescent="0.3">
      <c r="A253" s="1">
        <v>27.582999999999998</v>
      </c>
      <c r="B253" s="1">
        <v>2.2905000000000002</v>
      </c>
      <c r="C253" s="4">
        <f>Tabela12[[#This Row],[Alongamento (mm/mm)]]/$I$2</f>
        <v>4.5810000000000003E-2</v>
      </c>
      <c r="D253" s="1">
        <v>48.988</v>
      </c>
      <c r="E253" s="4">
        <f>Tabela12[[#This Row],[Força (N)]]/$I$5</f>
        <v>1114518.6829987443</v>
      </c>
      <c r="F253" s="4">
        <f>Tabela12[[#This Row],[Tensão (Pa)]]/1000000</f>
        <v>1.1145186829987443</v>
      </c>
    </row>
    <row r="254" spans="1:6" x14ac:dyDescent="0.3">
      <c r="A254" s="1">
        <v>27.667000000000002</v>
      </c>
      <c r="B254" s="1">
        <v>2.2974999999999999</v>
      </c>
      <c r="C254" s="4">
        <f>Tabela12[[#This Row],[Alongamento (mm/mm)]]/$I$2</f>
        <v>4.5949999999999998E-2</v>
      </c>
      <c r="D254" s="1">
        <v>49.668999999999997</v>
      </c>
      <c r="E254" s="4">
        <f>Tabela12[[#This Row],[Força (N)]]/$I$5</f>
        <v>1130012.0124492657</v>
      </c>
      <c r="F254" s="4">
        <f>Tabela12[[#This Row],[Tensão (Pa)]]/1000000</f>
        <v>1.1300120124492656</v>
      </c>
    </row>
    <row r="255" spans="1:6" x14ac:dyDescent="0.3">
      <c r="A255" s="1">
        <v>27.733000000000001</v>
      </c>
      <c r="B255" s="1">
        <v>2.3029999999999999</v>
      </c>
      <c r="C255" s="4">
        <f>Tabela12[[#This Row],[Alongamento (mm/mm)]]/$I$2</f>
        <v>4.6059999999999997E-2</v>
      </c>
      <c r="D255" s="1">
        <v>50.348999999999997</v>
      </c>
      <c r="E255" s="4">
        <f>Tabela12[[#This Row],[Força (N)]]/$I$5</f>
        <v>1145482.5910489054</v>
      </c>
      <c r="F255" s="4">
        <f>Tabela12[[#This Row],[Tensão (Pa)]]/1000000</f>
        <v>1.1454825910489055</v>
      </c>
    </row>
    <row r="256" spans="1:6" x14ac:dyDescent="0.3">
      <c r="A256" s="1">
        <v>27.817</v>
      </c>
      <c r="B256" s="1">
        <v>2.31</v>
      </c>
      <c r="C256" s="4">
        <f>Tabela12[[#This Row],[Alongamento (mm/mm)]]/$I$2</f>
        <v>4.6199999999999998E-2</v>
      </c>
      <c r="D256" s="1">
        <v>51.03</v>
      </c>
      <c r="E256" s="4">
        <f>Tabela12[[#This Row],[Força (N)]]/$I$5</f>
        <v>1160975.9204994268</v>
      </c>
      <c r="F256" s="4">
        <f>Tabela12[[#This Row],[Tensão (Pa)]]/1000000</f>
        <v>1.1609759204994268</v>
      </c>
    </row>
    <row r="257" spans="1:6" x14ac:dyDescent="0.3">
      <c r="A257" s="1">
        <v>27.882999999999999</v>
      </c>
      <c r="B257" s="1">
        <v>2.3155999999999999</v>
      </c>
      <c r="C257" s="4">
        <f>Tabela12[[#This Row],[Alongamento (mm/mm)]]/$I$2</f>
        <v>4.6311999999999999E-2</v>
      </c>
      <c r="D257" s="1">
        <v>51.71</v>
      </c>
      <c r="E257" s="4">
        <f>Tabela12[[#This Row],[Força (N)]]/$I$5</f>
        <v>1176446.4990990665</v>
      </c>
      <c r="F257" s="4">
        <f>Tabela12[[#This Row],[Tensão (Pa)]]/1000000</f>
        <v>1.1764464990990664</v>
      </c>
    </row>
    <row r="258" spans="1:6" x14ac:dyDescent="0.3">
      <c r="A258" s="1">
        <v>27.95</v>
      </c>
      <c r="B258" s="1">
        <v>2.3210999999999999</v>
      </c>
      <c r="C258" s="4">
        <f>Tabela12[[#This Row],[Alongamento (mm/mm)]]/$I$2</f>
        <v>4.6421999999999998E-2</v>
      </c>
      <c r="D258" s="1">
        <v>52.39</v>
      </c>
      <c r="E258" s="4">
        <f>Tabela12[[#This Row],[Força (N)]]/$I$5</f>
        <v>1191917.0776987062</v>
      </c>
      <c r="F258" s="4">
        <f>Tabela12[[#This Row],[Tensão (Pa)]]/1000000</f>
        <v>1.1919170776987063</v>
      </c>
    </row>
    <row r="259" spans="1:6" x14ac:dyDescent="0.3">
      <c r="A259" s="1">
        <v>28.033000000000001</v>
      </c>
      <c r="B259" s="1">
        <v>2.3279999999999998</v>
      </c>
      <c r="C259" s="4">
        <f>Tabela12[[#This Row],[Alongamento (mm/mm)]]/$I$2</f>
        <v>4.6559999999999997E-2</v>
      </c>
      <c r="D259" s="1">
        <v>53.070999999999998</v>
      </c>
      <c r="E259" s="4">
        <f>Tabela12[[#This Row],[Força (N)]]/$I$5</f>
        <v>1207410.4071492276</v>
      </c>
      <c r="F259" s="4">
        <f>Tabela12[[#This Row],[Tensão (Pa)]]/1000000</f>
        <v>1.2074104071492275</v>
      </c>
    </row>
    <row r="260" spans="1:6" x14ac:dyDescent="0.3">
      <c r="A260" s="1">
        <v>28.1</v>
      </c>
      <c r="B260" s="1">
        <v>2.3334999999999999</v>
      </c>
      <c r="C260" s="4">
        <f>Tabela12[[#This Row],[Alongamento (mm/mm)]]/$I$2</f>
        <v>4.6669999999999996E-2</v>
      </c>
      <c r="D260" s="1">
        <v>53.750999999999998</v>
      </c>
      <c r="E260" s="4">
        <f>Tabela12[[#This Row],[Força (N)]]/$I$5</f>
        <v>1222880.985748867</v>
      </c>
      <c r="F260" s="4">
        <f>Tabela12[[#This Row],[Tensão (Pa)]]/1000000</f>
        <v>1.2228809857488669</v>
      </c>
    </row>
    <row r="261" spans="1:6" x14ac:dyDescent="0.3">
      <c r="A261" s="1">
        <v>28.167000000000002</v>
      </c>
      <c r="B261" s="1">
        <v>2.3391999999999999</v>
      </c>
      <c r="C261" s="4">
        <f>Tabela12[[#This Row],[Alongamento (mm/mm)]]/$I$2</f>
        <v>4.6783999999999999E-2</v>
      </c>
      <c r="D261" s="1">
        <v>54.432000000000002</v>
      </c>
      <c r="E261" s="4">
        <f>Tabela12[[#This Row],[Força (N)]]/$I$5</f>
        <v>1238374.3151993887</v>
      </c>
      <c r="F261" s="4">
        <f>Tabela12[[#This Row],[Tensão (Pa)]]/1000000</f>
        <v>1.2383743151993887</v>
      </c>
    </row>
    <row r="262" spans="1:6" x14ac:dyDescent="0.3">
      <c r="A262" s="1">
        <v>28.233000000000001</v>
      </c>
      <c r="B262" s="1">
        <v>2.3448000000000002</v>
      </c>
      <c r="C262" s="4">
        <f>Tabela12[[#This Row],[Alongamento (mm/mm)]]/$I$2</f>
        <v>4.6896000000000007E-2</v>
      </c>
      <c r="D262" s="1">
        <v>55.112000000000002</v>
      </c>
      <c r="E262" s="4">
        <f>Tabela12[[#This Row],[Força (N)]]/$I$5</f>
        <v>1253844.8937990284</v>
      </c>
      <c r="F262" s="4">
        <f>Tabela12[[#This Row],[Tensão (Pa)]]/1000000</f>
        <v>1.2538448937990283</v>
      </c>
    </row>
    <row r="263" spans="1:6" x14ac:dyDescent="0.3">
      <c r="A263" s="1">
        <v>28.317</v>
      </c>
      <c r="B263" s="1">
        <v>2.3517000000000001</v>
      </c>
      <c r="C263" s="4">
        <f>Tabela12[[#This Row],[Alongamento (mm/mm)]]/$I$2</f>
        <v>4.7033999999999999E-2</v>
      </c>
      <c r="D263" s="1">
        <v>55.792000000000002</v>
      </c>
      <c r="E263" s="4">
        <f>Tabela12[[#This Row],[Força (N)]]/$I$5</f>
        <v>1269315.4723986678</v>
      </c>
      <c r="F263" s="4">
        <f>Tabela12[[#This Row],[Tensão (Pa)]]/1000000</f>
        <v>1.2693154723986679</v>
      </c>
    </row>
    <row r="264" spans="1:6" x14ac:dyDescent="0.3">
      <c r="A264" s="1">
        <v>28.382999999999999</v>
      </c>
      <c r="B264" s="1">
        <v>2.3573</v>
      </c>
      <c r="C264" s="4">
        <f>Tabela12[[#This Row],[Alongamento (mm/mm)]]/$I$2</f>
        <v>4.7146E-2</v>
      </c>
      <c r="D264" s="1">
        <v>56.472999999999999</v>
      </c>
      <c r="E264" s="4">
        <f>Tabela12[[#This Row],[Força (N)]]/$I$5</f>
        <v>1284808.8018491892</v>
      </c>
      <c r="F264" s="4">
        <f>Tabela12[[#This Row],[Tensão (Pa)]]/1000000</f>
        <v>1.2848088018491892</v>
      </c>
    </row>
    <row r="265" spans="1:6" x14ac:dyDescent="0.3">
      <c r="A265" s="1">
        <v>28.45</v>
      </c>
      <c r="B265" s="1">
        <v>2.3626999999999998</v>
      </c>
      <c r="C265" s="4">
        <f>Tabela12[[#This Row],[Alongamento (mm/mm)]]/$I$2</f>
        <v>4.7253999999999997E-2</v>
      </c>
      <c r="D265" s="1">
        <v>57.152999999999999</v>
      </c>
      <c r="E265" s="4">
        <f>Tabela12[[#This Row],[Força (N)]]/$I$5</f>
        <v>1300279.3804488289</v>
      </c>
      <c r="F265" s="4">
        <f>Tabela12[[#This Row],[Tensão (Pa)]]/1000000</f>
        <v>1.3002793804488288</v>
      </c>
    </row>
    <row r="266" spans="1:6" x14ac:dyDescent="0.3">
      <c r="A266" s="1">
        <v>28.5</v>
      </c>
      <c r="B266" s="1">
        <v>2.3668999999999998</v>
      </c>
      <c r="C266" s="4">
        <f>Tabela12[[#This Row],[Alongamento (mm/mm)]]/$I$2</f>
        <v>4.7337999999999998E-2</v>
      </c>
      <c r="D266" s="1">
        <v>57.834000000000003</v>
      </c>
      <c r="E266" s="4">
        <f>Tabela12[[#This Row],[Força (N)]]/$I$5</f>
        <v>1315772.7098993505</v>
      </c>
      <c r="F266" s="4">
        <f>Tabela12[[#This Row],[Tensão (Pa)]]/1000000</f>
        <v>1.3157727098993506</v>
      </c>
    </row>
    <row r="267" spans="1:6" x14ac:dyDescent="0.3">
      <c r="A267" s="1">
        <v>28.567</v>
      </c>
      <c r="B267" s="1">
        <v>2.3725000000000001</v>
      </c>
      <c r="C267" s="4">
        <f>Tabela12[[#This Row],[Alongamento (mm/mm)]]/$I$2</f>
        <v>4.7449999999999999E-2</v>
      </c>
      <c r="D267" s="1">
        <v>58.514000000000003</v>
      </c>
      <c r="E267" s="4">
        <f>Tabela12[[#This Row],[Força (N)]]/$I$5</f>
        <v>1331243.28849899</v>
      </c>
      <c r="F267" s="4">
        <f>Tabela12[[#This Row],[Tensão (Pa)]]/1000000</f>
        <v>1.33124328849899</v>
      </c>
    </row>
    <row r="268" spans="1:6" x14ac:dyDescent="0.3">
      <c r="A268" s="1">
        <v>28.632999999999999</v>
      </c>
      <c r="B268" s="1">
        <v>2.3780000000000001</v>
      </c>
      <c r="C268" s="4">
        <f>Tabela12[[#This Row],[Alongamento (mm/mm)]]/$I$2</f>
        <v>4.7560000000000005E-2</v>
      </c>
      <c r="D268" s="1">
        <v>59.194000000000003</v>
      </c>
      <c r="E268" s="4">
        <f>Tabela12[[#This Row],[Força (N)]]/$I$5</f>
        <v>1346713.8670986297</v>
      </c>
      <c r="F268" s="4">
        <f>Tabela12[[#This Row],[Tensão (Pa)]]/1000000</f>
        <v>1.3467138670986296</v>
      </c>
    </row>
    <row r="269" spans="1:6" x14ac:dyDescent="0.3">
      <c r="A269" s="1">
        <v>28.7</v>
      </c>
      <c r="B269" s="1">
        <v>2.3835999999999999</v>
      </c>
      <c r="C269" s="4">
        <f>Tabela12[[#This Row],[Alongamento (mm/mm)]]/$I$2</f>
        <v>4.7671999999999999E-2</v>
      </c>
      <c r="D269" s="1">
        <v>59.875</v>
      </c>
      <c r="E269" s="4">
        <f>Tabela12[[#This Row],[Força (N)]]/$I$5</f>
        <v>1362207.1965491511</v>
      </c>
      <c r="F269" s="4">
        <f>Tabela12[[#This Row],[Tensão (Pa)]]/1000000</f>
        <v>1.3622071965491511</v>
      </c>
    </row>
    <row r="270" spans="1:6" x14ac:dyDescent="0.3">
      <c r="A270" s="1">
        <v>28.766999999999999</v>
      </c>
      <c r="B270" s="1">
        <v>2.3892000000000002</v>
      </c>
      <c r="C270" s="4">
        <f>Tabela12[[#This Row],[Alongamento (mm/mm)]]/$I$2</f>
        <v>4.7784000000000007E-2</v>
      </c>
      <c r="D270" s="1">
        <v>60.725000000000001</v>
      </c>
      <c r="E270" s="4">
        <f>Tabela12[[#This Row],[Força (N)]]/$I$5</f>
        <v>1381545.4197987006</v>
      </c>
      <c r="F270" s="4">
        <f>Tabela12[[#This Row],[Tensão (Pa)]]/1000000</f>
        <v>1.3815454197987007</v>
      </c>
    </row>
    <row r="271" spans="1:6" x14ac:dyDescent="0.3">
      <c r="A271" s="1">
        <v>28.832999999999998</v>
      </c>
      <c r="B271" s="1">
        <v>2.3946999999999998</v>
      </c>
      <c r="C271" s="4">
        <f>Tabela12[[#This Row],[Alongamento (mm/mm)]]/$I$2</f>
        <v>4.7893999999999999E-2</v>
      </c>
      <c r="D271" s="1">
        <v>61.405999999999999</v>
      </c>
      <c r="E271" s="4">
        <f>Tabela12[[#This Row],[Força (N)]]/$I$5</f>
        <v>1397038.749249222</v>
      </c>
      <c r="F271" s="4">
        <f>Tabela12[[#This Row],[Tensão (Pa)]]/1000000</f>
        <v>1.397038749249222</v>
      </c>
    </row>
    <row r="272" spans="1:6" x14ac:dyDescent="0.3">
      <c r="A272" s="1">
        <v>28.9</v>
      </c>
      <c r="B272" s="1">
        <v>2.4003000000000001</v>
      </c>
      <c r="C272" s="4">
        <f>Tabela12[[#This Row],[Alongamento (mm/mm)]]/$I$2</f>
        <v>4.8006E-2</v>
      </c>
      <c r="D272" s="1">
        <v>62.085999999999999</v>
      </c>
      <c r="E272" s="4">
        <f>Tabela12[[#This Row],[Força (N)]]/$I$5</f>
        <v>1412509.3278488617</v>
      </c>
      <c r="F272" s="4">
        <f>Tabela12[[#This Row],[Tensão (Pa)]]/1000000</f>
        <v>1.4125093278488616</v>
      </c>
    </row>
    <row r="273" spans="1:6" x14ac:dyDescent="0.3">
      <c r="A273" s="1">
        <v>28.95</v>
      </c>
      <c r="B273" s="1">
        <v>2.4043999999999999</v>
      </c>
      <c r="C273" s="4">
        <f>Tabela12[[#This Row],[Alongamento (mm/mm)]]/$I$2</f>
        <v>4.8087999999999999E-2</v>
      </c>
      <c r="D273" s="1">
        <v>62.765999999999998</v>
      </c>
      <c r="E273" s="4">
        <f>Tabela12[[#This Row],[Força (N)]]/$I$5</f>
        <v>1427979.9064485014</v>
      </c>
      <c r="F273" s="4">
        <f>Tabela12[[#This Row],[Tensão (Pa)]]/1000000</f>
        <v>1.4279799064485015</v>
      </c>
    </row>
    <row r="274" spans="1:6" x14ac:dyDescent="0.3">
      <c r="A274" s="1">
        <v>29.016999999999999</v>
      </c>
      <c r="B274" s="1">
        <v>2.4098999999999999</v>
      </c>
      <c r="C274" s="4">
        <f>Tabela12[[#This Row],[Alongamento (mm/mm)]]/$I$2</f>
        <v>4.8197999999999998E-2</v>
      </c>
      <c r="D274" s="1">
        <v>63.447000000000003</v>
      </c>
      <c r="E274" s="4">
        <f>Tabela12[[#This Row],[Força (N)]]/$I$5</f>
        <v>1443473.2358990228</v>
      </c>
      <c r="F274" s="4">
        <f>Tabela12[[#This Row],[Tensão (Pa)]]/1000000</f>
        <v>1.4434732358990228</v>
      </c>
    </row>
    <row r="275" spans="1:6" x14ac:dyDescent="0.3">
      <c r="A275" s="1">
        <v>29.067</v>
      </c>
      <c r="B275" s="1">
        <v>2.4142000000000001</v>
      </c>
      <c r="C275" s="4">
        <f>Tabela12[[#This Row],[Alongamento (mm/mm)]]/$I$2</f>
        <v>4.8284000000000001E-2</v>
      </c>
      <c r="D275" s="1">
        <v>64.126999999999995</v>
      </c>
      <c r="E275" s="4">
        <f>Tabela12[[#This Row],[Força (N)]]/$I$5</f>
        <v>1458943.8144986623</v>
      </c>
      <c r="F275" s="4">
        <f>Tabela12[[#This Row],[Tensão (Pa)]]/1000000</f>
        <v>1.4589438144986622</v>
      </c>
    </row>
    <row r="276" spans="1:6" x14ac:dyDescent="0.3">
      <c r="A276" s="1">
        <v>29.132999999999999</v>
      </c>
      <c r="B276" s="1">
        <v>2.4197000000000002</v>
      </c>
      <c r="C276" s="4">
        <f>Tabela12[[#This Row],[Alongamento (mm/mm)]]/$I$2</f>
        <v>4.8394000000000006E-2</v>
      </c>
      <c r="D276" s="1">
        <v>64.808000000000007</v>
      </c>
      <c r="E276" s="4">
        <f>Tabela12[[#This Row],[Força (N)]]/$I$5</f>
        <v>1474437.1439491841</v>
      </c>
      <c r="F276" s="4">
        <f>Tabela12[[#This Row],[Tensão (Pa)]]/1000000</f>
        <v>1.4744371439491841</v>
      </c>
    </row>
    <row r="277" spans="1:6" x14ac:dyDescent="0.3">
      <c r="A277" s="1">
        <v>29.183</v>
      </c>
      <c r="B277" s="1">
        <v>2.4239000000000002</v>
      </c>
      <c r="C277" s="4">
        <f>Tabela12[[#This Row],[Alongamento (mm/mm)]]/$I$2</f>
        <v>4.8478E-2</v>
      </c>
      <c r="D277" s="1">
        <v>65.488</v>
      </c>
      <c r="E277" s="4">
        <f>Tabela12[[#This Row],[Força (N)]]/$I$5</f>
        <v>1489907.7225488236</v>
      </c>
      <c r="F277" s="4">
        <f>Tabela12[[#This Row],[Tensão (Pa)]]/1000000</f>
        <v>1.4899077225488235</v>
      </c>
    </row>
    <row r="278" spans="1:6" x14ac:dyDescent="0.3">
      <c r="A278" s="1">
        <v>29.25</v>
      </c>
      <c r="B278" s="1">
        <v>2.4295</v>
      </c>
      <c r="C278" s="4">
        <f>Tabela12[[#This Row],[Alongamento (mm/mm)]]/$I$2</f>
        <v>4.8590000000000001E-2</v>
      </c>
      <c r="D278" s="1">
        <v>66.168000000000006</v>
      </c>
      <c r="E278" s="4">
        <f>Tabela12[[#This Row],[Força (N)]]/$I$5</f>
        <v>1505378.3011484633</v>
      </c>
      <c r="F278" s="4">
        <f>Tabela12[[#This Row],[Tensão (Pa)]]/1000000</f>
        <v>1.5053783011484634</v>
      </c>
    </row>
    <row r="279" spans="1:6" x14ac:dyDescent="0.3">
      <c r="A279" s="1">
        <v>29.3</v>
      </c>
      <c r="B279" s="1">
        <v>2.4336000000000002</v>
      </c>
      <c r="C279" s="4">
        <f>Tabela12[[#This Row],[Alongamento (mm/mm)]]/$I$2</f>
        <v>4.8672000000000007E-2</v>
      </c>
      <c r="D279" s="1">
        <v>66.849000000000004</v>
      </c>
      <c r="E279" s="4">
        <f>Tabela12[[#This Row],[Força (N)]]/$I$5</f>
        <v>1520871.6305989847</v>
      </c>
      <c r="F279" s="4">
        <f>Tabela12[[#This Row],[Tensão (Pa)]]/1000000</f>
        <v>1.5208716305989847</v>
      </c>
    </row>
    <row r="280" spans="1:6" x14ac:dyDescent="0.3">
      <c r="A280" s="1">
        <v>29.367000000000001</v>
      </c>
      <c r="B280" s="1">
        <v>2.4390999999999998</v>
      </c>
      <c r="C280" s="4">
        <f>Tabela12[[#This Row],[Alongamento (mm/mm)]]/$I$2</f>
        <v>4.8781999999999999E-2</v>
      </c>
      <c r="D280" s="1">
        <v>67.698999999999998</v>
      </c>
      <c r="E280" s="4">
        <f>Tabela12[[#This Row],[Força (N)]]/$I$5</f>
        <v>1540209.8538485342</v>
      </c>
      <c r="F280" s="4">
        <f>Tabela12[[#This Row],[Tensão (Pa)]]/1000000</f>
        <v>1.5402098538485343</v>
      </c>
    </row>
    <row r="281" spans="1:6" x14ac:dyDescent="0.3">
      <c r="A281" s="1">
        <v>29.433</v>
      </c>
      <c r="B281" s="1">
        <v>2.4447000000000001</v>
      </c>
      <c r="C281" s="4">
        <f>Tabela12[[#This Row],[Alongamento (mm/mm)]]/$I$2</f>
        <v>4.8894E-2</v>
      </c>
      <c r="D281" s="1">
        <v>68.38</v>
      </c>
      <c r="E281" s="4">
        <f>Tabela12[[#This Row],[Força (N)]]/$I$5</f>
        <v>1555703.1832990556</v>
      </c>
      <c r="F281" s="4">
        <f>Tabela12[[#This Row],[Tensão (Pa)]]/1000000</f>
        <v>1.5557031832990555</v>
      </c>
    </row>
    <row r="282" spans="1:6" x14ac:dyDescent="0.3">
      <c r="A282" s="1">
        <v>29.483000000000001</v>
      </c>
      <c r="B282" s="1">
        <v>2.4489000000000001</v>
      </c>
      <c r="C282" s="4">
        <f>Tabela12[[#This Row],[Alongamento (mm/mm)]]/$I$2</f>
        <v>4.8978000000000001E-2</v>
      </c>
      <c r="D282" s="1">
        <v>69.06</v>
      </c>
      <c r="E282" s="4">
        <f>Tabela12[[#This Row],[Força (N)]]/$I$5</f>
        <v>1571173.7618986953</v>
      </c>
      <c r="F282" s="4">
        <f>Tabela12[[#This Row],[Tensão (Pa)]]/1000000</f>
        <v>1.5711737618986952</v>
      </c>
    </row>
    <row r="283" spans="1:6" x14ac:dyDescent="0.3">
      <c r="A283" s="1">
        <v>29.533000000000001</v>
      </c>
      <c r="B283" s="1">
        <v>2.4531000000000001</v>
      </c>
      <c r="C283" s="4">
        <f>Tabela12[[#This Row],[Alongamento (mm/mm)]]/$I$2</f>
        <v>4.9062000000000001E-2</v>
      </c>
      <c r="D283" s="1">
        <v>69.741</v>
      </c>
      <c r="E283" s="4">
        <f>Tabela12[[#This Row],[Força (N)]]/$I$5</f>
        <v>1586667.0913492166</v>
      </c>
      <c r="F283" s="4">
        <f>Tabela12[[#This Row],[Tensão (Pa)]]/1000000</f>
        <v>1.5866670913492167</v>
      </c>
    </row>
    <row r="284" spans="1:6" x14ac:dyDescent="0.3">
      <c r="A284" s="1">
        <v>29.6</v>
      </c>
      <c r="B284" s="1">
        <v>2.4586000000000001</v>
      </c>
      <c r="C284" s="4">
        <f>Tabela12[[#This Row],[Alongamento (mm/mm)]]/$I$2</f>
        <v>4.9172E-2</v>
      </c>
      <c r="D284" s="1">
        <v>70.590999999999994</v>
      </c>
      <c r="E284" s="4">
        <f>Tabela12[[#This Row],[Força (N)]]/$I$5</f>
        <v>1606005.3145987662</v>
      </c>
      <c r="F284" s="4">
        <f>Tabela12[[#This Row],[Tensão (Pa)]]/1000000</f>
        <v>1.6060053145987661</v>
      </c>
    </row>
    <row r="285" spans="1:6" x14ac:dyDescent="0.3">
      <c r="A285" s="1">
        <v>29.667000000000002</v>
      </c>
      <c r="B285" s="1">
        <v>2.4641999999999999</v>
      </c>
      <c r="C285" s="4">
        <f>Tabela12[[#This Row],[Alongamento (mm/mm)]]/$I$2</f>
        <v>4.9284000000000001E-2</v>
      </c>
      <c r="D285" s="1">
        <v>71.271000000000001</v>
      </c>
      <c r="E285" s="4">
        <f>Tabela12[[#This Row],[Força (N)]]/$I$5</f>
        <v>1621475.8931984059</v>
      </c>
      <c r="F285" s="4">
        <f>Tabela12[[#This Row],[Tensão (Pa)]]/1000000</f>
        <v>1.6214758931984059</v>
      </c>
    </row>
    <row r="286" spans="1:6" x14ac:dyDescent="0.3">
      <c r="A286" s="1">
        <v>29.716999999999999</v>
      </c>
      <c r="B286" s="1">
        <v>2.4683999999999999</v>
      </c>
      <c r="C286" s="4">
        <f>Tabela12[[#This Row],[Alongamento (mm/mm)]]/$I$2</f>
        <v>4.9367999999999995E-2</v>
      </c>
      <c r="D286" s="1">
        <v>71.951999999999998</v>
      </c>
      <c r="E286" s="4">
        <f>Tabela12[[#This Row],[Força (N)]]/$I$5</f>
        <v>1636969.2226489272</v>
      </c>
      <c r="F286" s="4">
        <f>Tabela12[[#This Row],[Tensão (Pa)]]/1000000</f>
        <v>1.6369692226489272</v>
      </c>
    </row>
    <row r="287" spans="1:6" x14ac:dyDescent="0.3">
      <c r="A287" s="1">
        <v>29.766999999999999</v>
      </c>
      <c r="B287" s="1">
        <v>2.4725000000000001</v>
      </c>
      <c r="C287" s="4">
        <f>Tabela12[[#This Row],[Alongamento (mm/mm)]]/$I$2</f>
        <v>4.9450000000000001E-2</v>
      </c>
      <c r="D287" s="1">
        <v>72.632000000000005</v>
      </c>
      <c r="E287" s="4">
        <f>Tabela12[[#This Row],[Força (N)]]/$I$5</f>
        <v>1652439.8012485669</v>
      </c>
      <c r="F287" s="4">
        <f>Tabela12[[#This Row],[Tensão (Pa)]]/1000000</f>
        <v>1.652439801248567</v>
      </c>
    </row>
    <row r="288" spans="1:6" x14ac:dyDescent="0.3">
      <c r="A288" s="1">
        <v>29.832999999999998</v>
      </c>
      <c r="B288" s="1">
        <v>2.4780000000000002</v>
      </c>
      <c r="C288" s="4">
        <f>Tabela12[[#This Row],[Alongamento (mm/mm)]]/$I$2</f>
        <v>4.9560000000000007E-2</v>
      </c>
      <c r="D288" s="1">
        <v>73.483000000000004</v>
      </c>
      <c r="E288" s="4">
        <f>Tabela12[[#This Row],[Força (N)]]/$I$5</f>
        <v>1671800.7753489984</v>
      </c>
      <c r="F288" s="4">
        <f>Tabela12[[#This Row],[Tensão (Pa)]]/1000000</f>
        <v>1.6718007753489983</v>
      </c>
    </row>
    <row r="289" spans="1:6" x14ac:dyDescent="0.3">
      <c r="A289" s="1">
        <v>29.9</v>
      </c>
      <c r="B289" s="1">
        <v>2.4836</v>
      </c>
      <c r="C289" s="4">
        <f>Tabela12[[#This Row],[Alongamento (mm/mm)]]/$I$2</f>
        <v>4.9672000000000001E-2</v>
      </c>
      <c r="D289" s="1">
        <v>74.162999999999997</v>
      </c>
      <c r="E289" s="4">
        <f>Tabela12[[#This Row],[Força (N)]]/$I$5</f>
        <v>1687271.3539486378</v>
      </c>
      <c r="F289" s="4">
        <f>Tabela12[[#This Row],[Tensão (Pa)]]/1000000</f>
        <v>1.6872713539486379</v>
      </c>
    </row>
    <row r="290" spans="1:6" x14ac:dyDescent="0.3">
      <c r="A290" s="1">
        <v>29.95</v>
      </c>
      <c r="B290" s="1">
        <v>2.4876999999999998</v>
      </c>
      <c r="C290" s="4">
        <f>Tabela12[[#This Row],[Alongamento (mm/mm)]]/$I$2</f>
        <v>4.9753999999999993E-2</v>
      </c>
      <c r="D290" s="1">
        <v>74.843000000000004</v>
      </c>
      <c r="E290" s="4">
        <f>Tabela12[[#This Row],[Força (N)]]/$I$5</f>
        <v>1702741.9325482775</v>
      </c>
      <c r="F290" s="4">
        <f>Tabela12[[#This Row],[Tensão (Pa)]]/1000000</f>
        <v>1.7027419325482775</v>
      </c>
    </row>
    <row r="291" spans="1:6" x14ac:dyDescent="0.3">
      <c r="A291" s="1">
        <v>30</v>
      </c>
      <c r="B291" s="1">
        <v>2.4918999999999998</v>
      </c>
      <c r="C291" s="4">
        <f>Tabela12[[#This Row],[Alongamento (mm/mm)]]/$I$2</f>
        <v>4.9837999999999993E-2</v>
      </c>
      <c r="D291" s="1">
        <v>75.524000000000001</v>
      </c>
      <c r="E291" s="4">
        <f>Tabela12[[#This Row],[Força (N)]]/$I$5</f>
        <v>1718235.2619987989</v>
      </c>
      <c r="F291" s="4">
        <f>Tabela12[[#This Row],[Tensão (Pa)]]/1000000</f>
        <v>1.7182352619987988</v>
      </c>
    </row>
    <row r="292" spans="1:6" x14ac:dyDescent="0.3">
      <c r="A292" s="1">
        <v>30.067</v>
      </c>
      <c r="B292" s="1">
        <v>2.4975000000000001</v>
      </c>
      <c r="C292" s="4">
        <f>Tabela12[[#This Row],[Alongamento (mm/mm)]]/$I$2</f>
        <v>4.9950000000000001E-2</v>
      </c>
      <c r="D292" s="1">
        <v>76.373999999999995</v>
      </c>
      <c r="E292" s="4">
        <f>Tabela12[[#This Row],[Força (N)]]/$I$5</f>
        <v>1737573.4852483484</v>
      </c>
      <c r="F292" s="4">
        <f>Tabela12[[#This Row],[Tensão (Pa)]]/1000000</f>
        <v>1.7375734852483484</v>
      </c>
    </row>
    <row r="293" spans="1:6" x14ac:dyDescent="0.3">
      <c r="A293" s="1">
        <v>30.132999999999999</v>
      </c>
      <c r="B293" s="1">
        <v>2.5030000000000001</v>
      </c>
      <c r="C293" s="4">
        <f>Tabela12[[#This Row],[Alongamento (mm/mm)]]/$I$2</f>
        <v>5.006E-2</v>
      </c>
      <c r="D293" s="1">
        <v>77.224999999999994</v>
      </c>
      <c r="E293" s="4">
        <f>Tabela12[[#This Row],[Força (N)]]/$I$5</f>
        <v>1756934.4593487799</v>
      </c>
      <c r="F293" s="4">
        <f>Tabela12[[#This Row],[Tensão (Pa)]]/1000000</f>
        <v>1.7569344593487799</v>
      </c>
    </row>
    <row r="294" spans="1:6" x14ac:dyDescent="0.3">
      <c r="A294" s="1">
        <v>30.2</v>
      </c>
      <c r="B294" s="1">
        <v>2.5085999999999999</v>
      </c>
      <c r="C294" s="4">
        <f>Tabela12[[#This Row],[Alongamento (mm/mm)]]/$I$2</f>
        <v>5.0172000000000001E-2</v>
      </c>
      <c r="D294" s="1">
        <v>78.075000000000003</v>
      </c>
      <c r="E294" s="4">
        <f>Tabela12[[#This Row],[Força (N)]]/$I$5</f>
        <v>1776272.6825983294</v>
      </c>
      <c r="F294" s="4">
        <f>Tabela12[[#This Row],[Tensão (Pa)]]/1000000</f>
        <v>1.7762726825983295</v>
      </c>
    </row>
    <row r="295" spans="1:6" x14ac:dyDescent="0.3">
      <c r="A295" s="1">
        <v>30.266999999999999</v>
      </c>
      <c r="B295" s="1">
        <v>2.5141</v>
      </c>
      <c r="C295" s="4">
        <f>Tabela12[[#This Row],[Alongamento (mm/mm)]]/$I$2</f>
        <v>5.0282E-2</v>
      </c>
      <c r="D295" s="1">
        <v>78.756</v>
      </c>
      <c r="E295" s="4">
        <f>Tabela12[[#This Row],[Força (N)]]/$I$5</f>
        <v>1791766.012048851</v>
      </c>
      <c r="F295" s="4">
        <f>Tabela12[[#This Row],[Tensão (Pa)]]/1000000</f>
        <v>1.791766012048851</v>
      </c>
    </row>
    <row r="296" spans="1:6" x14ac:dyDescent="0.3">
      <c r="A296" s="1">
        <v>30.317</v>
      </c>
      <c r="B296" s="1">
        <v>2.5182000000000002</v>
      </c>
      <c r="C296" s="4">
        <f>Tabela12[[#This Row],[Alongamento (mm/mm)]]/$I$2</f>
        <v>5.0364000000000006E-2</v>
      </c>
      <c r="D296" s="1">
        <v>79.436000000000007</v>
      </c>
      <c r="E296" s="4">
        <f>Tabela12[[#This Row],[Força (N)]]/$I$5</f>
        <v>1807236.5906484907</v>
      </c>
      <c r="F296" s="4">
        <f>Tabela12[[#This Row],[Tensão (Pa)]]/1000000</f>
        <v>1.8072365906484906</v>
      </c>
    </row>
    <row r="297" spans="1:6" x14ac:dyDescent="0.3">
      <c r="A297" s="1">
        <v>30.367000000000001</v>
      </c>
      <c r="B297" s="1">
        <v>2.5225</v>
      </c>
      <c r="C297" s="4">
        <f>Tabela12[[#This Row],[Alongamento (mm/mm)]]/$I$2</f>
        <v>5.0450000000000002E-2</v>
      </c>
      <c r="D297" s="1">
        <v>80.117000000000004</v>
      </c>
      <c r="E297" s="4">
        <f>Tabela12[[#This Row],[Força (N)]]/$I$5</f>
        <v>1822729.9200990121</v>
      </c>
      <c r="F297" s="4">
        <f>Tabela12[[#This Row],[Tensão (Pa)]]/1000000</f>
        <v>1.8227299200990121</v>
      </c>
    </row>
    <row r="298" spans="1:6" x14ac:dyDescent="0.3">
      <c r="A298" s="1">
        <v>30.417000000000002</v>
      </c>
      <c r="B298" s="1">
        <v>2.5266999999999999</v>
      </c>
      <c r="C298" s="4">
        <f>Tabela12[[#This Row],[Alongamento (mm/mm)]]/$I$2</f>
        <v>5.0533999999999996E-2</v>
      </c>
      <c r="D298" s="1">
        <v>80.796999999999997</v>
      </c>
      <c r="E298" s="4">
        <f>Tabela12[[#This Row],[Força (N)]]/$I$5</f>
        <v>1838200.4986986516</v>
      </c>
      <c r="F298" s="4">
        <f>Tabela12[[#This Row],[Tensão (Pa)]]/1000000</f>
        <v>1.8382004986986515</v>
      </c>
    </row>
    <row r="299" spans="1:6" x14ac:dyDescent="0.3">
      <c r="A299" s="1">
        <v>30.466999999999999</v>
      </c>
      <c r="B299" s="1">
        <v>2.5308999999999999</v>
      </c>
      <c r="C299" s="4">
        <f>Tabela12[[#This Row],[Alongamento (mm/mm)]]/$I$2</f>
        <v>5.0617999999999996E-2</v>
      </c>
      <c r="D299" s="1">
        <v>81.477000000000004</v>
      </c>
      <c r="E299" s="4">
        <f>Tabela12[[#This Row],[Força (N)]]/$I$5</f>
        <v>1853671.0772982913</v>
      </c>
      <c r="F299" s="4">
        <f>Tabela12[[#This Row],[Tensão (Pa)]]/1000000</f>
        <v>1.8536710772982912</v>
      </c>
    </row>
    <row r="300" spans="1:6" x14ac:dyDescent="0.3">
      <c r="A300" s="1">
        <v>30.533000000000001</v>
      </c>
      <c r="B300" s="1">
        <v>2.5364</v>
      </c>
      <c r="C300" s="4">
        <f>Tabela12[[#This Row],[Alongamento (mm/mm)]]/$I$2</f>
        <v>5.0728000000000002E-2</v>
      </c>
      <c r="D300" s="1">
        <v>82.328000000000003</v>
      </c>
      <c r="E300" s="4">
        <f>Tabela12[[#This Row],[Força (N)]]/$I$5</f>
        <v>1873032.0513987227</v>
      </c>
      <c r="F300" s="4">
        <f>Tabela12[[#This Row],[Tensão (Pa)]]/1000000</f>
        <v>1.8730320513987226</v>
      </c>
    </row>
    <row r="301" spans="1:6" x14ac:dyDescent="0.3">
      <c r="A301" s="1">
        <v>30.582999999999998</v>
      </c>
      <c r="B301" s="1">
        <v>2.5406</v>
      </c>
      <c r="C301" s="4">
        <f>Tabela12[[#This Row],[Alongamento (mm/mm)]]/$I$2</f>
        <v>5.0811999999999996E-2</v>
      </c>
      <c r="D301" s="1">
        <v>83.007999999999996</v>
      </c>
      <c r="E301" s="4">
        <f>Tabela12[[#This Row],[Força (N)]]/$I$5</f>
        <v>1888502.6299983622</v>
      </c>
      <c r="F301" s="4">
        <f>Tabela12[[#This Row],[Tensão (Pa)]]/1000000</f>
        <v>1.888502629998362</v>
      </c>
    </row>
    <row r="302" spans="1:6" x14ac:dyDescent="0.3">
      <c r="A302" s="1">
        <v>30.632999999999999</v>
      </c>
      <c r="B302" s="1">
        <v>2.5447000000000002</v>
      </c>
      <c r="C302" s="4">
        <f>Tabela12[[#This Row],[Alongamento (mm/mm)]]/$I$2</f>
        <v>5.0894000000000002E-2</v>
      </c>
      <c r="D302" s="1">
        <v>83.688999999999993</v>
      </c>
      <c r="E302" s="4">
        <f>Tabela12[[#This Row],[Força (N)]]/$I$5</f>
        <v>1903995.9594488835</v>
      </c>
      <c r="F302" s="4">
        <f>Tabela12[[#This Row],[Tensão (Pa)]]/1000000</f>
        <v>1.9039959594488836</v>
      </c>
    </row>
    <row r="303" spans="1:6" x14ac:dyDescent="0.3">
      <c r="A303" s="1">
        <v>30.683</v>
      </c>
      <c r="B303" s="1">
        <v>2.5489000000000002</v>
      </c>
      <c r="C303" s="4">
        <f>Tabela12[[#This Row],[Alongamento (mm/mm)]]/$I$2</f>
        <v>5.0978000000000002E-2</v>
      </c>
      <c r="D303" s="1">
        <v>84.369</v>
      </c>
      <c r="E303" s="4">
        <f>Tabela12[[#This Row],[Força (N)]]/$I$5</f>
        <v>1919466.5380485232</v>
      </c>
      <c r="F303" s="4">
        <f>Tabela12[[#This Row],[Tensão (Pa)]]/1000000</f>
        <v>1.9194665380485232</v>
      </c>
    </row>
    <row r="304" spans="1:6" x14ac:dyDescent="0.3">
      <c r="A304" s="1">
        <v>30.733000000000001</v>
      </c>
      <c r="B304" s="1">
        <v>2.5531000000000001</v>
      </c>
      <c r="C304" s="4">
        <f>Tabela12[[#This Row],[Alongamento (mm/mm)]]/$I$2</f>
        <v>5.1062000000000003E-2</v>
      </c>
      <c r="D304" s="1">
        <v>85.049000000000007</v>
      </c>
      <c r="E304" s="4">
        <f>Tabela12[[#This Row],[Força (N)]]/$I$5</f>
        <v>1934937.1166481632</v>
      </c>
      <c r="F304" s="4">
        <f>Tabela12[[#This Row],[Tensão (Pa)]]/1000000</f>
        <v>1.9349371166481633</v>
      </c>
    </row>
    <row r="305" spans="1:6" x14ac:dyDescent="0.3">
      <c r="A305" s="1">
        <v>30.783000000000001</v>
      </c>
      <c r="B305" s="1">
        <v>2.5571999999999999</v>
      </c>
      <c r="C305" s="4">
        <f>Tabela12[[#This Row],[Alongamento (mm/mm)]]/$I$2</f>
        <v>5.1143999999999995E-2</v>
      </c>
      <c r="D305" s="1">
        <v>85.73</v>
      </c>
      <c r="E305" s="4">
        <f>Tabela12[[#This Row],[Força (N)]]/$I$5</f>
        <v>1950430.4460986846</v>
      </c>
      <c r="F305" s="4">
        <f>Tabela12[[#This Row],[Tensão (Pa)]]/1000000</f>
        <v>1.9504304460986845</v>
      </c>
    </row>
    <row r="306" spans="1:6" x14ac:dyDescent="0.3">
      <c r="A306" s="1">
        <v>30.85</v>
      </c>
      <c r="B306" s="1">
        <v>2.5628000000000002</v>
      </c>
      <c r="C306" s="4">
        <f>Tabela12[[#This Row],[Alongamento (mm/mm)]]/$I$2</f>
        <v>5.1256000000000003E-2</v>
      </c>
      <c r="D306" s="1">
        <v>86.58</v>
      </c>
      <c r="E306" s="4">
        <f>Tabela12[[#This Row],[Força (N)]]/$I$5</f>
        <v>1969768.6693482338</v>
      </c>
      <c r="F306" s="4">
        <f>Tabela12[[#This Row],[Tensão (Pa)]]/1000000</f>
        <v>1.9697686693482339</v>
      </c>
    </row>
    <row r="307" spans="1:6" x14ac:dyDescent="0.3">
      <c r="A307" s="1">
        <v>30.9</v>
      </c>
      <c r="B307" s="1">
        <v>2.5669</v>
      </c>
      <c r="C307" s="4">
        <f>Tabela12[[#This Row],[Alongamento (mm/mm)]]/$I$2</f>
        <v>5.1338000000000002E-2</v>
      </c>
      <c r="D307" s="1">
        <v>87.260999999999996</v>
      </c>
      <c r="E307" s="4">
        <f>Tabela12[[#This Row],[Força (N)]]/$I$5</f>
        <v>1985261.9987987552</v>
      </c>
      <c r="F307" s="4">
        <f>Tabela12[[#This Row],[Tensão (Pa)]]/1000000</f>
        <v>1.9852619987987552</v>
      </c>
    </row>
    <row r="308" spans="1:6" x14ac:dyDescent="0.3">
      <c r="A308" s="1">
        <v>30.95</v>
      </c>
      <c r="B308" s="1">
        <v>2.5710999999999999</v>
      </c>
      <c r="C308" s="4">
        <f>Tabela12[[#This Row],[Alongamento (mm/mm)]]/$I$2</f>
        <v>5.1421999999999995E-2</v>
      </c>
      <c r="D308" s="1">
        <v>87.941000000000003</v>
      </c>
      <c r="E308" s="4">
        <f>Tabela12[[#This Row],[Força (N)]]/$I$5</f>
        <v>2000732.5773983949</v>
      </c>
      <c r="F308" s="4">
        <f>Tabela12[[#This Row],[Tensão (Pa)]]/1000000</f>
        <v>2.0007325773983951</v>
      </c>
    </row>
    <row r="309" spans="1:6" x14ac:dyDescent="0.3">
      <c r="A309" s="1">
        <v>31</v>
      </c>
      <c r="B309" s="1">
        <v>2.5752999999999999</v>
      </c>
      <c r="C309" s="4">
        <f>Tabela12[[#This Row],[Alongamento (mm/mm)]]/$I$2</f>
        <v>5.1505999999999996E-2</v>
      </c>
      <c r="D309" s="1">
        <v>88.620999999999995</v>
      </c>
      <c r="E309" s="4">
        <f>Tabela12[[#This Row],[Força (N)]]/$I$5</f>
        <v>2016203.1559980344</v>
      </c>
      <c r="F309" s="4">
        <f>Tabela12[[#This Row],[Tensão (Pa)]]/1000000</f>
        <v>2.0162031559980345</v>
      </c>
    </row>
    <row r="310" spans="1:6" x14ac:dyDescent="0.3">
      <c r="A310" s="1">
        <v>31.05</v>
      </c>
      <c r="B310" s="1">
        <v>2.5794999999999999</v>
      </c>
      <c r="C310" s="4">
        <f>Tabela12[[#This Row],[Alongamento (mm/mm)]]/$I$2</f>
        <v>5.1589999999999997E-2</v>
      </c>
      <c r="D310" s="1">
        <v>89.302000000000007</v>
      </c>
      <c r="E310" s="4">
        <f>Tabela12[[#This Row],[Força (N)]]/$I$5</f>
        <v>2031696.4854485563</v>
      </c>
      <c r="F310" s="4">
        <f>Tabela12[[#This Row],[Tensão (Pa)]]/1000000</f>
        <v>2.0316964854485562</v>
      </c>
    </row>
    <row r="311" spans="1:6" x14ac:dyDescent="0.3">
      <c r="A311" s="1">
        <v>31.1</v>
      </c>
      <c r="B311" s="1">
        <v>2.5836999999999999</v>
      </c>
      <c r="C311" s="4">
        <f>Tabela12[[#This Row],[Alongamento (mm/mm)]]/$I$2</f>
        <v>5.1673999999999998E-2</v>
      </c>
      <c r="D311" s="1">
        <v>89.981999999999999</v>
      </c>
      <c r="E311" s="4">
        <f>Tabela12[[#This Row],[Força (N)]]/$I$5</f>
        <v>2047167.0640481957</v>
      </c>
      <c r="F311" s="4">
        <f>Tabela12[[#This Row],[Tensão (Pa)]]/1000000</f>
        <v>2.0471670640481956</v>
      </c>
    </row>
    <row r="312" spans="1:6" x14ac:dyDescent="0.3">
      <c r="A312" s="1">
        <v>31.15</v>
      </c>
      <c r="B312" s="1">
        <v>2.5878000000000001</v>
      </c>
      <c r="C312" s="4">
        <f>Tabela12[[#This Row],[Alongamento (mm/mm)]]/$I$2</f>
        <v>5.1756000000000003E-2</v>
      </c>
      <c r="D312" s="1">
        <v>90.832999999999998</v>
      </c>
      <c r="E312" s="4">
        <f>Tabela12[[#This Row],[Força (N)]]/$I$5</f>
        <v>2066528.0381486269</v>
      </c>
      <c r="F312" s="4">
        <f>Tabela12[[#This Row],[Tensão (Pa)]]/1000000</f>
        <v>2.0665280381486268</v>
      </c>
    </row>
    <row r="313" spans="1:6" x14ac:dyDescent="0.3">
      <c r="A313" s="1">
        <v>31.2</v>
      </c>
      <c r="B313" s="1">
        <v>2.5918999999999999</v>
      </c>
      <c r="C313" s="4">
        <f>Tabela12[[#This Row],[Alongamento (mm/mm)]]/$I$2</f>
        <v>5.1837999999999995E-2</v>
      </c>
      <c r="D313" s="1">
        <v>91.513000000000005</v>
      </c>
      <c r="E313" s="4">
        <f>Tabela12[[#This Row],[Força (N)]]/$I$5</f>
        <v>2081998.6167482669</v>
      </c>
      <c r="F313" s="4">
        <f>Tabela12[[#This Row],[Tensão (Pa)]]/1000000</f>
        <v>2.0819986167482667</v>
      </c>
    </row>
    <row r="314" spans="1:6" x14ac:dyDescent="0.3">
      <c r="A314" s="1">
        <v>31.25</v>
      </c>
      <c r="B314" s="1">
        <v>2.5960000000000001</v>
      </c>
      <c r="C314" s="4">
        <f>Tabela12[[#This Row],[Alongamento (mm/mm)]]/$I$2</f>
        <v>5.1920000000000001E-2</v>
      </c>
      <c r="D314" s="1">
        <v>92.194000000000003</v>
      </c>
      <c r="E314" s="4">
        <f>Tabela12[[#This Row],[Força (N)]]/$I$5</f>
        <v>2097491.946198788</v>
      </c>
      <c r="F314" s="4">
        <f>Tabela12[[#This Row],[Tensão (Pa)]]/1000000</f>
        <v>2.097491946198788</v>
      </c>
    </row>
    <row r="315" spans="1:6" x14ac:dyDescent="0.3">
      <c r="A315" s="1">
        <v>31.3</v>
      </c>
      <c r="B315" s="1">
        <v>2.6002999999999998</v>
      </c>
      <c r="C315" s="4">
        <f>Tabela12[[#This Row],[Alongamento (mm/mm)]]/$I$2</f>
        <v>5.2005999999999997E-2</v>
      </c>
      <c r="D315" s="1">
        <v>92.873999999999995</v>
      </c>
      <c r="E315" s="4">
        <f>Tabela12[[#This Row],[Força (N)]]/$I$5</f>
        <v>2112962.5247984277</v>
      </c>
      <c r="F315" s="4">
        <f>Tabela12[[#This Row],[Tensão (Pa)]]/1000000</f>
        <v>2.1129625247984278</v>
      </c>
    </row>
    <row r="316" spans="1:6" x14ac:dyDescent="0.3">
      <c r="A316" s="1">
        <v>31.35</v>
      </c>
      <c r="B316" s="1">
        <v>2.6044</v>
      </c>
      <c r="C316" s="4">
        <f>Tabela12[[#This Row],[Alongamento (mm/mm)]]/$I$2</f>
        <v>5.2088000000000002E-2</v>
      </c>
      <c r="D316" s="1">
        <v>93.554000000000002</v>
      </c>
      <c r="E316" s="4">
        <f>Tabela12[[#This Row],[Força (N)]]/$I$5</f>
        <v>2128433.1033980674</v>
      </c>
      <c r="F316" s="4">
        <f>Tabela12[[#This Row],[Tensão (Pa)]]/1000000</f>
        <v>2.1284331033980672</v>
      </c>
    </row>
    <row r="317" spans="1:6" x14ac:dyDescent="0.3">
      <c r="A317" s="1">
        <v>31.4</v>
      </c>
      <c r="B317" s="1">
        <v>2.6086</v>
      </c>
      <c r="C317" s="4">
        <f>Tabela12[[#This Row],[Alongamento (mm/mm)]]/$I$2</f>
        <v>5.2172000000000003E-2</v>
      </c>
      <c r="D317" s="1">
        <v>94.234999999999999</v>
      </c>
      <c r="E317" s="4">
        <f>Tabela12[[#This Row],[Força (N)]]/$I$5</f>
        <v>2143926.432848589</v>
      </c>
      <c r="F317" s="4">
        <f>Tabela12[[#This Row],[Tensão (Pa)]]/1000000</f>
        <v>2.143926432848589</v>
      </c>
    </row>
    <row r="318" spans="1:6" x14ac:dyDescent="0.3">
      <c r="A318" s="1">
        <v>31.45</v>
      </c>
      <c r="B318" s="1">
        <v>2.6128</v>
      </c>
      <c r="C318" s="4">
        <f>Tabela12[[#This Row],[Alongamento (mm/mm)]]/$I$2</f>
        <v>5.2255999999999997E-2</v>
      </c>
      <c r="D318" s="1">
        <v>95.084999999999994</v>
      </c>
      <c r="E318" s="4">
        <f>Tabela12[[#This Row],[Força (N)]]/$I$5</f>
        <v>2163264.6560981381</v>
      </c>
      <c r="F318" s="4">
        <f>Tabela12[[#This Row],[Tensão (Pa)]]/1000000</f>
        <v>2.1632646560981379</v>
      </c>
    </row>
    <row r="319" spans="1:6" x14ac:dyDescent="0.3">
      <c r="A319" s="1">
        <v>31.5</v>
      </c>
      <c r="B319" s="1">
        <v>2.6168999999999998</v>
      </c>
      <c r="C319" s="4">
        <f>Tabela12[[#This Row],[Alongamento (mm/mm)]]/$I$2</f>
        <v>5.2337999999999996E-2</v>
      </c>
      <c r="D319" s="1">
        <v>95.766000000000005</v>
      </c>
      <c r="E319" s="4">
        <f>Tabela12[[#This Row],[Força (N)]]/$I$5</f>
        <v>2178757.9855486602</v>
      </c>
      <c r="F319" s="4">
        <f>Tabela12[[#This Row],[Tensão (Pa)]]/1000000</f>
        <v>2.1787579855486601</v>
      </c>
    </row>
    <row r="320" spans="1:6" x14ac:dyDescent="0.3">
      <c r="A320" s="1">
        <v>31.55</v>
      </c>
      <c r="B320" s="1">
        <v>2.6212</v>
      </c>
      <c r="C320" s="4">
        <f>Tabela12[[#This Row],[Alongamento (mm/mm)]]/$I$2</f>
        <v>5.2423999999999998E-2</v>
      </c>
      <c r="D320" s="1">
        <v>96.445999999999998</v>
      </c>
      <c r="E320" s="4">
        <f>Tabela12[[#This Row],[Força (N)]]/$I$5</f>
        <v>2194228.5641482994</v>
      </c>
      <c r="F320" s="4">
        <f>Tabela12[[#This Row],[Tensão (Pa)]]/1000000</f>
        <v>2.1942285641482995</v>
      </c>
    </row>
    <row r="321" spans="1:6" x14ac:dyDescent="0.3">
      <c r="A321" s="1">
        <v>31.6</v>
      </c>
      <c r="B321" s="1">
        <v>2.6253000000000002</v>
      </c>
      <c r="C321" s="4">
        <f>Tabela12[[#This Row],[Alongamento (mm/mm)]]/$I$2</f>
        <v>5.2506000000000004E-2</v>
      </c>
      <c r="D321" s="1">
        <v>97.296999999999997</v>
      </c>
      <c r="E321" s="4">
        <f>Tabela12[[#This Row],[Força (N)]]/$I$5</f>
        <v>2213589.5382487308</v>
      </c>
      <c r="F321" s="4">
        <f>Tabela12[[#This Row],[Tensão (Pa)]]/1000000</f>
        <v>2.2135895382487307</v>
      </c>
    </row>
    <row r="322" spans="1:6" x14ac:dyDescent="0.3">
      <c r="A322" s="1">
        <v>31.65</v>
      </c>
      <c r="B322" s="1">
        <v>2.6294</v>
      </c>
      <c r="C322" s="4">
        <f>Tabela12[[#This Row],[Alongamento (mm/mm)]]/$I$2</f>
        <v>5.2587999999999996E-2</v>
      </c>
      <c r="D322" s="1">
        <v>97.977000000000004</v>
      </c>
      <c r="E322" s="4">
        <f>Tabela12[[#This Row],[Força (N)]]/$I$5</f>
        <v>2229060.1168483705</v>
      </c>
      <c r="F322" s="4">
        <f>Tabela12[[#This Row],[Tensão (Pa)]]/1000000</f>
        <v>2.2290601168483706</v>
      </c>
    </row>
    <row r="323" spans="1:6" x14ac:dyDescent="0.3">
      <c r="A323" s="1">
        <v>31.7</v>
      </c>
      <c r="B323" s="1">
        <v>2.6335999999999999</v>
      </c>
      <c r="C323" s="4">
        <f>Tabela12[[#This Row],[Alongamento (mm/mm)]]/$I$2</f>
        <v>5.2671999999999997E-2</v>
      </c>
      <c r="D323" s="1">
        <v>98.656999999999996</v>
      </c>
      <c r="E323" s="4">
        <f>Tabela12[[#This Row],[Força (N)]]/$I$5</f>
        <v>2244530.6954480098</v>
      </c>
      <c r="F323" s="4">
        <f>Tabela12[[#This Row],[Tensão (Pa)]]/1000000</f>
        <v>2.24453069544801</v>
      </c>
    </row>
    <row r="324" spans="1:6" x14ac:dyDescent="0.3">
      <c r="A324" s="1">
        <v>31.75</v>
      </c>
      <c r="B324" s="1">
        <v>2.6377000000000002</v>
      </c>
      <c r="C324" s="4">
        <f>Tabela12[[#This Row],[Alongamento (mm/mm)]]/$I$2</f>
        <v>5.2754000000000002E-2</v>
      </c>
      <c r="D324" s="1">
        <v>99.337999999999994</v>
      </c>
      <c r="E324" s="4">
        <f>Tabela12[[#This Row],[Força (N)]]/$I$5</f>
        <v>2260024.0248985314</v>
      </c>
      <c r="F324" s="4">
        <f>Tabela12[[#This Row],[Tensão (Pa)]]/1000000</f>
        <v>2.2600240248985313</v>
      </c>
    </row>
    <row r="325" spans="1:6" x14ac:dyDescent="0.3">
      <c r="A325" s="1">
        <v>31.8</v>
      </c>
      <c r="B325" s="1">
        <v>2.6419000000000001</v>
      </c>
      <c r="C325" s="4">
        <f>Tabela12[[#This Row],[Alongamento (mm/mm)]]/$I$2</f>
        <v>5.2838000000000003E-2</v>
      </c>
      <c r="D325" s="1">
        <v>100.19</v>
      </c>
      <c r="E325" s="4">
        <f>Tabela12[[#This Row],[Força (N)]]/$I$5</f>
        <v>2279407.7498498447</v>
      </c>
      <c r="F325" s="4">
        <f>Tabela12[[#This Row],[Tensão (Pa)]]/1000000</f>
        <v>2.2794077498498448</v>
      </c>
    </row>
    <row r="326" spans="1:6" x14ac:dyDescent="0.3">
      <c r="A326" s="1">
        <v>31.85</v>
      </c>
      <c r="B326" s="1">
        <v>2.6461000000000001</v>
      </c>
      <c r="C326" s="4">
        <f>Tabela12[[#This Row],[Alongamento (mm/mm)]]/$I$2</f>
        <v>5.2922000000000004E-2</v>
      </c>
      <c r="D326" s="1">
        <v>100.87</v>
      </c>
      <c r="E326" s="4">
        <f>Tabela12[[#This Row],[Força (N)]]/$I$5</f>
        <v>2294878.3284494844</v>
      </c>
      <c r="F326" s="4">
        <f>Tabela12[[#This Row],[Tensão (Pa)]]/1000000</f>
        <v>2.2948783284494843</v>
      </c>
    </row>
    <row r="327" spans="1:6" x14ac:dyDescent="0.3">
      <c r="A327" s="1">
        <v>31.9</v>
      </c>
      <c r="B327" s="1">
        <v>2.6503000000000001</v>
      </c>
      <c r="C327" s="4">
        <f>Tabela12[[#This Row],[Alongamento (mm/mm)]]/$I$2</f>
        <v>5.3006000000000005E-2</v>
      </c>
      <c r="D327" s="1">
        <v>101.55</v>
      </c>
      <c r="E327" s="4">
        <f>Tabela12[[#This Row],[Força (N)]]/$I$5</f>
        <v>2310348.9070491241</v>
      </c>
      <c r="F327" s="4">
        <f>Tabela12[[#This Row],[Tensão (Pa)]]/1000000</f>
        <v>2.3103489070491241</v>
      </c>
    </row>
    <row r="328" spans="1:6" x14ac:dyDescent="0.3">
      <c r="A328" s="1">
        <v>31.95</v>
      </c>
      <c r="B328" s="1">
        <v>2.6545000000000001</v>
      </c>
      <c r="C328" s="4">
        <f>Tabela12[[#This Row],[Alongamento (mm/mm)]]/$I$2</f>
        <v>5.3089999999999998E-2</v>
      </c>
      <c r="D328" s="1">
        <v>102.23</v>
      </c>
      <c r="E328" s="4">
        <f>Tabela12[[#This Row],[Força (N)]]/$I$5</f>
        <v>2325819.4856487638</v>
      </c>
      <c r="F328" s="4">
        <f>Tabela12[[#This Row],[Tensão (Pa)]]/1000000</f>
        <v>2.325819485648764</v>
      </c>
    </row>
    <row r="329" spans="1:6" x14ac:dyDescent="0.3">
      <c r="A329" s="1">
        <v>32</v>
      </c>
      <c r="B329" s="1">
        <v>2.6585999999999999</v>
      </c>
      <c r="C329" s="4">
        <f>Tabela12[[#This Row],[Alongamento (mm/mm)]]/$I$2</f>
        <v>5.3171999999999997E-2</v>
      </c>
      <c r="D329" s="1">
        <v>102.91</v>
      </c>
      <c r="E329" s="4">
        <f>Tabela12[[#This Row],[Força (N)]]/$I$5</f>
        <v>2341290.0642484031</v>
      </c>
      <c r="F329" s="4">
        <f>Tabela12[[#This Row],[Tensão (Pa)]]/1000000</f>
        <v>2.3412900642484029</v>
      </c>
    </row>
    <row r="330" spans="1:6" x14ac:dyDescent="0.3">
      <c r="A330" s="1">
        <v>32.049999999999997</v>
      </c>
      <c r="B330" s="1">
        <v>2.6627999999999998</v>
      </c>
      <c r="C330" s="4">
        <f>Tabela12[[#This Row],[Alongamento (mm/mm)]]/$I$2</f>
        <v>5.3255999999999998E-2</v>
      </c>
      <c r="D330" s="1">
        <v>103.76</v>
      </c>
      <c r="E330" s="4">
        <f>Tabela12[[#This Row],[Força (N)]]/$I$5</f>
        <v>2360628.287497953</v>
      </c>
      <c r="F330" s="4">
        <f>Tabela12[[#This Row],[Tensão (Pa)]]/1000000</f>
        <v>2.3606282874979532</v>
      </c>
    </row>
    <row r="331" spans="1:6" x14ac:dyDescent="0.3">
      <c r="A331" s="1">
        <v>32.1</v>
      </c>
      <c r="B331" s="1">
        <v>2.6669</v>
      </c>
      <c r="C331" s="4">
        <f>Tabela12[[#This Row],[Alongamento (mm/mm)]]/$I$2</f>
        <v>5.3338000000000003E-2</v>
      </c>
      <c r="D331" s="1">
        <v>104.44</v>
      </c>
      <c r="E331" s="4">
        <f>Tabela12[[#This Row],[Força (N)]]/$I$5</f>
        <v>2376098.8660975923</v>
      </c>
      <c r="F331" s="4">
        <f>Tabela12[[#This Row],[Tensão (Pa)]]/1000000</f>
        <v>2.3760988660975921</v>
      </c>
    </row>
    <row r="332" spans="1:6" x14ac:dyDescent="0.3">
      <c r="A332" s="1">
        <v>32.15</v>
      </c>
      <c r="B332" s="1">
        <v>2.6711</v>
      </c>
      <c r="C332" s="4">
        <f>Tabela12[[#This Row],[Alongamento (mm/mm)]]/$I$2</f>
        <v>5.3421999999999997E-2</v>
      </c>
      <c r="D332" s="1">
        <v>105.29</v>
      </c>
      <c r="E332" s="4">
        <f>Tabela12[[#This Row],[Força (N)]]/$I$5</f>
        <v>2395437.0893471423</v>
      </c>
      <c r="F332" s="4">
        <f>Tabela12[[#This Row],[Tensão (Pa)]]/1000000</f>
        <v>2.3954370893471424</v>
      </c>
    </row>
    <row r="333" spans="1:6" x14ac:dyDescent="0.3">
      <c r="A333" s="1">
        <v>32.200000000000003</v>
      </c>
      <c r="B333" s="1">
        <v>2.6751999999999998</v>
      </c>
      <c r="C333" s="4">
        <f>Tabela12[[#This Row],[Alongamento (mm/mm)]]/$I$2</f>
        <v>5.3503999999999996E-2</v>
      </c>
      <c r="D333" s="1">
        <v>105.97</v>
      </c>
      <c r="E333" s="4">
        <f>Tabela12[[#This Row],[Força (N)]]/$I$5</f>
        <v>2410907.6679467815</v>
      </c>
      <c r="F333" s="4">
        <f>Tabela12[[#This Row],[Tensão (Pa)]]/1000000</f>
        <v>2.4109076679467814</v>
      </c>
    </row>
    <row r="334" spans="1:6" x14ac:dyDescent="0.3">
      <c r="A334" s="1">
        <v>32.25</v>
      </c>
      <c r="B334" s="1">
        <v>2.6793999999999998</v>
      </c>
      <c r="C334" s="4">
        <f>Tabela12[[#This Row],[Alongamento (mm/mm)]]/$I$2</f>
        <v>5.3587999999999997E-2</v>
      </c>
      <c r="D334" s="1">
        <v>106.82</v>
      </c>
      <c r="E334" s="4">
        <f>Tabela12[[#This Row],[Força (N)]]/$I$5</f>
        <v>2430245.891196331</v>
      </c>
      <c r="F334" s="4">
        <f>Tabela12[[#This Row],[Tensão (Pa)]]/1000000</f>
        <v>2.4302458911963312</v>
      </c>
    </row>
    <row r="335" spans="1:6" x14ac:dyDescent="0.3">
      <c r="A335" s="1">
        <v>32.299999999999997</v>
      </c>
      <c r="B335" s="1">
        <v>2.6836000000000002</v>
      </c>
      <c r="C335" s="4">
        <f>Tabela12[[#This Row],[Alongamento (mm/mm)]]/$I$2</f>
        <v>5.3672000000000004E-2</v>
      </c>
      <c r="D335" s="1">
        <v>107.5</v>
      </c>
      <c r="E335" s="4">
        <f>Tabela12[[#This Row],[Força (N)]]/$I$5</f>
        <v>2445716.4697959707</v>
      </c>
      <c r="F335" s="4">
        <f>Tabela12[[#This Row],[Tensão (Pa)]]/1000000</f>
        <v>2.4457164697959706</v>
      </c>
    </row>
    <row r="336" spans="1:6" x14ac:dyDescent="0.3">
      <c r="A336" s="1">
        <v>32.35</v>
      </c>
      <c r="B336" s="1">
        <v>2.6878000000000002</v>
      </c>
      <c r="C336" s="4">
        <f>Tabela12[[#This Row],[Alongamento (mm/mm)]]/$I$2</f>
        <v>5.3756000000000005E-2</v>
      </c>
      <c r="D336" s="1">
        <v>108.35</v>
      </c>
      <c r="E336" s="4">
        <f>Tabela12[[#This Row],[Força (N)]]/$I$5</f>
        <v>2465054.6930455202</v>
      </c>
      <c r="F336" s="4">
        <f>Tabela12[[#This Row],[Tensão (Pa)]]/1000000</f>
        <v>2.4650546930455204</v>
      </c>
    </row>
    <row r="337" spans="1:6" x14ac:dyDescent="0.3">
      <c r="A337" s="1">
        <v>32.4</v>
      </c>
      <c r="B337" s="1">
        <v>2.6920000000000002</v>
      </c>
      <c r="C337" s="4">
        <f>Tabela12[[#This Row],[Alongamento (mm/mm)]]/$I$2</f>
        <v>5.3840000000000006E-2</v>
      </c>
      <c r="D337" s="1">
        <v>109.2</v>
      </c>
      <c r="E337" s="4">
        <f>Tabela12[[#This Row],[Força (N)]]/$I$5</f>
        <v>2484392.9162950697</v>
      </c>
      <c r="F337" s="4">
        <f>Tabela12[[#This Row],[Tensão (Pa)]]/1000000</f>
        <v>2.4843929162950698</v>
      </c>
    </row>
    <row r="338" spans="1:6" x14ac:dyDescent="0.3">
      <c r="A338" s="1">
        <v>32.450000000000003</v>
      </c>
      <c r="B338" s="1">
        <v>2.6960999999999999</v>
      </c>
      <c r="C338" s="4">
        <f>Tabela12[[#This Row],[Alongamento (mm/mm)]]/$I$2</f>
        <v>5.3921999999999998E-2</v>
      </c>
      <c r="D338" s="1">
        <v>109.88</v>
      </c>
      <c r="E338" s="4">
        <f>Tabela12[[#This Row],[Força (N)]]/$I$5</f>
        <v>2499863.4948947094</v>
      </c>
      <c r="F338" s="4">
        <f>Tabela12[[#This Row],[Tensão (Pa)]]/1000000</f>
        <v>2.4998634948947096</v>
      </c>
    </row>
    <row r="339" spans="1:6" x14ac:dyDescent="0.3">
      <c r="A339" s="1">
        <v>32.5</v>
      </c>
      <c r="B339" s="1">
        <v>2.7002999999999999</v>
      </c>
      <c r="C339" s="4">
        <f>Tabela12[[#This Row],[Alongamento (mm/mm)]]/$I$2</f>
        <v>5.4005999999999998E-2</v>
      </c>
      <c r="D339" s="1">
        <v>110.73</v>
      </c>
      <c r="E339" s="4">
        <f>Tabela12[[#This Row],[Força (N)]]/$I$5</f>
        <v>2519201.7181442589</v>
      </c>
      <c r="F339" s="4">
        <f>Tabela12[[#This Row],[Tensão (Pa)]]/1000000</f>
        <v>2.519201718144259</v>
      </c>
    </row>
    <row r="340" spans="1:6" x14ac:dyDescent="0.3">
      <c r="A340" s="1">
        <v>32.549999999999997</v>
      </c>
      <c r="B340" s="1">
        <v>2.7044000000000001</v>
      </c>
      <c r="C340" s="4">
        <f>Tabela12[[#This Row],[Alongamento (mm/mm)]]/$I$2</f>
        <v>5.4088000000000004E-2</v>
      </c>
      <c r="D340" s="1">
        <v>111.58</v>
      </c>
      <c r="E340" s="4">
        <f>Tabela12[[#This Row],[Força (N)]]/$I$5</f>
        <v>2538539.9413938085</v>
      </c>
      <c r="F340" s="4">
        <f>Tabela12[[#This Row],[Tensão (Pa)]]/1000000</f>
        <v>2.5385399413938083</v>
      </c>
    </row>
    <row r="341" spans="1:6" x14ac:dyDescent="0.3">
      <c r="A341" s="1">
        <v>32.6</v>
      </c>
      <c r="B341" s="1">
        <v>2.7086000000000001</v>
      </c>
      <c r="C341" s="4">
        <f>Tabela12[[#This Row],[Alongamento (mm/mm)]]/$I$2</f>
        <v>5.4172000000000005E-2</v>
      </c>
      <c r="D341" s="1">
        <v>112.27</v>
      </c>
      <c r="E341" s="4">
        <f>Tabela12[[#This Row],[Força (N)]]/$I$5</f>
        <v>2554238.0285022664</v>
      </c>
      <c r="F341" s="4">
        <f>Tabela12[[#This Row],[Tensão (Pa)]]/1000000</f>
        <v>2.5542380285022666</v>
      </c>
    </row>
    <row r="342" spans="1:6" x14ac:dyDescent="0.3">
      <c r="A342" s="1">
        <v>32.65</v>
      </c>
      <c r="B342" s="1">
        <v>2.7128000000000001</v>
      </c>
      <c r="C342" s="4">
        <f>Tabela12[[#This Row],[Alongamento (mm/mm)]]/$I$2</f>
        <v>5.4255999999999999E-2</v>
      </c>
      <c r="D342" s="1">
        <v>113.12</v>
      </c>
      <c r="E342" s="4">
        <f>Tabela12[[#This Row],[Força (N)]]/$I$5</f>
        <v>2573576.2517518159</v>
      </c>
      <c r="F342" s="4">
        <f>Tabela12[[#This Row],[Tensão (Pa)]]/1000000</f>
        <v>2.5735762517518159</v>
      </c>
    </row>
    <row r="343" spans="1:6" x14ac:dyDescent="0.3">
      <c r="A343" s="1">
        <v>32.700000000000003</v>
      </c>
      <c r="B343" s="1">
        <v>2.7168999999999999</v>
      </c>
      <c r="C343" s="4">
        <f>Tabela12[[#This Row],[Alongamento (mm/mm)]]/$I$2</f>
        <v>5.4337999999999997E-2</v>
      </c>
      <c r="D343" s="1">
        <v>113.97</v>
      </c>
      <c r="E343" s="4">
        <f>Tabela12[[#This Row],[Força (N)]]/$I$5</f>
        <v>2592914.4750013654</v>
      </c>
      <c r="F343" s="4">
        <f>Tabela12[[#This Row],[Tensão (Pa)]]/1000000</f>
        <v>2.5929144750013653</v>
      </c>
    </row>
    <row r="344" spans="1:6" x14ac:dyDescent="0.3">
      <c r="A344" s="1">
        <v>32.75</v>
      </c>
      <c r="B344" s="1">
        <v>2.7210000000000001</v>
      </c>
      <c r="C344" s="4">
        <f>Tabela12[[#This Row],[Alongamento (mm/mm)]]/$I$2</f>
        <v>5.4420000000000003E-2</v>
      </c>
      <c r="D344" s="1">
        <v>114.65</v>
      </c>
      <c r="E344" s="4">
        <f>Tabela12[[#This Row],[Força (N)]]/$I$5</f>
        <v>2608385.0536010051</v>
      </c>
      <c r="F344" s="4">
        <f>Tabela12[[#This Row],[Tensão (Pa)]]/1000000</f>
        <v>2.6083850536010051</v>
      </c>
    </row>
    <row r="345" spans="1:6" x14ac:dyDescent="0.3">
      <c r="A345" s="1">
        <v>32.783000000000001</v>
      </c>
      <c r="B345" s="1">
        <v>2.7239</v>
      </c>
      <c r="C345" s="4">
        <f>Tabela12[[#This Row],[Alongamento (mm/mm)]]/$I$2</f>
        <v>5.4477999999999999E-2</v>
      </c>
      <c r="D345" s="1">
        <v>115.33</v>
      </c>
      <c r="E345" s="4">
        <f>Tabela12[[#This Row],[Força (N)]]/$I$5</f>
        <v>2623855.6322006448</v>
      </c>
      <c r="F345" s="4">
        <f>Tabela12[[#This Row],[Tensão (Pa)]]/1000000</f>
        <v>2.623855632200645</v>
      </c>
    </row>
    <row r="346" spans="1:6" x14ac:dyDescent="0.3">
      <c r="A346" s="1">
        <v>32.832999999999998</v>
      </c>
      <c r="B346" s="1">
        <v>2.7281</v>
      </c>
      <c r="C346" s="4">
        <f>Tabela12[[#This Row],[Alongamento (mm/mm)]]/$I$2</f>
        <v>5.4561999999999999E-2</v>
      </c>
      <c r="D346" s="1">
        <v>116.01</v>
      </c>
      <c r="E346" s="4">
        <f>Tabela12[[#This Row],[Força (N)]]/$I$5</f>
        <v>2639326.2108002845</v>
      </c>
      <c r="F346" s="4">
        <f>Tabela12[[#This Row],[Tensão (Pa)]]/1000000</f>
        <v>2.6393262108002844</v>
      </c>
    </row>
    <row r="347" spans="1:6" x14ac:dyDescent="0.3">
      <c r="A347" s="1">
        <v>32.883000000000003</v>
      </c>
      <c r="B347" s="1">
        <v>2.7323</v>
      </c>
      <c r="C347" s="4">
        <f>Tabela12[[#This Row],[Alongamento (mm/mm)]]/$I$2</f>
        <v>5.4646E-2</v>
      </c>
      <c r="D347" s="1">
        <v>116.86</v>
      </c>
      <c r="E347" s="4">
        <f>Tabela12[[#This Row],[Força (N)]]/$I$5</f>
        <v>2658664.434049834</v>
      </c>
      <c r="F347" s="4">
        <f>Tabela12[[#This Row],[Tensão (Pa)]]/1000000</f>
        <v>2.6586644340498342</v>
      </c>
    </row>
    <row r="348" spans="1:6" x14ac:dyDescent="0.3">
      <c r="A348" s="1">
        <v>32.933</v>
      </c>
      <c r="B348" s="1">
        <v>2.7364000000000002</v>
      </c>
      <c r="C348" s="4">
        <f>Tabela12[[#This Row],[Alongamento (mm/mm)]]/$I$2</f>
        <v>5.4728000000000006E-2</v>
      </c>
      <c r="D348" s="1">
        <v>117.71</v>
      </c>
      <c r="E348" s="4">
        <f>Tabela12[[#This Row],[Força (N)]]/$I$5</f>
        <v>2678002.6572993831</v>
      </c>
      <c r="F348" s="4">
        <f>Tabela12[[#This Row],[Tensão (Pa)]]/1000000</f>
        <v>2.6780026572993831</v>
      </c>
    </row>
    <row r="349" spans="1:6" x14ac:dyDescent="0.3">
      <c r="A349" s="1">
        <v>32.982999999999997</v>
      </c>
      <c r="B349" s="1">
        <v>2.7406000000000001</v>
      </c>
      <c r="C349" s="4">
        <f>Tabela12[[#This Row],[Alongamento (mm/mm)]]/$I$2</f>
        <v>5.4812E-2</v>
      </c>
      <c r="D349" s="1">
        <v>118.39</v>
      </c>
      <c r="E349" s="4">
        <f>Tabela12[[#This Row],[Força (N)]]/$I$5</f>
        <v>2693473.2358990232</v>
      </c>
      <c r="F349" s="4">
        <f>Tabela12[[#This Row],[Tensão (Pa)]]/1000000</f>
        <v>2.6934732358990234</v>
      </c>
    </row>
    <row r="350" spans="1:6" x14ac:dyDescent="0.3">
      <c r="A350" s="1">
        <v>33.017000000000003</v>
      </c>
      <c r="B350" s="1">
        <v>2.7433000000000001</v>
      </c>
      <c r="C350" s="4">
        <f>Tabela12[[#This Row],[Alongamento (mm/mm)]]/$I$2</f>
        <v>5.4865999999999998E-2</v>
      </c>
      <c r="D350" s="1">
        <v>119.07</v>
      </c>
      <c r="E350" s="4">
        <f>Tabela12[[#This Row],[Força (N)]]/$I$5</f>
        <v>2708943.8144986625</v>
      </c>
      <c r="F350" s="4">
        <f>Tabela12[[#This Row],[Tensão (Pa)]]/1000000</f>
        <v>2.7089438144986624</v>
      </c>
    </row>
    <row r="351" spans="1:6" x14ac:dyDescent="0.3">
      <c r="A351" s="1">
        <v>33.067</v>
      </c>
      <c r="B351" s="1">
        <v>2.7475000000000001</v>
      </c>
      <c r="C351" s="4">
        <f>Tabela12[[#This Row],[Alongamento (mm/mm)]]/$I$2</f>
        <v>5.4949999999999999E-2</v>
      </c>
      <c r="D351" s="1">
        <v>119.92</v>
      </c>
      <c r="E351" s="4">
        <f>Tabela12[[#This Row],[Força (N)]]/$I$5</f>
        <v>2728282.037748212</v>
      </c>
      <c r="F351" s="4">
        <f>Tabela12[[#This Row],[Tensão (Pa)]]/1000000</f>
        <v>2.7282820377482122</v>
      </c>
    </row>
    <row r="352" spans="1:6" x14ac:dyDescent="0.3">
      <c r="A352" s="1">
        <v>33.116999999999997</v>
      </c>
      <c r="B352" s="1">
        <v>2.7515999999999998</v>
      </c>
      <c r="C352" s="4">
        <f>Tabela12[[#This Row],[Alongamento (mm/mm)]]/$I$2</f>
        <v>5.5031999999999998E-2</v>
      </c>
      <c r="D352" s="1">
        <v>120.6</v>
      </c>
      <c r="E352" s="4">
        <f>Tabela12[[#This Row],[Força (N)]]/$I$5</f>
        <v>2743752.6163478517</v>
      </c>
      <c r="F352" s="4">
        <f>Tabela12[[#This Row],[Tensão (Pa)]]/1000000</f>
        <v>2.7437526163478516</v>
      </c>
    </row>
    <row r="353" spans="1:6" x14ac:dyDescent="0.3">
      <c r="A353" s="1">
        <v>33.167000000000002</v>
      </c>
      <c r="B353" s="1">
        <v>2.7557999999999998</v>
      </c>
      <c r="C353" s="4">
        <f>Tabela12[[#This Row],[Alongamento (mm/mm)]]/$I$2</f>
        <v>5.5115999999999998E-2</v>
      </c>
      <c r="D353" s="1">
        <v>121.45</v>
      </c>
      <c r="E353" s="4">
        <f>Tabela12[[#This Row],[Força (N)]]/$I$5</f>
        <v>2763090.8395974012</v>
      </c>
      <c r="F353" s="4">
        <f>Tabela12[[#This Row],[Tensão (Pa)]]/1000000</f>
        <v>2.7630908395974014</v>
      </c>
    </row>
    <row r="354" spans="1:6" x14ac:dyDescent="0.3">
      <c r="A354" s="1">
        <v>33.216999999999999</v>
      </c>
      <c r="B354" s="1">
        <v>2.76</v>
      </c>
      <c r="C354" s="4">
        <f>Tabela12[[#This Row],[Alongamento (mm/mm)]]/$I$2</f>
        <v>5.5199999999999999E-2</v>
      </c>
      <c r="D354" s="1">
        <v>122.3</v>
      </c>
      <c r="E354" s="4">
        <f>Tabela12[[#This Row],[Força (N)]]/$I$5</f>
        <v>2782429.0628469507</v>
      </c>
      <c r="F354" s="4">
        <f>Tabela12[[#This Row],[Tensão (Pa)]]/1000000</f>
        <v>2.7824290628469508</v>
      </c>
    </row>
    <row r="355" spans="1:6" x14ac:dyDescent="0.3">
      <c r="A355" s="1">
        <v>33.267000000000003</v>
      </c>
      <c r="B355" s="1">
        <v>2.7642000000000002</v>
      </c>
      <c r="C355" s="4">
        <f>Tabela12[[#This Row],[Alongamento (mm/mm)]]/$I$2</f>
        <v>5.5284000000000007E-2</v>
      </c>
      <c r="D355" s="1">
        <v>123.15</v>
      </c>
      <c r="E355" s="4">
        <f>Tabela12[[#This Row],[Força (N)]]/$I$5</f>
        <v>2801767.2860965007</v>
      </c>
      <c r="F355" s="4">
        <f>Tabela12[[#This Row],[Tensão (Pa)]]/1000000</f>
        <v>2.8017672860965006</v>
      </c>
    </row>
    <row r="356" spans="1:6" x14ac:dyDescent="0.3">
      <c r="A356" s="1">
        <v>33.317</v>
      </c>
      <c r="B356" s="1">
        <v>2.7683</v>
      </c>
      <c r="C356" s="4">
        <f>Tabela12[[#This Row],[Alongamento (mm/mm)]]/$I$2</f>
        <v>5.5365999999999999E-2</v>
      </c>
      <c r="D356" s="1">
        <v>123.83</v>
      </c>
      <c r="E356" s="4">
        <f>Tabela12[[#This Row],[Força (N)]]/$I$5</f>
        <v>2817237.8646961399</v>
      </c>
      <c r="F356" s="4">
        <f>Tabela12[[#This Row],[Tensão (Pa)]]/1000000</f>
        <v>2.81723786469614</v>
      </c>
    </row>
    <row r="357" spans="1:6" x14ac:dyDescent="0.3">
      <c r="A357" s="1">
        <v>33.35</v>
      </c>
      <c r="B357" s="1">
        <v>2.7711999999999999</v>
      </c>
      <c r="C357" s="4">
        <f>Tabela12[[#This Row],[Alongamento (mm/mm)]]/$I$2</f>
        <v>5.5424000000000001E-2</v>
      </c>
      <c r="D357" s="1">
        <v>124.51</v>
      </c>
      <c r="E357" s="4">
        <f>Tabela12[[#This Row],[Força (N)]]/$I$5</f>
        <v>2832708.4432957796</v>
      </c>
      <c r="F357" s="4">
        <f>Tabela12[[#This Row],[Tensão (Pa)]]/1000000</f>
        <v>2.8327084432957794</v>
      </c>
    </row>
    <row r="358" spans="1:6" x14ac:dyDescent="0.3">
      <c r="A358" s="1">
        <v>33.4</v>
      </c>
      <c r="B358" s="1">
        <v>2.7753999999999999</v>
      </c>
      <c r="C358" s="4">
        <f>Tabela12[[#This Row],[Alongamento (mm/mm)]]/$I$2</f>
        <v>5.5507999999999995E-2</v>
      </c>
      <c r="D358" s="1">
        <v>125.19</v>
      </c>
      <c r="E358" s="4">
        <f>Tabela12[[#This Row],[Força (N)]]/$I$5</f>
        <v>2848179.0218954193</v>
      </c>
      <c r="F358" s="4">
        <f>Tabela12[[#This Row],[Tensão (Pa)]]/1000000</f>
        <v>2.8481790218954193</v>
      </c>
    </row>
    <row r="359" spans="1:6" x14ac:dyDescent="0.3">
      <c r="A359" s="1">
        <v>33.450000000000003</v>
      </c>
      <c r="B359" s="1">
        <v>2.7795000000000001</v>
      </c>
      <c r="C359" s="4">
        <f>Tabela12[[#This Row],[Alongamento (mm/mm)]]/$I$2</f>
        <v>5.5590000000000001E-2</v>
      </c>
      <c r="D359" s="1">
        <v>126.04</v>
      </c>
      <c r="E359" s="4">
        <f>Tabela12[[#This Row],[Força (N)]]/$I$5</f>
        <v>2867517.2451449689</v>
      </c>
      <c r="F359" s="4">
        <f>Tabela12[[#This Row],[Tensão (Pa)]]/1000000</f>
        <v>2.8675172451449686</v>
      </c>
    </row>
    <row r="360" spans="1:6" x14ac:dyDescent="0.3">
      <c r="A360" s="1">
        <v>33.5</v>
      </c>
      <c r="B360" s="1">
        <v>2.7835999999999999</v>
      </c>
      <c r="C360" s="4">
        <f>Tabela12[[#This Row],[Alongamento (mm/mm)]]/$I$2</f>
        <v>5.5671999999999999E-2</v>
      </c>
      <c r="D360" s="1">
        <v>126.89</v>
      </c>
      <c r="E360" s="4">
        <f>Tabela12[[#This Row],[Força (N)]]/$I$5</f>
        <v>2886855.4683945184</v>
      </c>
      <c r="F360" s="4">
        <f>Tabela12[[#This Row],[Tensão (Pa)]]/1000000</f>
        <v>2.8868554683945185</v>
      </c>
    </row>
    <row r="361" spans="1:6" x14ac:dyDescent="0.3">
      <c r="A361" s="1">
        <v>33.549999999999997</v>
      </c>
      <c r="B361" s="1">
        <v>2.7877000000000001</v>
      </c>
      <c r="C361" s="4">
        <f>Tabela12[[#This Row],[Alongamento (mm/mm)]]/$I$2</f>
        <v>5.5753999999999998E-2</v>
      </c>
      <c r="D361" s="1">
        <v>127.57</v>
      </c>
      <c r="E361" s="4">
        <f>Tabela12[[#This Row],[Força (N)]]/$I$5</f>
        <v>2902326.0469941581</v>
      </c>
      <c r="F361" s="4">
        <f>Tabela12[[#This Row],[Tensão (Pa)]]/1000000</f>
        <v>2.9023260469941579</v>
      </c>
    </row>
    <row r="362" spans="1:6" x14ac:dyDescent="0.3">
      <c r="A362" s="1">
        <v>33.6</v>
      </c>
      <c r="B362" s="1">
        <v>2.7919</v>
      </c>
      <c r="C362" s="4">
        <f>Tabela12[[#This Row],[Alongamento (mm/mm)]]/$I$2</f>
        <v>5.5837999999999999E-2</v>
      </c>
      <c r="D362" s="1">
        <v>128.41999999999999</v>
      </c>
      <c r="E362" s="4">
        <f>Tabela12[[#This Row],[Força (N)]]/$I$5</f>
        <v>2921664.2702437071</v>
      </c>
      <c r="F362" s="4">
        <f>Tabela12[[#This Row],[Tensão (Pa)]]/1000000</f>
        <v>2.9216642702437072</v>
      </c>
    </row>
    <row r="363" spans="1:6" x14ac:dyDescent="0.3">
      <c r="A363" s="1">
        <v>33.65</v>
      </c>
      <c r="B363" s="1">
        <v>2.7961</v>
      </c>
      <c r="C363" s="4">
        <f>Tabela12[[#This Row],[Alongamento (mm/mm)]]/$I$2</f>
        <v>5.5921999999999999E-2</v>
      </c>
      <c r="D363" s="1">
        <v>129.28</v>
      </c>
      <c r="E363" s="4">
        <f>Tabela12[[#This Row],[Força (N)]]/$I$5</f>
        <v>2941230.0020020753</v>
      </c>
      <c r="F363" s="4">
        <f>Tabela12[[#This Row],[Tensão (Pa)]]/1000000</f>
        <v>2.9412300020020754</v>
      </c>
    </row>
    <row r="364" spans="1:6" x14ac:dyDescent="0.3">
      <c r="A364" s="1">
        <v>33.700000000000003</v>
      </c>
      <c r="B364" s="1">
        <v>2.8003</v>
      </c>
      <c r="C364" s="4">
        <f>Tabela12[[#This Row],[Alongamento (mm/mm)]]/$I$2</f>
        <v>5.6006E-2</v>
      </c>
      <c r="D364" s="1">
        <v>130.13</v>
      </c>
      <c r="E364" s="4">
        <f>Tabela12[[#This Row],[Força (N)]]/$I$5</f>
        <v>2960568.2252516248</v>
      </c>
      <c r="F364" s="4">
        <f>Tabela12[[#This Row],[Tensão (Pa)]]/1000000</f>
        <v>2.9605682252516248</v>
      </c>
    </row>
    <row r="365" spans="1:6" x14ac:dyDescent="0.3">
      <c r="A365" s="1">
        <v>33.75</v>
      </c>
      <c r="B365" s="1">
        <v>2.8045</v>
      </c>
      <c r="C365" s="4">
        <f>Tabela12[[#This Row],[Alongamento (mm/mm)]]/$I$2</f>
        <v>5.6090000000000001E-2</v>
      </c>
      <c r="D365" s="1">
        <v>130.81</v>
      </c>
      <c r="E365" s="4">
        <f>Tabela12[[#This Row],[Força (N)]]/$I$5</f>
        <v>2976038.8038512645</v>
      </c>
      <c r="F365" s="4">
        <f>Tabela12[[#This Row],[Tensão (Pa)]]/1000000</f>
        <v>2.9760388038512646</v>
      </c>
    </row>
    <row r="366" spans="1:6" x14ac:dyDescent="0.3">
      <c r="A366" s="1">
        <v>33.817</v>
      </c>
      <c r="B366" s="1">
        <v>2.81</v>
      </c>
      <c r="C366" s="4">
        <f>Tabela12[[#This Row],[Alongamento (mm/mm)]]/$I$2</f>
        <v>5.62E-2</v>
      </c>
      <c r="D366" s="1">
        <v>132</v>
      </c>
      <c r="E366" s="4">
        <f>Tabela12[[#This Row],[Força (N)]]/$I$5</f>
        <v>3003112.3164006337</v>
      </c>
      <c r="F366" s="4">
        <f>Tabela12[[#This Row],[Tensão (Pa)]]/1000000</f>
        <v>3.0031123164006335</v>
      </c>
    </row>
    <row r="367" spans="1:6" x14ac:dyDescent="0.3">
      <c r="A367" s="1">
        <v>33.883000000000003</v>
      </c>
      <c r="B367" s="1">
        <v>2.8155999999999999</v>
      </c>
      <c r="C367" s="4">
        <f>Tabela12[[#This Row],[Alongamento (mm/mm)]]/$I$2</f>
        <v>5.6312000000000001E-2</v>
      </c>
      <c r="D367" s="1">
        <v>133.02000000000001</v>
      </c>
      <c r="E367" s="4">
        <f>Tabela12[[#This Row],[Força (N)]]/$I$5</f>
        <v>3026318.1843000934</v>
      </c>
      <c r="F367" s="4">
        <f>Tabela12[[#This Row],[Tensão (Pa)]]/1000000</f>
        <v>3.0263181843000933</v>
      </c>
    </row>
    <row r="368" spans="1:6" x14ac:dyDescent="0.3">
      <c r="A368" s="1">
        <v>33.950000000000003</v>
      </c>
      <c r="B368" s="1">
        <v>2.8210999999999999</v>
      </c>
      <c r="C368" s="4">
        <f>Tabela12[[#This Row],[Alongamento (mm/mm)]]/$I$2</f>
        <v>5.6422E-2</v>
      </c>
      <c r="D368" s="1">
        <v>134.21</v>
      </c>
      <c r="E368" s="4">
        <f>Tabela12[[#This Row],[Força (N)]]/$I$5</f>
        <v>3053391.6968494626</v>
      </c>
      <c r="F368" s="4">
        <f>Tabela12[[#This Row],[Tensão (Pa)]]/1000000</f>
        <v>3.0533916968494625</v>
      </c>
    </row>
    <row r="369" spans="1:6" x14ac:dyDescent="0.3">
      <c r="A369" s="1">
        <v>34.017000000000003</v>
      </c>
      <c r="B369" s="1">
        <v>2.8267000000000002</v>
      </c>
      <c r="C369" s="4">
        <f>Tabela12[[#This Row],[Alongamento (mm/mm)]]/$I$2</f>
        <v>5.6534000000000001E-2</v>
      </c>
      <c r="D369" s="1">
        <v>135.22999999999999</v>
      </c>
      <c r="E369" s="4">
        <f>Tabela12[[#This Row],[Força (N)]]/$I$5</f>
        <v>3076597.5647489219</v>
      </c>
      <c r="F369" s="4">
        <f>Tabela12[[#This Row],[Tensão (Pa)]]/1000000</f>
        <v>3.0765975647489219</v>
      </c>
    </row>
    <row r="370" spans="1:6" x14ac:dyDescent="0.3">
      <c r="A370" s="1">
        <v>34.082999999999998</v>
      </c>
      <c r="B370" s="1">
        <v>2.8321999999999998</v>
      </c>
      <c r="C370" s="4">
        <f>Tabela12[[#This Row],[Alongamento (mm/mm)]]/$I$2</f>
        <v>5.6644E-2</v>
      </c>
      <c r="D370" s="1">
        <v>136.41999999999999</v>
      </c>
      <c r="E370" s="4">
        <f>Tabela12[[#This Row],[Força (N)]]/$I$5</f>
        <v>3103671.077298291</v>
      </c>
      <c r="F370" s="4">
        <f>Tabela12[[#This Row],[Tensão (Pa)]]/1000000</f>
        <v>3.1036710772982912</v>
      </c>
    </row>
    <row r="371" spans="1:6" x14ac:dyDescent="0.3">
      <c r="A371" s="1">
        <v>34.15</v>
      </c>
      <c r="B371" s="1">
        <v>2.8378000000000001</v>
      </c>
      <c r="C371" s="4">
        <f>Tabela12[[#This Row],[Alongamento (mm/mm)]]/$I$2</f>
        <v>5.6756000000000001E-2</v>
      </c>
      <c r="D371" s="1">
        <v>137.61000000000001</v>
      </c>
      <c r="E371" s="4">
        <f>Tabela12[[#This Row],[Força (N)]]/$I$5</f>
        <v>3130744.5898476611</v>
      </c>
      <c r="F371" s="4">
        <f>Tabela12[[#This Row],[Tensão (Pa)]]/1000000</f>
        <v>3.1307445898476609</v>
      </c>
    </row>
    <row r="372" spans="1:6" x14ac:dyDescent="0.3">
      <c r="A372" s="1">
        <v>34.216999999999999</v>
      </c>
      <c r="B372" s="1">
        <v>2.8433000000000002</v>
      </c>
      <c r="C372" s="4">
        <f>Tabela12[[#This Row],[Alongamento (mm/mm)]]/$I$2</f>
        <v>5.6866E-2</v>
      </c>
      <c r="D372" s="1">
        <v>138.63</v>
      </c>
      <c r="E372" s="4">
        <f>Tabela12[[#This Row],[Força (N)]]/$I$5</f>
        <v>3153950.4577471199</v>
      </c>
      <c r="F372" s="4">
        <f>Tabela12[[#This Row],[Tensão (Pa)]]/1000000</f>
        <v>3.1539504577471198</v>
      </c>
    </row>
    <row r="373" spans="1:6" x14ac:dyDescent="0.3">
      <c r="A373" s="1">
        <v>34.283000000000001</v>
      </c>
      <c r="B373" s="1">
        <v>2.8489</v>
      </c>
      <c r="C373" s="4">
        <f>Tabela12[[#This Row],[Alongamento (mm/mm)]]/$I$2</f>
        <v>5.6978000000000001E-2</v>
      </c>
      <c r="D373" s="1">
        <v>139.82</v>
      </c>
      <c r="E373" s="4">
        <f>Tabela12[[#This Row],[Força (N)]]/$I$5</f>
        <v>3181023.9702964895</v>
      </c>
      <c r="F373" s="4">
        <f>Tabela12[[#This Row],[Tensão (Pa)]]/1000000</f>
        <v>3.1810239702964895</v>
      </c>
    </row>
    <row r="374" spans="1:6" x14ac:dyDescent="0.3">
      <c r="A374" s="1">
        <v>34.35</v>
      </c>
      <c r="B374" s="1">
        <v>2.8544999999999998</v>
      </c>
      <c r="C374" s="4">
        <f>Tabela12[[#This Row],[Alongamento (mm/mm)]]/$I$2</f>
        <v>5.7089999999999995E-2</v>
      </c>
      <c r="D374" s="1">
        <v>140.84</v>
      </c>
      <c r="E374" s="4">
        <f>Tabela12[[#This Row],[Força (N)]]/$I$5</f>
        <v>3204229.8381959489</v>
      </c>
      <c r="F374" s="4">
        <f>Tabela12[[#This Row],[Tensão (Pa)]]/1000000</f>
        <v>3.2042298381959489</v>
      </c>
    </row>
    <row r="375" spans="1:6" x14ac:dyDescent="0.3">
      <c r="A375" s="1">
        <v>34.4</v>
      </c>
      <c r="B375" s="1">
        <v>2.8586</v>
      </c>
      <c r="C375" s="4">
        <f>Tabela12[[#This Row],[Alongamento (mm/mm)]]/$I$2</f>
        <v>5.7172000000000001E-2</v>
      </c>
      <c r="D375" s="1">
        <v>141.86000000000001</v>
      </c>
      <c r="E375" s="4">
        <f>Tabela12[[#This Row],[Força (N)]]/$I$5</f>
        <v>3227435.7060954086</v>
      </c>
      <c r="F375" s="4">
        <f>Tabela12[[#This Row],[Tensão (Pa)]]/1000000</f>
        <v>3.2274357060954086</v>
      </c>
    </row>
    <row r="376" spans="1:6" x14ac:dyDescent="0.3">
      <c r="A376" s="1">
        <v>34.466999999999999</v>
      </c>
      <c r="B376" s="1">
        <v>2.8641000000000001</v>
      </c>
      <c r="C376" s="4">
        <f>Tabela12[[#This Row],[Alongamento (mm/mm)]]/$I$2</f>
        <v>5.7282E-2</v>
      </c>
      <c r="D376" s="1">
        <v>142.88</v>
      </c>
      <c r="E376" s="4">
        <f>Tabela12[[#This Row],[Força (N)]]/$I$5</f>
        <v>3250641.573994868</v>
      </c>
      <c r="F376" s="4">
        <f>Tabela12[[#This Row],[Tensão (Pa)]]/1000000</f>
        <v>3.250641573994868</v>
      </c>
    </row>
    <row r="377" spans="1:6" x14ac:dyDescent="0.3">
      <c r="A377" s="1">
        <v>34.533000000000001</v>
      </c>
      <c r="B377" s="1">
        <v>2.8696999999999999</v>
      </c>
      <c r="C377" s="4">
        <f>Tabela12[[#This Row],[Alongamento (mm/mm)]]/$I$2</f>
        <v>5.7394000000000001E-2</v>
      </c>
      <c r="D377" s="1">
        <v>144.07</v>
      </c>
      <c r="E377" s="4">
        <f>Tabela12[[#This Row],[Força (N)]]/$I$5</f>
        <v>3277715.0865442371</v>
      </c>
      <c r="F377" s="4">
        <f>Tabela12[[#This Row],[Tensão (Pa)]]/1000000</f>
        <v>3.2777150865442373</v>
      </c>
    </row>
    <row r="378" spans="1:6" x14ac:dyDescent="0.3">
      <c r="A378" s="1">
        <v>34.6</v>
      </c>
      <c r="B378" s="1">
        <v>2.8752</v>
      </c>
      <c r="C378" s="4">
        <f>Tabela12[[#This Row],[Alongamento (mm/mm)]]/$I$2</f>
        <v>5.7504E-2</v>
      </c>
      <c r="D378" s="1">
        <v>145.26</v>
      </c>
      <c r="E378" s="4">
        <f>Tabela12[[#This Row],[Força (N)]]/$I$5</f>
        <v>3304788.5990936062</v>
      </c>
      <c r="F378" s="4">
        <f>Tabela12[[#This Row],[Tensão (Pa)]]/1000000</f>
        <v>3.3047885990936061</v>
      </c>
    </row>
    <row r="379" spans="1:6" x14ac:dyDescent="0.3">
      <c r="A379" s="1">
        <v>34.667000000000002</v>
      </c>
      <c r="B379" s="1">
        <v>2.8807999999999998</v>
      </c>
      <c r="C379" s="4">
        <f>Tabela12[[#This Row],[Alongamento (mm/mm)]]/$I$2</f>
        <v>5.7615999999999994E-2</v>
      </c>
      <c r="D379" s="1">
        <v>146.46</v>
      </c>
      <c r="E379" s="4">
        <f>Tabela12[[#This Row],[Força (N)]]/$I$5</f>
        <v>3332089.6201517945</v>
      </c>
      <c r="F379" s="4">
        <f>Tabela12[[#This Row],[Tensão (Pa)]]/1000000</f>
        <v>3.3320896201517947</v>
      </c>
    </row>
    <row r="380" spans="1:6" x14ac:dyDescent="0.3">
      <c r="A380" s="1">
        <v>34.732999999999997</v>
      </c>
      <c r="B380" s="1">
        <v>2.8864000000000001</v>
      </c>
      <c r="C380" s="4">
        <f>Tabela12[[#This Row],[Alongamento (mm/mm)]]/$I$2</f>
        <v>5.7728000000000002E-2</v>
      </c>
      <c r="D380" s="1">
        <v>147.65</v>
      </c>
      <c r="E380" s="4">
        <f>Tabela12[[#This Row],[Força (N)]]/$I$5</f>
        <v>3359163.1327011636</v>
      </c>
      <c r="F380" s="4">
        <f>Tabela12[[#This Row],[Tensão (Pa)]]/1000000</f>
        <v>3.3591631327011635</v>
      </c>
    </row>
    <row r="381" spans="1:6" x14ac:dyDescent="0.3">
      <c r="A381" s="1">
        <v>34.799999999999997</v>
      </c>
      <c r="B381" s="1">
        <v>2.8919000000000001</v>
      </c>
      <c r="C381" s="4">
        <f>Tabela12[[#This Row],[Alongamento (mm/mm)]]/$I$2</f>
        <v>5.7838000000000001E-2</v>
      </c>
      <c r="D381" s="1">
        <v>148.84</v>
      </c>
      <c r="E381" s="4">
        <f>Tabela12[[#This Row],[Força (N)]]/$I$5</f>
        <v>3386236.6452505328</v>
      </c>
      <c r="F381" s="4">
        <f>Tabela12[[#This Row],[Tensão (Pa)]]/1000000</f>
        <v>3.3862366452505328</v>
      </c>
    </row>
    <row r="382" spans="1:6" x14ac:dyDescent="0.3">
      <c r="A382" s="1">
        <v>34.866999999999997</v>
      </c>
      <c r="B382" s="1">
        <v>2.8975</v>
      </c>
      <c r="C382" s="4">
        <f>Tabela12[[#This Row],[Alongamento (mm/mm)]]/$I$2</f>
        <v>5.7950000000000002E-2</v>
      </c>
      <c r="D382" s="1">
        <v>150.03</v>
      </c>
      <c r="E382" s="4">
        <f>Tabela12[[#This Row],[Força (N)]]/$I$5</f>
        <v>3413310.1577999024</v>
      </c>
      <c r="F382" s="4">
        <f>Tabela12[[#This Row],[Tensão (Pa)]]/1000000</f>
        <v>3.4133101577999025</v>
      </c>
    </row>
    <row r="383" spans="1:6" x14ac:dyDescent="0.3">
      <c r="A383" s="1">
        <v>34.933</v>
      </c>
      <c r="B383" s="1">
        <v>2.903</v>
      </c>
      <c r="C383" s="4">
        <f>Tabela12[[#This Row],[Alongamento (mm/mm)]]/$I$2</f>
        <v>5.806E-2</v>
      </c>
      <c r="D383" s="1">
        <v>151.22</v>
      </c>
      <c r="E383" s="4">
        <f>Tabela12[[#This Row],[Força (N)]]/$I$5</f>
        <v>3440383.6703492715</v>
      </c>
      <c r="F383" s="4">
        <f>Tabela12[[#This Row],[Tensão (Pa)]]/1000000</f>
        <v>3.4403836703492714</v>
      </c>
    </row>
    <row r="384" spans="1:6" x14ac:dyDescent="0.3">
      <c r="A384" s="1">
        <v>34.982999999999997</v>
      </c>
      <c r="B384" s="1">
        <v>2.9070999999999998</v>
      </c>
      <c r="C384" s="4">
        <f>Tabela12[[#This Row],[Alongamento (mm/mm)]]/$I$2</f>
        <v>5.8141999999999999E-2</v>
      </c>
      <c r="D384" s="1">
        <v>152.24</v>
      </c>
      <c r="E384" s="4">
        <f>Tabela12[[#This Row],[Força (N)]]/$I$5</f>
        <v>3463589.5382487313</v>
      </c>
      <c r="F384" s="4">
        <f>Tabela12[[#This Row],[Tensão (Pa)]]/1000000</f>
        <v>3.4635895382487312</v>
      </c>
    </row>
    <row r="385" spans="1:6" x14ac:dyDescent="0.3">
      <c r="A385" s="1">
        <v>35.049999999999997</v>
      </c>
      <c r="B385" s="1">
        <v>2.9127999999999998</v>
      </c>
      <c r="C385" s="4">
        <f>Tabela12[[#This Row],[Alongamento (mm/mm)]]/$I$2</f>
        <v>5.8255999999999995E-2</v>
      </c>
      <c r="D385" s="1">
        <v>153.43</v>
      </c>
      <c r="E385" s="4">
        <f>Tabela12[[#This Row],[Força (N)]]/$I$5</f>
        <v>3490663.0507981004</v>
      </c>
      <c r="F385" s="4">
        <f>Tabela12[[#This Row],[Tensão (Pa)]]/1000000</f>
        <v>3.4906630507981005</v>
      </c>
    </row>
    <row r="386" spans="1:6" x14ac:dyDescent="0.3">
      <c r="A386" s="1">
        <v>35.1</v>
      </c>
      <c r="B386" s="1">
        <v>2.9169</v>
      </c>
      <c r="C386" s="4">
        <f>Tabela12[[#This Row],[Alongamento (mm/mm)]]/$I$2</f>
        <v>5.8338000000000001E-2</v>
      </c>
      <c r="D386" s="1">
        <v>154.44999999999999</v>
      </c>
      <c r="E386" s="4">
        <f>Tabela12[[#This Row],[Força (N)]]/$I$5</f>
        <v>3513868.9186975597</v>
      </c>
      <c r="F386" s="4">
        <f>Tabela12[[#This Row],[Tensão (Pa)]]/1000000</f>
        <v>3.5138689186975598</v>
      </c>
    </row>
    <row r="387" spans="1:6" x14ac:dyDescent="0.3">
      <c r="A387" s="1">
        <v>35.167000000000002</v>
      </c>
      <c r="B387" s="1">
        <v>2.9224999999999999</v>
      </c>
      <c r="C387" s="4">
        <f>Tabela12[[#This Row],[Alongamento (mm/mm)]]/$I$2</f>
        <v>5.8449999999999995E-2</v>
      </c>
      <c r="D387" s="1">
        <v>155.63999999999999</v>
      </c>
      <c r="E387" s="4">
        <f>Tabela12[[#This Row],[Força (N)]]/$I$5</f>
        <v>3540942.4312469289</v>
      </c>
      <c r="F387" s="4">
        <f>Tabela12[[#This Row],[Tensão (Pa)]]/1000000</f>
        <v>3.5409424312469291</v>
      </c>
    </row>
    <row r="388" spans="1:6" x14ac:dyDescent="0.3">
      <c r="A388" s="1">
        <v>35.216999999999999</v>
      </c>
      <c r="B388" s="1">
        <v>2.9266999999999999</v>
      </c>
      <c r="C388" s="4">
        <f>Tabela12[[#This Row],[Alongamento (mm/mm)]]/$I$2</f>
        <v>5.8533999999999996E-2</v>
      </c>
      <c r="D388" s="1">
        <v>156.66</v>
      </c>
      <c r="E388" s="4">
        <f>Tabela12[[#This Row],[Força (N)]]/$I$5</f>
        <v>3564148.2991463887</v>
      </c>
      <c r="F388" s="4">
        <f>Tabela12[[#This Row],[Tensão (Pa)]]/1000000</f>
        <v>3.5641482991463889</v>
      </c>
    </row>
    <row r="389" spans="1:6" x14ac:dyDescent="0.3">
      <c r="A389" s="1">
        <v>35.283000000000001</v>
      </c>
      <c r="B389" s="1">
        <v>2.9321999999999999</v>
      </c>
      <c r="C389" s="4">
        <f>Tabela12[[#This Row],[Alongamento (mm/mm)]]/$I$2</f>
        <v>5.8644000000000002E-2</v>
      </c>
      <c r="D389" s="1">
        <v>157.85</v>
      </c>
      <c r="E389" s="4">
        <f>Tabela12[[#This Row],[Força (N)]]/$I$5</f>
        <v>3591221.8116957578</v>
      </c>
      <c r="F389" s="4">
        <f>Tabela12[[#This Row],[Tensão (Pa)]]/1000000</f>
        <v>3.5912218116957577</v>
      </c>
    </row>
    <row r="390" spans="1:6" x14ac:dyDescent="0.3">
      <c r="A390" s="1">
        <v>35.332999999999998</v>
      </c>
      <c r="B390" s="1">
        <v>2.9363999999999999</v>
      </c>
      <c r="C390" s="4">
        <f>Tabela12[[#This Row],[Alongamento (mm/mm)]]/$I$2</f>
        <v>5.8727999999999995E-2</v>
      </c>
      <c r="D390" s="1">
        <v>158.87</v>
      </c>
      <c r="E390" s="4">
        <f>Tabela12[[#This Row],[Força (N)]]/$I$5</f>
        <v>3614427.6795952176</v>
      </c>
      <c r="F390" s="4">
        <f>Tabela12[[#This Row],[Tensão (Pa)]]/1000000</f>
        <v>3.6144276795952175</v>
      </c>
    </row>
    <row r="391" spans="1:6" x14ac:dyDescent="0.3">
      <c r="A391" s="1">
        <v>35.4</v>
      </c>
      <c r="B391" s="1">
        <v>2.9419</v>
      </c>
      <c r="C391" s="4">
        <f>Tabela12[[#This Row],[Alongamento (mm/mm)]]/$I$2</f>
        <v>5.8838000000000001E-2</v>
      </c>
      <c r="D391" s="1">
        <v>160.06</v>
      </c>
      <c r="E391" s="4">
        <f>Tabela12[[#This Row],[Força (N)]]/$I$5</f>
        <v>3641501.1921445867</v>
      </c>
      <c r="F391" s="4">
        <f>Tabela12[[#This Row],[Tensão (Pa)]]/1000000</f>
        <v>3.6415011921445868</v>
      </c>
    </row>
    <row r="392" spans="1:6" x14ac:dyDescent="0.3">
      <c r="A392" s="1">
        <v>35.450000000000003</v>
      </c>
      <c r="B392" s="1">
        <v>2.9460999999999999</v>
      </c>
      <c r="C392" s="4">
        <f>Tabela12[[#This Row],[Alongamento (mm/mm)]]/$I$2</f>
        <v>5.8922000000000002E-2</v>
      </c>
      <c r="D392" s="1">
        <v>161.08000000000001</v>
      </c>
      <c r="E392" s="4">
        <f>Tabela12[[#This Row],[Força (N)]]/$I$5</f>
        <v>3664707.0600440465</v>
      </c>
      <c r="F392" s="4">
        <f>Tabela12[[#This Row],[Tensão (Pa)]]/1000000</f>
        <v>3.6647070600440466</v>
      </c>
    </row>
    <row r="393" spans="1:6" x14ac:dyDescent="0.3">
      <c r="A393" s="1">
        <v>35.5</v>
      </c>
      <c r="B393" s="1">
        <v>2.9502999999999999</v>
      </c>
      <c r="C393" s="4">
        <f>Tabela12[[#This Row],[Alongamento (mm/mm)]]/$I$2</f>
        <v>5.9005999999999996E-2</v>
      </c>
      <c r="D393" s="1">
        <v>162.1</v>
      </c>
      <c r="E393" s="4">
        <f>Tabela12[[#This Row],[Força (N)]]/$I$5</f>
        <v>3687912.9279435053</v>
      </c>
      <c r="F393" s="4">
        <f>Tabela12[[#This Row],[Tensão (Pa)]]/1000000</f>
        <v>3.6879129279435054</v>
      </c>
    </row>
    <row r="394" spans="1:6" x14ac:dyDescent="0.3">
      <c r="A394" s="1">
        <v>35.567</v>
      </c>
      <c r="B394" s="1">
        <v>2.9559000000000002</v>
      </c>
      <c r="C394" s="4">
        <f>Tabela12[[#This Row],[Alongamento (mm/mm)]]/$I$2</f>
        <v>5.9118000000000004E-2</v>
      </c>
      <c r="D394" s="1">
        <v>163.29</v>
      </c>
      <c r="E394" s="4">
        <f>Tabela12[[#This Row],[Força (N)]]/$I$5</f>
        <v>3714986.4404928749</v>
      </c>
      <c r="F394" s="4">
        <f>Tabela12[[#This Row],[Tensão (Pa)]]/1000000</f>
        <v>3.7149864404928747</v>
      </c>
    </row>
    <row r="395" spans="1:6" x14ac:dyDescent="0.3">
      <c r="A395" s="1">
        <v>35.616999999999997</v>
      </c>
      <c r="B395" s="1">
        <v>2.9601000000000002</v>
      </c>
      <c r="C395" s="4">
        <f>Tabela12[[#This Row],[Alongamento (mm/mm)]]/$I$2</f>
        <v>5.9202000000000005E-2</v>
      </c>
      <c r="D395" s="1">
        <v>164.32</v>
      </c>
      <c r="E395" s="4">
        <f>Tabela12[[#This Row],[Força (N)]]/$I$5</f>
        <v>3738419.8169011525</v>
      </c>
      <c r="F395" s="4">
        <f>Tabela12[[#This Row],[Tensão (Pa)]]/1000000</f>
        <v>3.7384198169011524</v>
      </c>
    </row>
    <row r="396" spans="1:6" x14ac:dyDescent="0.3">
      <c r="A396" s="1">
        <v>35.683</v>
      </c>
      <c r="B396" s="1">
        <v>2.9655999999999998</v>
      </c>
      <c r="C396" s="4">
        <f>Tabela12[[#This Row],[Alongamento (mm/mm)]]/$I$2</f>
        <v>5.9311999999999997E-2</v>
      </c>
      <c r="D396" s="1">
        <v>165.51</v>
      </c>
      <c r="E396" s="4">
        <f>Tabela12[[#This Row],[Força (N)]]/$I$5</f>
        <v>3765493.3294505216</v>
      </c>
      <c r="F396" s="4">
        <f>Tabela12[[#This Row],[Tensão (Pa)]]/1000000</f>
        <v>3.7654933294505217</v>
      </c>
    </row>
    <row r="397" spans="1:6" x14ac:dyDescent="0.3">
      <c r="A397" s="1">
        <v>35.732999999999997</v>
      </c>
      <c r="B397" s="1">
        <v>2.9698000000000002</v>
      </c>
      <c r="C397" s="4">
        <f>Tabela12[[#This Row],[Alongamento (mm/mm)]]/$I$2</f>
        <v>5.9396000000000004E-2</v>
      </c>
      <c r="D397" s="1">
        <v>166.53</v>
      </c>
      <c r="E397" s="4">
        <f>Tabela12[[#This Row],[Força (N)]]/$I$5</f>
        <v>3788699.1973499814</v>
      </c>
      <c r="F397" s="4">
        <f>Tabela12[[#This Row],[Tensão (Pa)]]/1000000</f>
        <v>3.7886991973499815</v>
      </c>
    </row>
    <row r="398" spans="1:6" x14ac:dyDescent="0.3">
      <c r="A398" s="1">
        <v>35.799999999999997</v>
      </c>
      <c r="B398" s="1">
        <v>2.9752999999999998</v>
      </c>
      <c r="C398" s="4">
        <f>Tabela12[[#This Row],[Alongamento (mm/mm)]]/$I$2</f>
        <v>5.9505999999999996E-2</v>
      </c>
      <c r="D398" s="1">
        <v>167.72</v>
      </c>
      <c r="E398" s="4">
        <f>Tabela12[[#This Row],[Força (N)]]/$I$5</f>
        <v>3815772.7098993505</v>
      </c>
      <c r="F398" s="4">
        <f>Tabela12[[#This Row],[Tensão (Pa)]]/1000000</f>
        <v>3.8157727098993504</v>
      </c>
    </row>
    <row r="399" spans="1:6" x14ac:dyDescent="0.3">
      <c r="A399" s="1">
        <v>35.85</v>
      </c>
      <c r="B399" s="1">
        <v>2.9794</v>
      </c>
      <c r="C399" s="4">
        <f>Tabela12[[#This Row],[Alongamento (mm/mm)]]/$I$2</f>
        <v>5.9588000000000002E-2</v>
      </c>
      <c r="D399" s="1">
        <v>168.74</v>
      </c>
      <c r="E399" s="4">
        <f>Tabela12[[#This Row],[Força (N)]]/$I$5</f>
        <v>3838978.5777988103</v>
      </c>
      <c r="F399" s="4">
        <f>Tabela12[[#This Row],[Tensão (Pa)]]/1000000</f>
        <v>3.8389785777988101</v>
      </c>
    </row>
    <row r="400" spans="1:6" x14ac:dyDescent="0.3">
      <c r="A400" s="1">
        <v>35.917000000000002</v>
      </c>
      <c r="B400" s="1">
        <v>2.9849000000000001</v>
      </c>
      <c r="C400" s="4">
        <f>Tabela12[[#This Row],[Alongamento (mm/mm)]]/$I$2</f>
        <v>5.9698000000000001E-2</v>
      </c>
      <c r="D400" s="1">
        <v>169.93</v>
      </c>
      <c r="E400" s="4">
        <f>Tabela12[[#This Row],[Força (N)]]/$I$5</f>
        <v>3866052.0903481799</v>
      </c>
      <c r="F400" s="4">
        <f>Tabela12[[#This Row],[Tensão (Pa)]]/1000000</f>
        <v>3.8660520903481799</v>
      </c>
    </row>
    <row r="401" spans="1:6" x14ac:dyDescent="0.3">
      <c r="A401" s="1">
        <v>35.966999999999999</v>
      </c>
      <c r="B401" s="1">
        <v>2.9891000000000001</v>
      </c>
      <c r="C401" s="4">
        <f>Tabela12[[#This Row],[Alongamento (mm/mm)]]/$I$2</f>
        <v>5.9782000000000002E-2</v>
      </c>
      <c r="D401" s="1">
        <v>170.95</v>
      </c>
      <c r="E401" s="4">
        <f>Tabela12[[#This Row],[Força (N)]]/$I$5</f>
        <v>3889257.9582476388</v>
      </c>
      <c r="F401" s="4">
        <f>Tabela12[[#This Row],[Tensão (Pa)]]/1000000</f>
        <v>3.8892579582476388</v>
      </c>
    </row>
    <row r="402" spans="1:6" x14ac:dyDescent="0.3">
      <c r="A402" s="1">
        <v>36.017000000000003</v>
      </c>
      <c r="B402" s="1">
        <v>2.9933000000000001</v>
      </c>
      <c r="C402" s="4">
        <f>Tabela12[[#This Row],[Alongamento (mm/mm)]]/$I$2</f>
        <v>5.9866000000000003E-2</v>
      </c>
      <c r="D402" s="1">
        <v>171.97</v>
      </c>
      <c r="E402" s="4">
        <f>Tabela12[[#This Row],[Força (N)]]/$I$5</f>
        <v>3912463.8261470986</v>
      </c>
      <c r="F402" s="4">
        <f>Tabela12[[#This Row],[Tensão (Pa)]]/1000000</f>
        <v>3.9124638261470985</v>
      </c>
    </row>
    <row r="403" spans="1:6" x14ac:dyDescent="0.3">
      <c r="A403" s="1">
        <v>36.067</v>
      </c>
      <c r="B403" s="1">
        <v>2.9975000000000001</v>
      </c>
      <c r="C403" s="4">
        <f>Tabela12[[#This Row],[Alongamento (mm/mm)]]/$I$2</f>
        <v>5.9950000000000003E-2</v>
      </c>
      <c r="D403" s="1">
        <v>172.99</v>
      </c>
      <c r="E403" s="4">
        <f>Tabela12[[#This Row],[Força (N)]]/$I$5</f>
        <v>3935669.6940465579</v>
      </c>
      <c r="F403" s="4">
        <f>Tabela12[[#This Row],[Tensão (Pa)]]/1000000</f>
        <v>3.9356696940465579</v>
      </c>
    </row>
    <row r="404" spans="1:6" x14ac:dyDescent="0.3">
      <c r="A404" s="1">
        <v>36.116999999999997</v>
      </c>
      <c r="B404" s="1">
        <v>3.0017</v>
      </c>
      <c r="C404" s="4">
        <f>Tabela12[[#This Row],[Alongamento (mm/mm)]]/$I$2</f>
        <v>6.0034000000000004E-2</v>
      </c>
      <c r="D404" s="1">
        <v>174.01</v>
      </c>
      <c r="E404" s="4">
        <f>Tabela12[[#This Row],[Força (N)]]/$I$5</f>
        <v>3958875.5619460172</v>
      </c>
      <c r="F404" s="4">
        <f>Tabela12[[#This Row],[Tensão (Pa)]]/1000000</f>
        <v>3.9588755619460172</v>
      </c>
    </row>
    <row r="405" spans="1:6" x14ac:dyDescent="0.3">
      <c r="A405" s="1">
        <v>36.183</v>
      </c>
      <c r="B405" s="1">
        <v>3.0072999999999999</v>
      </c>
      <c r="C405" s="4">
        <f>Tabela12[[#This Row],[Alongamento (mm/mm)]]/$I$2</f>
        <v>6.0145999999999998E-2</v>
      </c>
      <c r="D405" s="1">
        <v>175.2</v>
      </c>
      <c r="E405" s="4">
        <f>Tabela12[[#This Row],[Força (N)]]/$I$5</f>
        <v>3985949.0744953863</v>
      </c>
      <c r="F405" s="4">
        <f>Tabela12[[#This Row],[Tensão (Pa)]]/1000000</f>
        <v>3.9859490744953865</v>
      </c>
    </row>
    <row r="406" spans="1:6" x14ac:dyDescent="0.3">
      <c r="A406" s="1">
        <v>36.25</v>
      </c>
      <c r="B406" s="1">
        <v>3.0127999999999999</v>
      </c>
      <c r="C406" s="4">
        <f>Tabela12[[#This Row],[Alongamento (mm/mm)]]/$I$2</f>
        <v>6.0255999999999997E-2</v>
      </c>
      <c r="D406" s="1">
        <v>176.73</v>
      </c>
      <c r="E406" s="4">
        <f>Tabela12[[#This Row],[Força (N)]]/$I$5</f>
        <v>4020757.8763445755</v>
      </c>
      <c r="F406" s="4">
        <f>Tabela12[[#This Row],[Tensão (Pa)]]/1000000</f>
        <v>4.0207578763445753</v>
      </c>
    </row>
    <row r="407" spans="1:6" x14ac:dyDescent="0.3">
      <c r="A407" s="1">
        <v>36.317</v>
      </c>
      <c r="B407" s="1">
        <v>3.0183</v>
      </c>
      <c r="C407" s="4">
        <f>Tabela12[[#This Row],[Alongamento (mm/mm)]]/$I$2</f>
        <v>6.0366000000000003E-2</v>
      </c>
      <c r="D407" s="1">
        <v>178.09</v>
      </c>
      <c r="E407" s="4">
        <f>Tabela12[[#This Row],[Força (N)]]/$I$5</f>
        <v>4051699.0335438554</v>
      </c>
      <c r="F407" s="4">
        <f>Tabela12[[#This Row],[Tensão (Pa)]]/1000000</f>
        <v>4.0516990335438559</v>
      </c>
    </row>
    <row r="408" spans="1:6" x14ac:dyDescent="0.3">
      <c r="A408" s="1">
        <v>36.383000000000003</v>
      </c>
      <c r="B408" s="1">
        <v>3.0238999999999998</v>
      </c>
      <c r="C408" s="4">
        <f>Tabela12[[#This Row],[Alongamento (mm/mm)]]/$I$2</f>
        <v>6.0477999999999997E-2</v>
      </c>
      <c r="D408" s="1">
        <v>179.45</v>
      </c>
      <c r="E408" s="4">
        <f>Tabela12[[#This Row],[Força (N)]]/$I$5</f>
        <v>4082640.1907431339</v>
      </c>
      <c r="F408" s="4">
        <f>Tabela12[[#This Row],[Tensão (Pa)]]/1000000</f>
        <v>4.0826401907431338</v>
      </c>
    </row>
    <row r="409" spans="1:6" x14ac:dyDescent="0.3">
      <c r="A409" s="1">
        <v>36.450000000000003</v>
      </c>
      <c r="B409" s="1">
        <v>3.0293999999999999</v>
      </c>
      <c r="C409" s="4">
        <f>Tabela12[[#This Row],[Alongamento (mm/mm)]]/$I$2</f>
        <v>6.0587999999999996E-2</v>
      </c>
      <c r="D409" s="1">
        <v>180.82</v>
      </c>
      <c r="E409" s="4">
        <f>Tabela12[[#This Row],[Força (N)]]/$I$5</f>
        <v>4113808.8564512315</v>
      </c>
      <c r="F409" s="4">
        <f>Tabela12[[#This Row],[Tensão (Pa)]]/1000000</f>
        <v>4.1138088564512314</v>
      </c>
    </row>
    <row r="410" spans="1:6" x14ac:dyDescent="0.3">
      <c r="A410" s="1">
        <v>36.517000000000003</v>
      </c>
      <c r="B410" s="1">
        <v>3.0350000000000001</v>
      </c>
      <c r="C410" s="4">
        <f>Tabela12[[#This Row],[Alongamento (mm/mm)]]/$I$2</f>
        <v>6.0700000000000004E-2</v>
      </c>
      <c r="D410" s="1">
        <v>182.18</v>
      </c>
      <c r="E410" s="4">
        <f>Tabela12[[#This Row],[Força (N)]]/$I$5</f>
        <v>4144750.0136505114</v>
      </c>
      <c r="F410" s="4">
        <f>Tabela12[[#This Row],[Tensão (Pa)]]/1000000</f>
        <v>4.1447500136505111</v>
      </c>
    </row>
    <row r="411" spans="1:6" x14ac:dyDescent="0.3">
      <c r="A411" s="1">
        <v>36.582999999999998</v>
      </c>
      <c r="B411" s="1">
        <v>3.0406</v>
      </c>
      <c r="C411" s="4">
        <f>Tabela12[[#This Row],[Alongamento (mm/mm)]]/$I$2</f>
        <v>6.0811999999999998E-2</v>
      </c>
      <c r="D411" s="1">
        <v>183.54</v>
      </c>
      <c r="E411" s="4">
        <f>Tabela12[[#This Row],[Força (N)]]/$I$5</f>
        <v>4175691.1708497903</v>
      </c>
      <c r="F411" s="4">
        <f>Tabela12[[#This Row],[Tensão (Pa)]]/1000000</f>
        <v>4.1756911708497899</v>
      </c>
    </row>
    <row r="412" spans="1:6" x14ac:dyDescent="0.3">
      <c r="A412" s="1">
        <v>36.65</v>
      </c>
      <c r="B412" s="1">
        <v>3.0461</v>
      </c>
      <c r="C412" s="4">
        <f>Tabela12[[#This Row],[Alongamento (mm/mm)]]/$I$2</f>
        <v>6.0922000000000004E-2</v>
      </c>
      <c r="D412" s="1">
        <v>184.9</v>
      </c>
      <c r="E412" s="4">
        <f>Tabela12[[#This Row],[Força (N)]]/$I$5</f>
        <v>4206632.3280490702</v>
      </c>
      <c r="F412" s="4">
        <f>Tabela12[[#This Row],[Tensão (Pa)]]/1000000</f>
        <v>4.2066323280490705</v>
      </c>
    </row>
    <row r="413" spans="1:6" x14ac:dyDescent="0.3">
      <c r="A413" s="1">
        <v>36.716999999999999</v>
      </c>
      <c r="B413" s="1">
        <v>3.0516999999999999</v>
      </c>
      <c r="C413" s="4">
        <f>Tabela12[[#This Row],[Alongamento (mm/mm)]]/$I$2</f>
        <v>6.1033999999999998E-2</v>
      </c>
      <c r="D413" s="1">
        <v>186.43</v>
      </c>
      <c r="E413" s="4">
        <f>Tabela12[[#This Row],[Força (N)]]/$I$5</f>
        <v>4241441.1298982594</v>
      </c>
      <c r="F413" s="4">
        <f>Tabela12[[#This Row],[Tensão (Pa)]]/1000000</f>
        <v>4.2414411298982593</v>
      </c>
    </row>
    <row r="414" spans="1:6" x14ac:dyDescent="0.3">
      <c r="A414" s="1">
        <v>36.783000000000001</v>
      </c>
      <c r="B414" s="1">
        <v>3.0571999999999999</v>
      </c>
      <c r="C414" s="4">
        <f>Tabela12[[#This Row],[Alongamento (mm/mm)]]/$I$2</f>
        <v>6.1143999999999997E-2</v>
      </c>
      <c r="D414" s="1">
        <v>187.79</v>
      </c>
      <c r="E414" s="4">
        <f>Tabela12[[#This Row],[Força (N)]]/$I$5</f>
        <v>4272382.2870975379</v>
      </c>
      <c r="F414" s="4">
        <f>Tabela12[[#This Row],[Tensão (Pa)]]/1000000</f>
        <v>4.2723822870975381</v>
      </c>
    </row>
    <row r="415" spans="1:6" x14ac:dyDescent="0.3">
      <c r="A415" s="1">
        <v>36.85</v>
      </c>
      <c r="B415" s="1">
        <v>3.0628000000000002</v>
      </c>
      <c r="C415" s="4">
        <f>Tabela12[[#This Row],[Alongamento (mm/mm)]]/$I$2</f>
        <v>6.1256000000000005E-2</v>
      </c>
      <c r="D415" s="1">
        <v>189.15</v>
      </c>
      <c r="E415" s="4">
        <f>Tabela12[[#This Row],[Força (N)]]/$I$5</f>
        <v>4303323.4442968173</v>
      </c>
      <c r="F415" s="4">
        <f>Tabela12[[#This Row],[Tensão (Pa)]]/1000000</f>
        <v>4.3033234442968169</v>
      </c>
    </row>
    <row r="416" spans="1:6" x14ac:dyDescent="0.3">
      <c r="A416" s="1">
        <v>36.917000000000002</v>
      </c>
      <c r="B416" s="1">
        <v>3.0682999999999998</v>
      </c>
      <c r="C416" s="4">
        <f>Tabela12[[#This Row],[Alongamento (mm/mm)]]/$I$2</f>
        <v>6.1365999999999997E-2</v>
      </c>
      <c r="D416" s="1">
        <v>190.68</v>
      </c>
      <c r="E416" s="4">
        <f>Tabela12[[#This Row],[Força (N)]]/$I$5</f>
        <v>4338132.2461460065</v>
      </c>
      <c r="F416" s="4">
        <f>Tabela12[[#This Row],[Tensão (Pa)]]/1000000</f>
        <v>4.3381322461460066</v>
      </c>
    </row>
    <row r="417" spans="1:6" x14ac:dyDescent="0.3">
      <c r="A417" s="1">
        <v>36.982999999999997</v>
      </c>
      <c r="B417" s="1">
        <v>3.0739000000000001</v>
      </c>
      <c r="C417" s="4">
        <f>Tabela12[[#This Row],[Alongamento (mm/mm)]]/$I$2</f>
        <v>6.1478000000000005E-2</v>
      </c>
      <c r="D417" s="1">
        <v>192.04</v>
      </c>
      <c r="E417" s="4">
        <f>Tabela12[[#This Row],[Força (N)]]/$I$5</f>
        <v>4369073.4033452859</v>
      </c>
      <c r="F417" s="4">
        <f>Tabela12[[#This Row],[Tensão (Pa)]]/1000000</f>
        <v>4.3690734033452863</v>
      </c>
    </row>
    <row r="418" spans="1:6" x14ac:dyDescent="0.3">
      <c r="A418" s="1">
        <v>37.049999999999997</v>
      </c>
      <c r="B418" s="1">
        <v>3.0794999999999999</v>
      </c>
      <c r="C418" s="4">
        <f>Tabela12[[#This Row],[Alongamento (mm/mm)]]/$I$2</f>
        <v>6.1589999999999999E-2</v>
      </c>
      <c r="D418" s="1">
        <v>193.57</v>
      </c>
      <c r="E418" s="4">
        <f>Tabela12[[#This Row],[Força (N)]]/$I$5</f>
        <v>4403882.2051944751</v>
      </c>
      <c r="F418" s="4">
        <f>Tabela12[[#This Row],[Tensão (Pa)]]/1000000</f>
        <v>4.403882205194475</v>
      </c>
    </row>
    <row r="419" spans="1:6" x14ac:dyDescent="0.3">
      <c r="A419" s="1">
        <v>37.116999999999997</v>
      </c>
      <c r="B419" s="1">
        <v>3.0851000000000002</v>
      </c>
      <c r="C419" s="4">
        <f>Tabela12[[#This Row],[Alongamento (mm/mm)]]/$I$2</f>
        <v>6.1702000000000007E-2</v>
      </c>
      <c r="D419" s="1">
        <v>195.1</v>
      </c>
      <c r="E419" s="4">
        <f>Tabela12[[#This Row],[Força (N)]]/$I$5</f>
        <v>4438691.0070436643</v>
      </c>
      <c r="F419" s="4">
        <f>Tabela12[[#This Row],[Tensão (Pa)]]/1000000</f>
        <v>4.4386910070436647</v>
      </c>
    </row>
    <row r="420" spans="1:6" x14ac:dyDescent="0.3">
      <c r="A420" s="1">
        <v>37.183</v>
      </c>
      <c r="B420" s="1">
        <v>3.0905</v>
      </c>
      <c r="C420" s="4">
        <f>Tabela12[[#This Row],[Alongamento (mm/mm)]]/$I$2</f>
        <v>6.1810000000000004E-2</v>
      </c>
      <c r="D420" s="1">
        <v>196.46</v>
      </c>
      <c r="E420" s="4">
        <f>Tabela12[[#This Row],[Força (N)]]/$I$5</f>
        <v>4469632.1642429437</v>
      </c>
      <c r="F420" s="4">
        <f>Tabela12[[#This Row],[Tensão (Pa)]]/1000000</f>
        <v>4.4696321642429435</v>
      </c>
    </row>
    <row r="421" spans="1:6" x14ac:dyDescent="0.3">
      <c r="A421" s="1">
        <v>37.25</v>
      </c>
      <c r="B421" s="1">
        <v>3.0960999999999999</v>
      </c>
      <c r="C421" s="4">
        <f>Tabela12[[#This Row],[Alongamento (mm/mm)]]/$I$2</f>
        <v>6.1921999999999998E-2</v>
      </c>
      <c r="D421" s="1">
        <v>198</v>
      </c>
      <c r="E421" s="4">
        <f>Tabela12[[#This Row],[Força (N)]]/$I$5</f>
        <v>4504668.4746009503</v>
      </c>
      <c r="F421" s="4">
        <f>Tabela12[[#This Row],[Tensão (Pa)]]/1000000</f>
        <v>4.5046684746009502</v>
      </c>
    </row>
    <row r="422" spans="1:6" x14ac:dyDescent="0.3">
      <c r="A422" s="1">
        <v>37.317</v>
      </c>
      <c r="B422" s="1">
        <v>3.1017000000000001</v>
      </c>
      <c r="C422" s="4">
        <f>Tabela12[[#This Row],[Alongamento (mm/mm)]]/$I$2</f>
        <v>6.2034000000000006E-2</v>
      </c>
      <c r="D422" s="1">
        <v>199.53</v>
      </c>
      <c r="E422" s="4">
        <f>Tabela12[[#This Row],[Força (N)]]/$I$5</f>
        <v>4539477.2764501395</v>
      </c>
      <c r="F422" s="4">
        <f>Tabela12[[#This Row],[Tensão (Pa)]]/1000000</f>
        <v>4.5394772764501399</v>
      </c>
    </row>
    <row r="423" spans="1:6" x14ac:dyDescent="0.3">
      <c r="A423" s="1">
        <v>37.383000000000003</v>
      </c>
      <c r="B423" s="1">
        <v>3.1072000000000002</v>
      </c>
      <c r="C423" s="4">
        <f>Tabela12[[#This Row],[Alongamento (mm/mm)]]/$I$2</f>
        <v>6.2144000000000005E-2</v>
      </c>
      <c r="D423" s="1">
        <v>201.06</v>
      </c>
      <c r="E423" s="4">
        <f>Tabela12[[#This Row],[Força (N)]]/$I$5</f>
        <v>4574286.0782993287</v>
      </c>
      <c r="F423" s="4">
        <f>Tabela12[[#This Row],[Tensão (Pa)]]/1000000</f>
        <v>4.5742860782993287</v>
      </c>
    </row>
    <row r="424" spans="1:6" x14ac:dyDescent="0.3">
      <c r="A424" s="1">
        <v>37.450000000000003</v>
      </c>
      <c r="B424" s="1">
        <v>3.1128</v>
      </c>
      <c r="C424" s="4">
        <f>Tabela12[[#This Row],[Alongamento (mm/mm)]]/$I$2</f>
        <v>6.2255999999999999E-2</v>
      </c>
      <c r="D424" s="1">
        <v>202.59</v>
      </c>
      <c r="E424" s="4">
        <f>Tabela12[[#This Row],[Força (N)]]/$I$5</f>
        <v>4609094.8801485179</v>
      </c>
      <c r="F424" s="4">
        <f>Tabela12[[#This Row],[Tensão (Pa)]]/1000000</f>
        <v>4.6090948801485183</v>
      </c>
    </row>
    <row r="425" spans="1:6" x14ac:dyDescent="0.3">
      <c r="A425" s="1">
        <v>37.517000000000003</v>
      </c>
      <c r="B425" s="1">
        <v>3.1183000000000001</v>
      </c>
      <c r="C425" s="4">
        <f>Tabela12[[#This Row],[Alongamento (mm/mm)]]/$I$2</f>
        <v>6.2366000000000005E-2</v>
      </c>
      <c r="D425" s="1">
        <v>204.12</v>
      </c>
      <c r="E425" s="4">
        <f>Tabela12[[#This Row],[Força (N)]]/$I$5</f>
        <v>4643903.6819977071</v>
      </c>
      <c r="F425" s="4">
        <f>Tabela12[[#This Row],[Tensão (Pa)]]/1000000</f>
        <v>4.6439036819977071</v>
      </c>
    </row>
    <row r="426" spans="1:6" x14ac:dyDescent="0.3">
      <c r="A426" s="1">
        <v>37.582999999999998</v>
      </c>
      <c r="B426" s="1">
        <v>3.1238000000000001</v>
      </c>
      <c r="C426" s="4">
        <f>Tabela12[[#This Row],[Alongamento (mm/mm)]]/$I$2</f>
        <v>6.2476000000000004E-2</v>
      </c>
      <c r="D426" s="1">
        <v>205.65</v>
      </c>
      <c r="E426" s="4">
        <f>Tabela12[[#This Row],[Força (N)]]/$I$5</f>
        <v>4678712.4838468963</v>
      </c>
      <c r="F426" s="4">
        <f>Tabela12[[#This Row],[Tensão (Pa)]]/1000000</f>
        <v>4.6787124838468968</v>
      </c>
    </row>
    <row r="427" spans="1:6" x14ac:dyDescent="0.3">
      <c r="A427" s="1">
        <v>37.65</v>
      </c>
      <c r="B427" s="1">
        <v>3.1294</v>
      </c>
      <c r="C427" s="4">
        <f>Tabela12[[#This Row],[Alongamento (mm/mm)]]/$I$2</f>
        <v>6.2588000000000005E-2</v>
      </c>
      <c r="D427" s="1">
        <v>207.18</v>
      </c>
      <c r="E427" s="4">
        <f>Tabela12[[#This Row],[Força (N)]]/$I$5</f>
        <v>4713521.2856960855</v>
      </c>
      <c r="F427" s="4">
        <f>Tabela12[[#This Row],[Tensão (Pa)]]/1000000</f>
        <v>4.7135212856960855</v>
      </c>
    </row>
    <row r="428" spans="1:6" x14ac:dyDescent="0.3">
      <c r="A428" s="1">
        <v>37.716999999999999</v>
      </c>
      <c r="B428" s="1">
        <v>3.1349999999999998</v>
      </c>
      <c r="C428" s="4">
        <f>Tabela12[[#This Row],[Alongamento (mm/mm)]]/$I$2</f>
        <v>6.2699999999999992E-2</v>
      </c>
      <c r="D428" s="1">
        <v>208.88</v>
      </c>
      <c r="E428" s="4">
        <f>Tabela12[[#This Row],[Força (N)]]/$I$5</f>
        <v>4752197.7321951846</v>
      </c>
      <c r="F428" s="4">
        <f>Tabela12[[#This Row],[Tensão (Pa)]]/1000000</f>
        <v>4.7521977321951843</v>
      </c>
    </row>
    <row r="429" spans="1:6" x14ac:dyDescent="0.3">
      <c r="A429" s="1">
        <v>37.783000000000001</v>
      </c>
      <c r="B429" s="1">
        <v>3.1404999999999998</v>
      </c>
      <c r="C429" s="4">
        <f>Tabela12[[#This Row],[Alongamento (mm/mm)]]/$I$2</f>
        <v>6.2809999999999991E-2</v>
      </c>
      <c r="D429" s="1">
        <v>210.41</v>
      </c>
      <c r="E429" s="4">
        <f>Tabela12[[#This Row],[Força (N)]]/$I$5</f>
        <v>4787006.5340443738</v>
      </c>
      <c r="F429" s="4">
        <f>Tabela12[[#This Row],[Tensão (Pa)]]/1000000</f>
        <v>4.7870065340443739</v>
      </c>
    </row>
    <row r="430" spans="1:6" x14ac:dyDescent="0.3">
      <c r="A430" s="1">
        <v>37.85</v>
      </c>
      <c r="B430" s="1">
        <v>3.1461999999999999</v>
      </c>
      <c r="C430" s="4">
        <f>Tabela12[[#This Row],[Alongamento (mm/mm)]]/$I$2</f>
        <v>6.2923999999999994E-2</v>
      </c>
      <c r="D430" s="1">
        <v>211.94</v>
      </c>
      <c r="E430" s="4">
        <f>Tabela12[[#This Row],[Força (N)]]/$I$5</f>
        <v>4821815.335893563</v>
      </c>
      <c r="F430" s="4">
        <f>Tabela12[[#This Row],[Tensão (Pa)]]/1000000</f>
        <v>4.8218153358935627</v>
      </c>
    </row>
    <row r="431" spans="1:6" x14ac:dyDescent="0.3">
      <c r="A431" s="1">
        <v>37.917000000000002</v>
      </c>
      <c r="B431" s="1">
        <v>3.1516999999999999</v>
      </c>
      <c r="C431" s="4">
        <f>Tabela12[[#This Row],[Alongamento (mm/mm)]]/$I$2</f>
        <v>6.3033999999999993E-2</v>
      </c>
      <c r="D431" s="1">
        <v>213.64</v>
      </c>
      <c r="E431" s="4">
        <f>Tabela12[[#This Row],[Força (N)]]/$I$5</f>
        <v>4860491.782392662</v>
      </c>
      <c r="F431" s="4">
        <f>Tabela12[[#This Row],[Tensão (Pa)]]/1000000</f>
        <v>4.8604917823926623</v>
      </c>
    </row>
    <row r="432" spans="1:6" x14ac:dyDescent="0.3">
      <c r="A432" s="1">
        <v>37.982999999999997</v>
      </c>
      <c r="B432" s="1">
        <v>3.1573000000000002</v>
      </c>
      <c r="C432" s="4">
        <f>Tabela12[[#This Row],[Alongamento (mm/mm)]]/$I$2</f>
        <v>6.3146000000000008E-2</v>
      </c>
      <c r="D432" s="1">
        <v>215.18</v>
      </c>
      <c r="E432" s="4">
        <f>Tabela12[[#This Row],[Força (N)]]/$I$5</f>
        <v>4895528.0927506695</v>
      </c>
      <c r="F432" s="4">
        <f>Tabela12[[#This Row],[Tensão (Pa)]]/1000000</f>
        <v>4.895528092750669</v>
      </c>
    </row>
    <row r="433" spans="1:6" x14ac:dyDescent="0.3">
      <c r="A433" s="1">
        <v>38.049999999999997</v>
      </c>
      <c r="B433" s="1">
        <v>3.1627999999999998</v>
      </c>
      <c r="C433" s="4">
        <f>Tabela12[[#This Row],[Alongamento (mm/mm)]]/$I$2</f>
        <v>6.3255999999999993E-2</v>
      </c>
      <c r="D433" s="1">
        <v>216.71</v>
      </c>
      <c r="E433" s="4">
        <f>Tabela12[[#This Row],[Força (N)]]/$I$5</f>
        <v>4930336.8945998587</v>
      </c>
      <c r="F433" s="4">
        <f>Tabela12[[#This Row],[Tensão (Pa)]]/1000000</f>
        <v>4.9303368945998587</v>
      </c>
    </row>
    <row r="434" spans="1:6" x14ac:dyDescent="0.3">
      <c r="A434" s="1">
        <v>38.116999999999997</v>
      </c>
      <c r="B434" s="1">
        <v>3.1682999999999999</v>
      </c>
      <c r="C434" s="4">
        <f>Tabela12[[#This Row],[Alongamento (mm/mm)]]/$I$2</f>
        <v>6.3365999999999992E-2</v>
      </c>
      <c r="D434" s="1">
        <v>218.41</v>
      </c>
      <c r="E434" s="4">
        <f>Tabela12[[#This Row],[Força (N)]]/$I$5</f>
        <v>4969013.3410989577</v>
      </c>
      <c r="F434" s="4">
        <f>Tabela12[[#This Row],[Tensão (Pa)]]/1000000</f>
        <v>4.9690133410989574</v>
      </c>
    </row>
    <row r="435" spans="1:6" x14ac:dyDescent="0.3">
      <c r="A435" s="1">
        <v>38.200000000000003</v>
      </c>
      <c r="B435" s="1">
        <v>3.1751999999999998</v>
      </c>
      <c r="C435" s="4">
        <f>Tabela12[[#This Row],[Alongamento (mm/mm)]]/$I$2</f>
        <v>6.3503999999999991E-2</v>
      </c>
      <c r="D435" s="1">
        <v>220.45</v>
      </c>
      <c r="E435" s="4">
        <f>Tabela12[[#This Row],[Força (N)]]/$I$5</f>
        <v>5015425.0768978763</v>
      </c>
      <c r="F435" s="4">
        <f>Tabela12[[#This Row],[Tensão (Pa)]]/1000000</f>
        <v>5.0154250768978761</v>
      </c>
    </row>
    <row r="436" spans="1:6" x14ac:dyDescent="0.3">
      <c r="A436" s="1">
        <v>38.283000000000001</v>
      </c>
      <c r="B436" s="1">
        <v>3.1821999999999999</v>
      </c>
      <c r="C436" s="4">
        <f>Tabela12[[#This Row],[Alongamento (mm/mm)]]/$I$2</f>
        <v>6.3643999999999992E-2</v>
      </c>
      <c r="D436" s="1">
        <v>222.49</v>
      </c>
      <c r="E436" s="4">
        <f>Tabela12[[#This Row],[Força (N)]]/$I$5</f>
        <v>5061836.8126967959</v>
      </c>
      <c r="F436" s="4">
        <f>Tabela12[[#This Row],[Tensão (Pa)]]/1000000</f>
        <v>5.0618368126967956</v>
      </c>
    </row>
    <row r="437" spans="1:6" x14ac:dyDescent="0.3">
      <c r="A437" s="1">
        <v>38.35</v>
      </c>
      <c r="B437" s="1">
        <v>3.1878000000000002</v>
      </c>
      <c r="C437" s="4">
        <f>Tabela12[[#This Row],[Alongamento (mm/mm)]]/$I$2</f>
        <v>6.3756000000000007E-2</v>
      </c>
      <c r="D437" s="1">
        <v>224.19</v>
      </c>
      <c r="E437" s="4">
        <f>Tabela12[[#This Row],[Força (N)]]/$I$5</f>
        <v>5100513.2591958949</v>
      </c>
      <c r="F437" s="4">
        <f>Tabela12[[#This Row],[Tensão (Pa)]]/1000000</f>
        <v>5.1005132591958953</v>
      </c>
    </row>
    <row r="438" spans="1:6" x14ac:dyDescent="0.3">
      <c r="A438" s="1">
        <v>38.417000000000002</v>
      </c>
      <c r="B438" s="1">
        <v>3.1934</v>
      </c>
      <c r="C438" s="4">
        <f>Tabela12[[#This Row],[Alongamento (mm/mm)]]/$I$2</f>
        <v>6.3867999999999994E-2</v>
      </c>
      <c r="D438" s="1">
        <v>225.89</v>
      </c>
      <c r="E438" s="4">
        <f>Tabela12[[#This Row],[Força (N)]]/$I$5</f>
        <v>5139189.705694993</v>
      </c>
      <c r="F438" s="4">
        <f>Tabela12[[#This Row],[Tensão (Pa)]]/1000000</f>
        <v>5.1391897056949931</v>
      </c>
    </row>
    <row r="439" spans="1:6" x14ac:dyDescent="0.3">
      <c r="A439" s="1">
        <v>38.482999999999997</v>
      </c>
      <c r="B439" s="1">
        <v>3.1989999999999998</v>
      </c>
      <c r="C439" s="4">
        <f>Tabela12[[#This Row],[Alongamento (mm/mm)]]/$I$2</f>
        <v>6.3979999999999995E-2</v>
      </c>
      <c r="D439" s="1">
        <v>227.59</v>
      </c>
      <c r="E439" s="4">
        <f>Tabela12[[#This Row],[Força (N)]]/$I$5</f>
        <v>5177866.152194093</v>
      </c>
      <c r="F439" s="4">
        <f>Tabela12[[#This Row],[Tensão (Pa)]]/1000000</f>
        <v>5.1778661521940927</v>
      </c>
    </row>
    <row r="440" spans="1:6" x14ac:dyDescent="0.3">
      <c r="A440" s="1">
        <v>38.549999999999997</v>
      </c>
      <c r="B440" s="1">
        <v>3.2044999999999999</v>
      </c>
      <c r="C440" s="4">
        <f>Tabela12[[#This Row],[Alongamento (mm/mm)]]/$I$2</f>
        <v>6.4089999999999994E-2</v>
      </c>
      <c r="D440" s="1">
        <v>229.29</v>
      </c>
      <c r="E440" s="4">
        <f>Tabela12[[#This Row],[Força (N)]]/$I$5</f>
        <v>5216542.598693192</v>
      </c>
      <c r="F440" s="4">
        <f>Tabela12[[#This Row],[Tensão (Pa)]]/1000000</f>
        <v>5.2165425986931924</v>
      </c>
    </row>
    <row r="441" spans="1:6" x14ac:dyDescent="0.3">
      <c r="A441" s="1">
        <v>38.616999999999997</v>
      </c>
      <c r="B441" s="1">
        <v>3.21</v>
      </c>
      <c r="C441" s="4">
        <f>Tabela12[[#This Row],[Alongamento (mm/mm)]]/$I$2</f>
        <v>6.4199999999999993E-2</v>
      </c>
      <c r="D441" s="1">
        <v>230.99</v>
      </c>
      <c r="E441" s="4">
        <f>Tabela12[[#This Row],[Força (N)]]/$I$5</f>
        <v>5255219.045192291</v>
      </c>
      <c r="F441" s="4">
        <f>Tabela12[[#This Row],[Tensão (Pa)]]/1000000</f>
        <v>5.2552190451922911</v>
      </c>
    </row>
    <row r="442" spans="1:6" x14ac:dyDescent="0.3">
      <c r="A442" s="1">
        <v>38.683</v>
      </c>
      <c r="B442" s="1">
        <v>3.2155</v>
      </c>
      <c r="C442" s="4">
        <f>Tabela12[[#This Row],[Alongamento (mm/mm)]]/$I$2</f>
        <v>6.4310000000000006E-2</v>
      </c>
      <c r="D442" s="1">
        <v>232.7</v>
      </c>
      <c r="E442" s="4">
        <f>Tabela12[[#This Row],[Força (N)]]/$I$5</f>
        <v>5294123.0002002083</v>
      </c>
      <c r="F442" s="4">
        <f>Tabela12[[#This Row],[Tensão (Pa)]]/1000000</f>
        <v>5.2941230002002087</v>
      </c>
    </row>
    <row r="443" spans="1:6" x14ac:dyDescent="0.3">
      <c r="A443" s="1">
        <v>38.75</v>
      </c>
      <c r="B443" s="1">
        <v>3.2210999999999999</v>
      </c>
      <c r="C443" s="4">
        <f>Tabela12[[#This Row],[Alongamento (mm/mm)]]/$I$2</f>
        <v>6.4421999999999993E-2</v>
      </c>
      <c r="D443" s="1">
        <v>234.4</v>
      </c>
      <c r="E443" s="4">
        <f>Tabela12[[#This Row],[Força (N)]]/$I$5</f>
        <v>5332799.4466993073</v>
      </c>
      <c r="F443" s="4">
        <f>Tabela12[[#This Row],[Tensão (Pa)]]/1000000</f>
        <v>5.3327994466993074</v>
      </c>
    </row>
    <row r="444" spans="1:6" x14ac:dyDescent="0.3">
      <c r="A444" s="1">
        <v>38.817</v>
      </c>
      <c r="B444" s="1">
        <v>3.2267000000000001</v>
      </c>
      <c r="C444" s="4">
        <f>Tabela12[[#This Row],[Alongamento (mm/mm)]]/$I$2</f>
        <v>6.4534000000000008E-2</v>
      </c>
      <c r="D444" s="1">
        <v>236.1</v>
      </c>
      <c r="E444" s="4">
        <f>Tabela12[[#This Row],[Força (N)]]/$I$5</f>
        <v>5371475.8931984063</v>
      </c>
      <c r="F444" s="4">
        <f>Tabela12[[#This Row],[Tensão (Pa)]]/1000000</f>
        <v>5.3714758931984061</v>
      </c>
    </row>
    <row r="445" spans="1:6" x14ac:dyDescent="0.3">
      <c r="A445" s="1">
        <v>38.883000000000003</v>
      </c>
      <c r="B445" s="1">
        <v>3.2322000000000002</v>
      </c>
      <c r="C445" s="4">
        <f>Tabela12[[#This Row],[Alongamento (mm/mm)]]/$I$2</f>
        <v>6.4644000000000007E-2</v>
      </c>
      <c r="D445" s="1">
        <v>237.8</v>
      </c>
      <c r="E445" s="4">
        <f>Tabela12[[#This Row],[Força (N)]]/$I$5</f>
        <v>5410152.3396975053</v>
      </c>
      <c r="F445" s="4">
        <f>Tabela12[[#This Row],[Tensão (Pa)]]/1000000</f>
        <v>5.4101523396975058</v>
      </c>
    </row>
    <row r="446" spans="1:6" x14ac:dyDescent="0.3">
      <c r="A446" s="1">
        <v>38.950000000000003</v>
      </c>
      <c r="B446" s="1">
        <v>3.2378</v>
      </c>
      <c r="C446" s="4">
        <f>Tabela12[[#This Row],[Alongamento (mm/mm)]]/$I$2</f>
        <v>6.4755999999999994E-2</v>
      </c>
      <c r="D446" s="1">
        <v>239.67</v>
      </c>
      <c r="E446" s="4">
        <f>Tabela12[[#This Row],[Força (N)]]/$I$5</f>
        <v>5452696.4308465142</v>
      </c>
      <c r="F446" s="4">
        <f>Tabela12[[#This Row],[Tensão (Pa)]]/1000000</f>
        <v>5.4526964308465145</v>
      </c>
    </row>
    <row r="447" spans="1:6" x14ac:dyDescent="0.3">
      <c r="A447" s="1">
        <v>39.017000000000003</v>
      </c>
      <c r="B447" s="1">
        <v>3.2433999999999998</v>
      </c>
      <c r="C447" s="4">
        <f>Tabela12[[#This Row],[Alongamento (mm/mm)]]/$I$2</f>
        <v>6.4867999999999995E-2</v>
      </c>
      <c r="D447" s="1">
        <v>241.37</v>
      </c>
      <c r="E447" s="4">
        <f>Tabela12[[#This Row],[Força (N)]]/$I$5</f>
        <v>5491372.8773456132</v>
      </c>
      <c r="F447" s="4">
        <f>Tabela12[[#This Row],[Tensão (Pa)]]/1000000</f>
        <v>5.4913728773456132</v>
      </c>
    </row>
    <row r="448" spans="1:6" x14ac:dyDescent="0.3">
      <c r="A448" s="1">
        <v>39.082999999999998</v>
      </c>
      <c r="B448" s="1">
        <v>3.2488999999999999</v>
      </c>
      <c r="C448" s="4">
        <f>Tabela12[[#This Row],[Alongamento (mm/mm)]]/$I$2</f>
        <v>6.4977999999999994E-2</v>
      </c>
      <c r="D448" s="1">
        <v>243.07</v>
      </c>
      <c r="E448" s="4">
        <f>Tabela12[[#This Row],[Força (N)]]/$I$5</f>
        <v>5530049.3238447122</v>
      </c>
      <c r="F448" s="4">
        <f>Tabela12[[#This Row],[Tensão (Pa)]]/1000000</f>
        <v>5.5300493238447119</v>
      </c>
    </row>
    <row r="449" spans="1:6" x14ac:dyDescent="0.3">
      <c r="A449" s="1">
        <v>39.15</v>
      </c>
      <c r="B449" s="1">
        <v>3.2544</v>
      </c>
      <c r="C449" s="4">
        <f>Tabela12[[#This Row],[Alongamento (mm/mm)]]/$I$2</f>
        <v>6.5087999999999993E-2</v>
      </c>
      <c r="D449" s="1">
        <v>244.77</v>
      </c>
      <c r="E449" s="4">
        <f>Tabela12[[#This Row],[Força (N)]]/$I$5</f>
        <v>5568725.7703438122</v>
      </c>
      <c r="F449" s="4">
        <f>Tabela12[[#This Row],[Tensão (Pa)]]/1000000</f>
        <v>5.5687257703438124</v>
      </c>
    </row>
    <row r="450" spans="1:6" x14ac:dyDescent="0.3">
      <c r="A450" s="1">
        <v>39.216999999999999</v>
      </c>
      <c r="B450" s="1">
        <v>3.26</v>
      </c>
      <c r="C450" s="4">
        <f>Tabela12[[#This Row],[Alongamento (mm/mm)]]/$I$2</f>
        <v>6.5199999999999994E-2</v>
      </c>
      <c r="D450" s="1">
        <v>246.47</v>
      </c>
      <c r="E450" s="4">
        <f>Tabela12[[#This Row],[Força (N)]]/$I$5</f>
        <v>5607402.2168429103</v>
      </c>
      <c r="F450" s="4">
        <f>Tabela12[[#This Row],[Tensão (Pa)]]/1000000</f>
        <v>5.6074022168429103</v>
      </c>
    </row>
    <row r="451" spans="1:6" x14ac:dyDescent="0.3">
      <c r="A451" s="1">
        <v>39.283000000000001</v>
      </c>
      <c r="B451" s="1">
        <v>3.2656000000000001</v>
      </c>
      <c r="C451" s="4">
        <f>Tabela12[[#This Row],[Alongamento (mm/mm)]]/$I$2</f>
        <v>6.5311999999999995E-2</v>
      </c>
      <c r="D451" s="1">
        <v>248.34</v>
      </c>
      <c r="E451" s="4">
        <f>Tabela12[[#This Row],[Força (N)]]/$I$5</f>
        <v>5649946.30799192</v>
      </c>
      <c r="F451" s="4">
        <f>Tabela12[[#This Row],[Tensão (Pa)]]/1000000</f>
        <v>5.6499463079919199</v>
      </c>
    </row>
    <row r="452" spans="1:6" x14ac:dyDescent="0.3">
      <c r="A452" s="1">
        <v>39.35</v>
      </c>
      <c r="B452" s="1">
        <v>3.2711000000000001</v>
      </c>
      <c r="C452" s="4">
        <f>Tabela12[[#This Row],[Alongamento (mm/mm)]]/$I$2</f>
        <v>6.5422000000000008E-2</v>
      </c>
      <c r="D452" s="1">
        <v>250.05</v>
      </c>
      <c r="E452" s="4">
        <f>Tabela12[[#This Row],[Força (N)]]/$I$5</f>
        <v>5688850.2629998373</v>
      </c>
      <c r="F452" s="4">
        <f>Tabela12[[#This Row],[Tensão (Pa)]]/1000000</f>
        <v>5.6888502629998374</v>
      </c>
    </row>
    <row r="453" spans="1:6" x14ac:dyDescent="0.3">
      <c r="A453" s="1">
        <v>39.417000000000002</v>
      </c>
      <c r="B453" s="1">
        <v>3.2766999999999999</v>
      </c>
      <c r="C453" s="4">
        <f>Tabela12[[#This Row],[Alongamento (mm/mm)]]/$I$2</f>
        <v>6.5533999999999995E-2</v>
      </c>
      <c r="D453" s="1">
        <v>251.75</v>
      </c>
      <c r="E453" s="4">
        <f>Tabela12[[#This Row],[Força (N)]]/$I$5</f>
        <v>5727526.7094989363</v>
      </c>
      <c r="F453" s="4">
        <f>Tabela12[[#This Row],[Tensão (Pa)]]/1000000</f>
        <v>5.7275267094989362</v>
      </c>
    </row>
    <row r="454" spans="1:6" x14ac:dyDescent="0.3">
      <c r="A454" s="1">
        <v>39.482999999999997</v>
      </c>
      <c r="B454" s="1">
        <v>3.2822</v>
      </c>
      <c r="C454" s="4">
        <f>Tabela12[[#This Row],[Alongamento (mm/mm)]]/$I$2</f>
        <v>6.5643999999999994E-2</v>
      </c>
      <c r="D454" s="1">
        <v>253.62</v>
      </c>
      <c r="E454" s="4">
        <f>Tabela12[[#This Row],[Força (N)]]/$I$5</f>
        <v>5770070.8006479451</v>
      </c>
      <c r="F454" s="4">
        <f>Tabela12[[#This Row],[Tensão (Pa)]]/1000000</f>
        <v>5.7700708006479449</v>
      </c>
    </row>
    <row r="455" spans="1:6" x14ac:dyDescent="0.3">
      <c r="A455" s="1">
        <v>39.549999999999997</v>
      </c>
      <c r="B455" s="1">
        <v>3.2877999999999998</v>
      </c>
      <c r="C455" s="4">
        <f>Tabela12[[#This Row],[Alongamento (mm/mm)]]/$I$2</f>
        <v>6.5755999999999995E-2</v>
      </c>
      <c r="D455" s="1">
        <v>255.32</v>
      </c>
      <c r="E455" s="4">
        <f>Tabela12[[#This Row],[Força (N)]]/$I$5</f>
        <v>5808747.2471470442</v>
      </c>
      <c r="F455" s="4">
        <f>Tabela12[[#This Row],[Tensão (Pa)]]/1000000</f>
        <v>5.8087472471470445</v>
      </c>
    </row>
    <row r="456" spans="1:6" x14ac:dyDescent="0.3">
      <c r="A456" s="1">
        <v>39.616999999999997</v>
      </c>
      <c r="B456" s="1">
        <v>3.2932999999999999</v>
      </c>
      <c r="C456" s="4">
        <f>Tabela12[[#This Row],[Alongamento (mm/mm)]]/$I$2</f>
        <v>6.5865999999999994E-2</v>
      </c>
      <c r="D456" s="1">
        <v>257.19</v>
      </c>
      <c r="E456" s="4">
        <f>Tabela12[[#This Row],[Força (N)]]/$I$5</f>
        <v>5851291.338296053</v>
      </c>
      <c r="F456" s="4">
        <f>Tabela12[[#This Row],[Tensão (Pa)]]/1000000</f>
        <v>5.8512913382960532</v>
      </c>
    </row>
    <row r="457" spans="1:6" x14ac:dyDescent="0.3">
      <c r="A457" s="1">
        <v>39.683</v>
      </c>
      <c r="B457" s="1">
        <v>3.2989000000000002</v>
      </c>
      <c r="C457" s="4">
        <f>Tabela12[[#This Row],[Alongamento (mm/mm)]]/$I$2</f>
        <v>6.5978000000000009E-2</v>
      </c>
      <c r="D457" s="1">
        <v>258.89</v>
      </c>
      <c r="E457" s="4">
        <f>Tabela12[[#This Row],[Força (N)]]/$I$5</f>
        <v>5889967.784795152</v>
      </c>
      <c r="F457" s="4">
        <f>Tabela12[[#This Row],[Tensão (Pa)]]/1000000</f>
        <v>5.8899677847951519</v>
      </c>
    </row>
    <row r="458" spans="1:6" x14ac:dyDescent="0.3">
      <c r="A458" s="1">
        <v>39.75</v>
      </c>
      <c r="B458" s="1">
        <v>3.3043999999999998</v>
      </c>
      <c r="C458" s="4">
        <f>Tabela12[[#This Row],[Alongamento (mm/mm)]]/$I$2</f>
        <v>6.6087999999999994E-2</v>
      </c>
      <c r="D458" s="1">
        <v>260.76</v>
      </c>
      <c r="E458" s="4">
        <f>Tabela12[[#This Row],[Força (N)]]/$I$5</f>
        <v>5932511.8759441609</v>
      </c>
      <c r="F458" s="4">
        <f>Tabela12[[#This Row],[Tensão (Pa)]]/1000000</f>
        <v>5.9325118759441606</v>
      </c>
    </row>
    <row r="459" spans="1:6" x14ac:dyDescent="0.3">
      <c r="A459" s="1">
        <v>39.817</v>
      </c>
      <c r="B459" s="1">
        <v>3.3098999999999998</v>
      </c>
      <c r="C459" s="4">
        <f>Tabela12[[#This Row],[Alongamento (mm/mm)]]/$I$2</f>
        <v>6.6197999999999993E-2</v>
      </c>
      <c r="D459" s="1">
        <v>262.45999999999998</v>
      </c>
      <c r="E459" s="4">
        <f>Tabela12[[#This Row],[Força (N)]]/$I$5</f>
        <v>5971188.3224432599</v>
      </c>
      <c r="F459" s="4">
        <f>Tabela12[[#This Row],[Tensão (Pa)]]/1000000</f>
        <v>5.9711883224432603</v>
      </c>
    </row>
    <row r="460" spans="1:6" x14ac:dyDescent="0.3">
      <c r="A460" s="1">
        <v>39.9</v>
      </c>
      <c r="B460" s="1">
        <v>3.3170000000000002</v>
      </c>
      <c r="C460" s="4">
        <f>Tabela12[[#This Row],[Alongamento (mm/mm)]]/$I$2</f>
        <v>6.634000000000001E-2</v>
      </c>
      <c r="D460" s="1">
        <v>264.67</v>
      </c>
      <c r="E460" s="4">
        <f>Tabela12[[#This Row],[Força (N)]]/$I$5</f>
        <v>6021467.7028920893</v>
      </c>
      <c r="F460" s="4">
        <f>Tabela12[[#This Row],[Tensão (Pa)]]/1000000</f>
        <v>6.0214677028920889</v>
      </c>
    </row>
    <row r="461" spans="1:6" x14ac:dyDescent="0.3">
      <c r="A461" s="1">
        <v>39.982999999999997</v>
      </c>
      <c r="B461" s="1">
        <v>3.3237999999999999</v>
      </c>
      <c r="C461" s="4">
        <f>Tabela12[[#This Row],[Alongamento (mm/mm)]]/$I$2</f>
        <v>6.6475999999999993E-2</v>
      </c>
      <c r="D461" s="1">
        <v>266.89</v>
      </c>
      <c r="E461" s="4">
        <f>Tabela12[[#This Row],[Força (N)]]/$I$5</f>
        <v>6071974.5918497359</v>
      </c>
      <c r="F461" s="4">
        <f>Tabela12[[#This Row],[Tensão (Pa)]]/1000000</f>
        <v>6.0719745918497363</v>
      </c>
    </row>
    <row r="462" spans="1:6" x14ac:dyDescent="0.3">
      <c r="A462" s="1">
        <v>40.067</v>
      </c>
      <c r="B462" s="1">
        <v>3.3308</v>
      </c>
      <c r="C462" s="4">
        <f>Tabela12[[#This Row],[Alongamento (mm/mm)]]/$I$2</f>
        <v>6.6615999999999995E-2</v>
      </c>
      <c r="D462" s="1">
        <v>269.10000000000002</v>
      </c>
      <c r="E462" s="4">
        <f>Tabela12[[#This Row],[Força (N)]]/$I$5</f>
        <v>6122253.9722985653</v>
      </c>
      <c r="F462" s="4">
        <f>Tabela12[[#This Row],[Tensão (Pa)]]/1000000</f>
        <v>6.1222539722985649</v>
      </c>
    </row>
    <row r="463" spans="1:6" x14ac:dyDescent="0.3">
      <c r="A463" s="1">
        <v>40.15</v>
      </c>
      <c r="B463" s="1">
        <v>3.3378000000000001</v>
      </c>
      <c r="C463" s="4">
        <f>Tabela12[[#This Row],[Alongamento (mm/mm)]]/$I$2</f>
        <v>6.6755999999999996E-2</v>
      </c>
      <c r="D463" s="1">
        <v>271.31</v>
      </c>
      <c r="E463" s="4">
        <f>Tabela12[[#This Row],[Força (N)]]/$I$5</f>
        <v>6172533.3527473938</v>
      </c>
      <c r="F463" s="4">
        <f>Tabela12[[#This Row],[Tensão (Pa)]]/1000000</f>
        <v>6.1725333527473936</v>
      </c>
    </row>
    <row r="464" spans="1:6" x14ac:dyDescent="0.3">
      <c r="A464" s="1">
        <v>40.232999999999997</v>
      </c>
      <c r="B464" s="1">
        <v>3.3448000000000002</v>
      </c>
      <c r="C464" s="4">
        <f>Tabela12[[#This Row],[Alongamento (mm/mm)]]/$I$2</f>
        <v>6.6896000000000011E-2</v>
      </c>
      <c r="D464" s="1">
        <v>273.52</v>
      </c>
      <c r="E464" s="4">
        <f>Tabela12[[#This Row],[Força (N)]]/$I$5</f>
        <v>6222812.7331962222</v>
      </c>
      <c r="F464" s="4">
        <f>Tabela12[[#This Row],[Tensão (Pa)]]/1000000</f>
        <v>6.2228127331962222</v>
      </c>
    </row>
    <row r="465" spans="1:6" x14ac:dyDescent="0.3">
      <c r="A465" s="1">
        <v>40.317</v>
      </c>
      <c r="B465" s="1">
        <v>3.3517000000000001</v>
      </c>
      <c r="C465" s="4">
        <f>Tabela12[[#This Row],[Alongamento (mm/mm)]]/$I$2</f>
        <v>6.7033999999999996E-2</v>
      </c>
      <c r="D465" s="1">
        <v>275.56</v>
      </c>
      <c r="E465" s="4">
        <f>Tabela12[[#This Row],[Força (N)]]/$I$5</f>
        <v>6269224.4689951418</v>
      </c>
      <c r="F465" s="4">
        <f>Tabela12[[#This Row],[Tensão (Pa)]]/1000000</f>
        <v>6.2692244689951417</v>
      </c>
    </row>
    <row r="466" spans="1:6" x14ac:dyDescent="0.3">
      <c r="A466" s="1">
        <v>40.4</v>
      </c>
      <c r="B466" s="1">
        <v>3.3586</v>
      </c>
      <c r="C466" s="4">
        <f>Tabela12[[#This Row],[Alongamento (mm/mm)]]/$I$2</f>
        <v>6.7171999999999996E-2</v>
      </c>
      <c r="D466" s="1">
        <v>277.77</v>
      </c>
      <c r="E466" s="4">
        <f>Tabela12[[#This Row],[Força (N)]]/$I$5</f>
        <v>6319503.8494439693</v>
      </c>
      <c r="F466" s="4">
        <f>Tabela12[[#This Row],[Tensão (Pa)]]/1000000</f>
        <v>6.3195038494439695</v>
      </c>
    </row>
    <row r="467" spans="1:6" x14ac:dyDescent="0.3">
      <c r="A467" s="1">
        <v>40.482999999999997</v>
      </c>
      <c r="B467" s="1">
        <v>3.3654999999999999</v>
      </c>
      <c r="C467" s="4">
        <f>Tabela12[[#This Row],[Alongamento (mm/mm)]]/$I$2</f>
        <v>6.7309999999999995E-2</v>
      </c>
      <c r="D467" s="1">
        <v>279.98</v>
      </c>
      <c r="E467" s="4">
        <f>Tabela12[[#This Row],[Força (N)]]/$I$5</f>
        <v>6369783.2298927996</v>
      </c>
      <c r="F467" s="4">
        <f>Tabela12[[#This Row],[Tensão (Pa)]]/1000000</f>
        <v>6.3697832298927999</v>
      </c>
    </row>
    <row r="468" spans="1:6" x14ac:dyDescent="0.3">
      <c r="A468" s="1">
        <v>40.567</v>
      </c>
      <c r="B468" s="1">
        <v>3.3723999999999998</v>
      </c>
      <c r="C468" s="4">
        <f>Tabela12[[#This Row],[Alongamento (mm/mm)]]/$I$2</f>
        <v>6.7447999999999994E-2</v>
      </c>
      <c r="D468" s="1">
        <v>282.19</v>
      </c>
      <c r="E468" s="4">
        <f>Tabela12[[#This Row],[Força (N)]]/$I$5</f>
        <v>6420062.6103416281</v>
      </c>
      <c r="F468" s="4">
        <f>Tabela12[[#This Row],[Tensão (Pa)]]/1000000</f>
        <v>6.4200626103416285</v>
      </c>
    </row>
    <row r="469" spans="1:6" x14ac:dyDescent="0.3">
      <c r="A469" s="1">
        <v>40.65</v>
      </c>
      <c r="B469" s="1">
        <v>3.3794</v>
      </c>
      <c r="C469" s="4">
        <f>Tabela12[[#This Row],[Alongamento (mm/mm)]]/$I$2</f>
        <v>6.7587999999999995E-2</v>
      </c>
      <c r="D469" s="1">
        <v>284.41000000000003</v>
      </c>
      <c r="E469" s="4">
        <f>Tabela12[[#This Row],[Força (N)]]/$I$5</f>
        <v>6470569.4992992757</v>
      </c>
      <c r="F469" s="4">
        <f>Tabela12[[#This Row],[Tensão (Pa)]]/1000000</f>
        <v>6.4705694992992759</v>
      </c>
    </row>
    <row r="470" spans="1:6" x14ac:dyDescent="0.3">
      <c r="A470" s="1">
        <v>40.732999999999997</v>
      </c>
      <c r="B470" s="1">
        <v>3.3864000000000001</v>
      </c>
      <c r="C470" s="4">
        <f>Tabela12[[#This Row],[Alongamento (mm/mm)]]/$I$2</f>
        <v>6.7727999999999997E-2</v>
      </c>
      <c r="D470" s="1">
        <v>286.62</v>
      </c>
      <c r="E470" s="4">
        <f>Tabela12[[#This Row],[Força (N)]]/$I$5</f>
        <v>6520848.8797481032</v>
      </c>
      <c r="F470" s="4">
        <f>Tabela12[[#This Row],[Tensão (Pa)]]/1000000</f>
        <v>6.5208488797481028</v>
      </c>
    </row>
    <row r="471" spans="1:6" x14ac:dyDescent="0.3">
      <c r="A471" s="1">
        <v>40.817</v>
      </c>
      <c r="B471" s="1">
        <v>3.3933</v>
      </c>
      <c r="C471" s="4">
        <f>Tabela12[[#This Row],[Alongamento (mm/mm)]]/$I$2</f>
        <v>6.7865999999999996E-2</v>
      </c>
      <c r="D471" s="1">
        <v>288.83</v>
      </c>
      <c r="E471" s="4">
        <f>Tabela12[[#This Row],[Força (N)]]/$I$5</f>
        <v>6571128.2601969317</v>
      </c>
      <c r="F471" s="4">
        <f>Tabela12[[#This Row],[Tensão (Pa)]]/1000000</f>
        <v>6.5711282601969314</v>
      </c>
    </row>
    <row r="472" spans="1:6" x14ac:dyDescent="0.3">
      <c r="A472" s="1">
        <v>40.9</v>
      </c>
      <c r="B472" s="1">
        <v>3.4001999999999999</v>
      </c>
      <c r="C472" s="4">
        <f>Tabela12[[#This Row],[Alongamento (mm/mm)]]/$I$2</f>
        <v>6.8003999999999995E-2</v>
      </c>
      <c r="D472" s="1">
        <v>291.04000000000002</v>
      </c>
      <c r="E472" s="4">
        <f>Tabela12[[#This Row],[Força (N)]]/$I$5</f>
        <v>6621407.640645762</v>
      </c>
      <c r="F472" s="4">
        <f>Tabela12[[#This Row],[Tensão (Pa)]]/1000000</f>
        <v>6.6214076406457618</v>
      </c>
    </row>
    <row r="473" spans="1:6" x14ac:dyDescent="0.3">
      <c r="A473" s="1">
        <v>40.982999999999997</v>
      </c>
      <c r="B473" s="1">
        <v>3.4072</v>
      </c>
      <c r="C473" s="4">
        <f>Tabela12[[#This Row],[Alongamento (mm/mm)]]/$I$2</f>
        <v>6.8143999999999996E-2</v>
      </c>
      <c r="D473" s="1">
        <v>293.25</v>
      </c>
      <c r="E473" s="4">
        <f>Tabela12[[#This Row],[Força (N)]]/$I$5</f>
        <v>6671687.0210945895</v>
      </c>
      <c r="F473" s="4">
        <f>Tabela12[[#This Row],[Tensão (Pa)]]/1000000</f>
        <v>6.6716870210945896</v>
      </c>
    </row>
    <row r="474" spans="1:6" x14ac:dyDescent="0.3">
      <c r="A474" s="1">
        <v>41.067</v>
      </c>
      <c r="B474" s="1">
        <v>3.4140999999999999</v>
      </c>
      <c r="C474" s="4">
        <f>Tabela12[[#This Row],[Alongamento (mm/mm)]]/$I$2</f>
        <v>6.8281999999999995E-2</v>
      </c>
      <c r="D474" s="1">
        <v>295.45999999999998</v>
      </c>
      <c r="E474" s="4">
        <f>Tabela12[[#This Row],[Força (N)]]/$I$5</f>
        <v>6721966.4015434179</v>
      </c>
      <c r="F474" s="4">
        <f>Tabela12[[#This Row],[Tensão (Pa)]]/1000000</f>
        <v>6.7219664015434182</v>
      </c>
    </row>
    <row r="475" spans="1:6" x14ac:dyDescent="0.3">
      <c r="A475" s="1">
        <v>41.15</v>
      </c>
      <c r="B475" s="1">
        <v>3.4211</v>
      </c>
      <c r="C475" s="4">
        <f>Tabela12[[#This Row],[Alongamento (mm/mm)]]/$I$2</f>
        <v>6.8421999999999997E-2</v>
      </c>
      <c r="D475" s="1">
        <v>297.67</v>
      </c>
      <c r="E475" s="4">
        <f>Tabela12[[#This Row],[Força (N)]]/$I$5</f>
        <v>6772245.7819922483</v>
      </c>
      <c r="F475" s="4">
        <f>Tabela12[[#This Row],[Tensão (Pa)]]/1000000</f>
        <v>6.7722457819922486</v>
      </c>
    </row>
    <row r="476" spans="1:6" x14ac:dyDescent="0.3">
      <c r="A476" s="1">
        <v>41.232999999999997</v>
      </c>
      <c r="B476" s="1">
        <v>3.4281000000000001</v>
      </c>
      <c r="C476" s="4">
        <f>Tabela12[[#This Row],[Alongamento (mm/mm)]]/$I$2</f>
        <v>6.8561999999999998E-2</v>
      </c>
      <c r="D476" s="1">
        <v>299.88</v>
      </c>
      <c r="E476" s="4">
        <f>Tabela12[[#This Row],[Força (N)]]/$I$5</f>
        <v>6822525.1624410758</v>
      </c>
      <c r="F476" s="4">
        <f>Tabela12[[#This Row],[Tensão (Pa)]]/1000000</f>
        <v>6.8225251624410754</v>
      </c>
    </row>
    <row r="477" spans="1:6" x14ac:dyDescent="0.3">
      <c r="A477" s="1">
        <v>41.317</v>
      </c>
      <c r="B477" s="1">
        <v>3.4350999999999998</v>
      </c>
      <c r="C477" s="4">
        <f>Tabela12[[#This Row],[Alongamento (mm/mm)]]/$I$2</f>
        <v>6.8701999999999999E-2</v>
      </c>
      <c r="D477" s="1">
        <v>302.10000000000002</v>
      </c>
      <c r="E477" s="4">
        <f>Tabela12[[#This Row],[Força (N)]]/$I$5</f>
        <v>6873032.0513987234</v>
      </c>
      <c r="F477" s="4">
        <f>Tabela12[[#This Row],[Tensão (Pa)]]/1000000</f>
        <v>6.8730320513987238</v>
      </c>
    </row>
    <row r="478" spans="1:6" x14ac:dyDescent="0.3">
      <c r="A478" s="1">
        <v>41.4</v>
      </c>
      <c r="B478" s="1">
        <v>3.4419</v>
      </c>
      <c r="C478" s="4">
        <f>Tabela12[[#This Row],[Alongamento (mm/mm)]]/$I$2</f>
        <v>6.8837999999999996E-2</v>
      </c>
      <c r="D478" s="1">
        <v>304.48</v>
      </c>
      <c r="E478" s="4">
        <f>Tabela12[[#This Row],[Força (N)]]/$I$5</f>
        <v>6927179.0764974626</v>
      </c>
      <c r="F478" s="4">
        <f>Tabela12[[#This Row],[Tensão (Pa)]]/1000000</f>
        <v>6.9271790764974623</v>
      </c>
    </row>
    <row r="479" spans="1:6" x14ac:dyDescent="0.3">
      <c r="A479" s="1">
        <v>41.482999999999997</v>
      </c>
      <c r="B479" s="1">
        <v>3.4487999999999999</v>
      </c>
      <c r="C479" s="4">
        <f>Tabela12[[#This Row],[Alongamento (mm/mm)]]/$I$2</f>
        <v>6.8975999999999996E-2</v>
      </c>
      <c r="D479" s="1">
        <v>306.69</v>
      </c>
      <c r="E479" s="4">
        <f>Tabela12[[#This Row],[Força (N)]]/$I$5</f>
        <v>6977458.456946291</v>
      </c>
      <c r="F479" s="4">
        <f>Tabela12[[#This Row],[Tensão (Pa)]]/1000000</f>
        <v>6.977458456946291</v>
      </c>
    </row>
    <row r="480" spans="1:6" x14ac:dyDescent="0.3">
      <c r="A480" s="1">
        <v>41.582999999999998</v>
      </c>
      <c r="B480" s="1">
        <v>3.4571999999999998</v>
      </c>
      <c r="C480" s="4">
        <f>Tabela12[[#This Row],[Alongamento (mm/mm)]]/$I$2</f>
        <v>6.9143999999999997E-2</v>
      </c>
      <c r="D480" s="1">
        <v>309.24</v>
      </c>
      <c r="E480" s="4">
        <f>Tabela12[[#This Row],[Força (N)]]/$I$5</f>
        <v>7035473.12669494</v>
      </c>
      <c r="F480" s="4">
        <f>Tabela12[[#This Row],[Tensão (Pa)]]/1000000</f>
        <v>7.0354731266949404</v>
      </c>
    </row>
    <row r="481" spans="1:6" x14ac:dyDescent="0.3">
      <c r="A481" s="1">
        <v>41.667000000000002</v>
      </c>
      <c r="B481" s="1">
        <v>3.4641000000000002</v>
      </c>
      <c r="C481" s="4">
        <f>Tabela12[[#This Row],[Alongamento (mm/mm)]]/$I$2</f>
        <v>6.928200000000001E-2</v>
      </c>
      <c r="D481" s="1">
        <v>311.62</v>
      </c>
      <c r="E481" s="4">
        <f>Tabela12[[#This Row],[Força (N)]]/$I$5</f>
        <v>7089620.1517936783</v>
      </c>
      <c r="F481" s="4">
        <f>Tabela12[[#This Row],[Tensão (Pa)]]/1000000</f>
        <v>7.0896201517936781</v>
      </c>
    </row>
    <row r="482" spans="1:6" x14ac:dyDescent="0.3">
      <c r="A482" s="1">
        <v>41.767000000000003</v>
      </c>
      <c r="B482" s="1">
        <v>3.4725999999999999</v>
      </c>
      <c r="C482" s="4">
        <f>Tabela12[[#This Row],[Alongamento (mm/mm)]]/$I$2</f>
        <v>6.9452E-2</v>
      </c>
      <c r="D482" s="1">
        <v>314.17</v>
      </c>
      <c r="E482" s="4">
        <f>Tabela12[[#This Row],[Força (N)]]/$I$5</f>
        <v>7147634.8215423273</v>
      </c>
      <c r="F482" s="4">
        <f>Tabela12[[#This Row],[Tensão (Pa)]]/1000000</f>
        <v>7.1476348215423275</v>
      </c>
    </row>
    <row r="483" spans="1:6" x14ac:dyDescent="0.3">
      <c r="A483" s="1">
        <v>41.85</v>
      </c>
      <c r="B483" s="1">
        <v>3.4794</v>
      </c>
      <c r="C483" s="4">
        <f>Tabela12[[#This Row],[Alongamento (mm/mm)]]/$I$2</f>
        <v>6.9587999999999997E-2</v>
      </c>
      <c r="D483" s="1">
        <v>316.55</v>
      </c>
      <c r="E483" s="4">
        <f>Tabela12[[#This Row],[Força (N)]]/$I$5</f>
        <v>7201781.8466410656</v>
      </c>
      <c r="F483" s="4">
        <f>Tabela12[[#This Row],[Tensão (Pa)]]/1000000</f>
        <v>7.2017818466410652</v>
      </c>
    </row>
    <row r="484" spans="1:6" x14ac:dyDescent="0.3">
      <c r="A484" s="1">
        <v>41.933</v>
      </c>
      <c r="B484" s="1">
        <v>3.4863</v>
      </c>
      <c r="C484" s="4">
        <f>Tabela12[[#This Row],[Alongamento (mm/mm)]]/$I$2</f>
        <v>6.9725999999999996E-2</v>
      </c>
      <c r="D484" s="1">
        <v>318.94</v>
      </c>
      <c r="E484" s="4">
        <f>Tabela12[[#This Row],[Força (N)]]/$I$5</f>
        <v>7256156.380248622</v>
      </c>
      <c r="F484" s="4">
        <f>Tabela12[[#This Row],[Tensão (Pa)]]/1000000</f>
        <v>7.2561563802486218</v>
      </c>
    </row>
    <row r="485" spans="1:6" x14ac:dyDescent="0.3">
      <c r="A485" s="1">
        <v>42.033000000000001</v>
      </c>
      <c r="B485" s="1">
        <v>3.4946999999999999</v>
      </c>
      <c r="C485" s="4">
        <f>Tabela12[[#This Row],[Alongamento (mm/mm)]]/$I$2</f>
        <v>6.9893999999999998E-2</v>
      </c>
      <c r="D485" s="1">
        <v>321.66000000000003</v>
      </c>
      <c r="E485" s="4">
        <f>Tabela12[[#This Row],[Força (N)]]/$I$5</f>
        <v>7318038.6946471818</v>
      </c>
      <c r="F485" s="4">
        <f>Tabela12[[#This Row],[Tensão (Pa)]]/1000000</f>
        <v>7.318038694647182</v>
      </c>
    </row>
    <row r="486" spans="1:6" x14ac:dyDescent="0.3">
      <c r="A486" s="1">
        <v>42.116999999999997</v>
      </c>
      <c r="B486" s="1">
        <v>3.5017</v>
      </c>
      <c r="C486" s="4">
        <f>Tabela12[[#This Row],[Alongamento (mm/mm)]]/$I$2</f>
        <v>7.0033999999999999E-2</v>
      </c>
      <c r="D486" s="1">
        <v>324.04000000000002</v>
      </c>
      <c r="E486" s="4">
        <f>Tabela12[[#This Row],[Força (N)]]/$I$5</f>
        <v>7372185.71974592</v>
      </c>
      <c r="F486" s="4">
        <f>Tabela12[[#This Row],[Tensão (Pa)]]/1000000</f>
        <v>7.3721857197459197</v>
      </c>
    </row>
    <row r="487" spans="1:6" x14ac:dyDescent="0.3">
      <c r="A487" s="1">
        <v>42.216999999999999</v>
      </c>
      <c r="B487" s="1">
        <v>3.51</v>
      </c>
      <c r="C487" s="4">
        <f>Tabela12[[#This Row],[Alongamento (mm/mm)]]/$I$2</f>
        <v>7.0199999999999999E-2</v>
      </c>
      <c r="D487" s="1">
        <v>326.76</v>
      </c>
      <c r="E487" s="4">
        <f>Tabela12[[#This Row],[Força (N)]]/$I$5</f>
        <v>7434068.0341444779</v>
      </c>
      <c r="F487" s="4">
        <f>Tabela12[[#This Row],[Tensão (Pa)]]/1000000</f>
        <v>7.4340680341444783</v>
      </c>
    </row>
    <row r="488" spans="1:6" x14ac:dyDescent="0.3">
      <c r="A488" s="1">
        <v>42.3</v>
      </c>
      <c r="B488" s="1">
        <v>3.5169000000000001</v>
      </c>
      <c r="C488" s="4">
        <f>Tabela12[[#This Row],[Alongamento (mm/mm)]]/$I$2</f>
        <v>7.0337999999999998E-2</v>
      </c>
      <c r="D488" s="1">
        <v>329.14</v>
      </c>
      <c r="E488" s="4">
        <f>Tabela12[[#This Row],[Força (N)]]/$I$5</f>
        <v>7488215.0592432162</v>
      </c>
      <c r="F488" s="4">
        <f>Tabela12[[#This Row],[Tensão (Pa)]]/1000000</f>
        <v>7.488215059243216</v>
      </c>
    </row>
    <row r="489" spans="1:6" x14ac:dyDescent="0.3">
      <c r="A489" s="1">
        <v>42.383000000000003</v>
      </c>
      <c r="B489" s="1">
        <v>3.5238999999999998</v>
      </c>
      <c r="C489" s="4">
        <f>Tabela12[[#This Row],[Alongamento (mm/mm)]]/$I$2</f>
        <v>7.0477999999999999E-2</v>
      </c>
      <c r="D489" s="1">
        <v>331.52</v>
      </c>
      <c r="E489" s="4">
        <f>Tabela12[[#This Row],[Força (N)]]/$I$5</f>
        <v>7542362.0843419554</v>
      </c>
      <c r="F489" s="4">
        <f>Tabela12[[#This Row],[Tensão (Pa)]]/1000000</f>
        <v>7.5423620843419554</v>
      </c>
    </row>
    <row r="490" spans="1:6" x14ac:dyDescent="0.3">
      <c r="A490" s="1">
        <v>42.482999999999997</v>
      </c>
      <c r="B490" s="1">
        <v>3.5322</v>
      </c>
      <c r="C490" s="4">
        <f>Tabela12[[#This Row],[Alongamento (mm/mm)]]/$I$2</f>
        <v>7.0643999999999998E-2</v>
      </c>
      <c r="D490" s="1">
        <v>334.24</v>
      </c>
      <c r="E490" s="4">
        <f>Tabela12[[#This Row],[Força (N)]]/$I$5</f>
        <v>7604244.3987405142</v>
      </c>
      <c r="F490" s="4">
        <f>Tabela12[[#This Row],[Tensão (Pa)]]/1000000</f>
        <v>7.6042443987405139</v>
      </c>
    </row>
    <row r="491" spans="1:6" x14ac:dyDescent="0.3">
      <c r="A491" s="1">
        <v>42.567</v>
      </c>
      <c r="B491" s="1">
        <v>3.5392000000000001</v>
      </c>
      <c r="C491" s="4">
        <f>Tabela12[[#This Row],[Alongamento (mm/mm)]]/$I$2</f>
        <v>7.0784E-2</v>
      </c>
      <c r="D491" s="1">
        <v>336.63</v>
      </c>
      <c r="E491" s="4">
        <f>Tabela12[[#This Row],[Força (N)]]/$I$5</f>
        <v>7658618.9323480707</v>
      </c>
      <c r="F491" s="4">
        <f>Tabela12[[#This Row],[Tensão (Pa)]]/1000000</f>
        <v>7.6586189323480705</v>
      </c>
    </row>
    <row r="492" spans="1:6" x14ac:dyDescent="0.3">
      <c r="A492" s="1">
        <v>42.65</v>
      </c>
      <c r="B492" s="1">
        <v>3.5461999999999998</v>
      </c>
      <c r="C492" s="4">
        <f>Tabela12[[#This Row],[Alongamento (mm/mm)]]/$I$2</f>
        <v>7.0924000000000001E-2</v>
      </c>
      <c r="D492" s="1">
        <v>339.01</v>
      </c>
      <c r="E492" s="4">
        <f>Tabela12[[#This Row],[Força (N)]]/$I$5</f>
        <v>7712765.9574468099</v>
      </c>
      <c r="F492" s="4">
        <f>Tabela12[[#This Row],[Tensão (Pa)]]/1000000</f>
        <v>7.7127659574468099</v>
      </c>
    </row>
    <row r="493" spans="1:6" x14ac:dyDescent="0.3">
      <c r="A493" s="1">
        <v>42.732999999999997</v>
      </c>
      <c r="B493" s="1">
        <v>3.5529999999999999</v>
      </c>
      <c r="C493" s="4">
        <f>Tabela12[[#This Row],[Alongamento (mm/mm)]]/$I$2</f>
        <v>7.1059999999999998E-2</v>
      </c>
      <c r="D493" s="1">
        <v>341.39</v>
      </c>
      <c r="E493" s="4">
        <f>Tabela12[[#This Row],[Força (N)]]/$I$5</f>
        <v>7766912.9825455481</v>
      </c>
      <c r="F493" s="4">
        <f>Tabela12[[#This Row],[Tensão (Pa)]]/1000000</f>
        <v>7.7669129825455485</v>
      </c>
    </row>
    <row r="494" spans="1:6" x14ac:dyDescent="0.3">
      <c r="A494" s="1">
        <v>42.817</v>
      </c>
      <c r="B494" s="1">
        <v>3.56</v>
      </c>
      <c r="C494" s="4">
        <f>Tabela12[[#This Row],[Alongamento (mm/mm)]]/$I$2</f>
        <v>7.1199999999999999E-2</v>
      </c>
      <c r="D494" s="1">
        <v>343.77</v>
      </c>
      <c r="E494" s="4">
        <f>Tabela12[[#This Row],[Força (N)]]/$I$5</f>
        <v>7821060.0076442864</v>
      </c>
      <c r="F494" s="4">
        <f>Tabela12[[#This Row],[Tensão (Pa)]]/1000000</f>
        <v>7.8210600076442862</v>
      </c>
    </row>
    <row r="495" spans="1:6" x14ac:dyDescent="0.3">
      <c r="A495" s="1">
        <v>42.9</v>
      </c>
      <c r="B495" s="1">
        <v>3.5670000000000002</v>
      </c>
      <c r="C495" s="4">
        <f>Tabela12[[#This Row],[Alongamento (mm/mm)]]/$I$2</f>
        <v>7.1340000000000001E-2</v>
      </c>
      <c r="D495" s="1">
        <v>346.15</v>
      </c>
      <c r="E495" s="4">
        <f>Tabela12[[#This Row],[Força (N)]]/$I$5</f>
        <v>7875207.0327430256</v>
      </c>
      <c r="F495" s="4">
        <f>Tabela12[[#This Row],[Tensão (Pa)]]/1000000</f>
        <v>7.8752070327430257</v>
      </c>
    </row>
    <row r="496" spans="1:6" x14ac:dyDescent="0.3">
      <c r="A496" s="1">
        <v>42.982999999999997</v>
      </c>
      <c r="B496" s="1">
        <v>3.5737999999999999</v>
      </c>
      <c r="C496" s="4">
        <f>Tabela12[[#This Row],[Alongamento (mm/mm)]]/$I$2</f>
        <v>7.1475999999999998E-2</v>
      </c>
      <c r="D496" s="1">
        <v>348.53</v>
      </c>
      <c r="E496" s="4">
        <f>Tabela12[[#This Row],[Força (N)]]/$I$5</f>
        <v>7929354.0578417638</v>
      </c>
      <c r="F496" s="4">
        <f>Tabela12[[#This Row],[Tensão (Pa)]]/1000000</f>
        <v>7.9293540578417634</v>
      </c>
    </row>
    <row r="497" spans="1:6" x14ac:dyDescent="0.3">
      <c r="A497" s="1">
        <v>43.082999999999998</v>
      </c>
      <c r="B497" s="1">
        <v>3.5823</v>
      </c>
      <c r="C497" s="4">
        <f>Tabela12[[#This Row],[Alongamento (mm/mm)]]/$I$2</f>
        <v>7.1646000000000001E-2</v>
      </c>
      <c r="D497" s="1">
        <v>351.42</v>
      </c>
      <c r="E497" s="4">
        <f>Tabela12[[#This Row],[Força (N)]]/$I$5</f>
        <v>7995104.0168902334</v>
      </c>
      <c r="F497" s="4">
        <f>Tabela12[[#This Row],[Tensão (Pa)]]/1000000</f>
        <v>7.9951040168902336</v>
      </c>
    </row>
    <row r="498" spans="1:6" x14ac:dyDescent="0.3">
      <c r="A498" s="1">
        <v>43.183</v>
      </c>
      <c r="B498" s="1">
        <v>3.5905</v>
      </c>
      <c r="C498" s="4">
        <f>Tabela12[[#This Row],[Alongamento (mm/mm)]]/$I$2</f>
        <v>7.1809999999999999E-2</v>
      </c>
      <c r="D498" s="1">
        <v>354.32</v>
      </c>
      <c r="E498" s="4">
        <f>Tabela12[[#This Row],[Força (N)]]/$I$5</f>
        <v>8061081.4844475193</v>
      </c>
      <c r="F498" s="4">
        <f>Tabela12[[#This Row],[Tensão (Pa)]]/1000000</f>
        <v>8.06108148444752</v>
      </c>
    </row>
    <row r="499" spans="1:6" x14ac:dyDescent="0.3">
      <c r="A499" s="1">
        <v>43.283000000000001</v>
      </c>
      <c r="B499" s="1">
        <v>3.5988000000000002</v>
      </c>
      <c r="C499" s="4">
        <f>Tabela12[[#This Row],[Alongamento (mm/mm)]]/$I$2</f>
        <v>7.1975999999999998E-2</v>
      </c>
      <c r="D499" s="1">
        <v>357.21</v>
      </c>
      <c r="E499" s="4">
        <f>Tabela12[[#This Row],[Força (N)]]/$I$5</f>
        <v>8126831.443495987</v>
      </c>
      <c r="F499" s="4">
        <f>Tabela12[[#This Row],[Tensão (Pa)]]/1000000</f>
        <v>8.1268314434959876</v>
      </c>
    </row>
    <row r="500" spans="1:6" x14ac:dyDescent="0.3">
      <c r="A500" s="1">
        <v>43.383000000000003</v>
      </c>
      <c r="B500" s="1">
        <v>3.6072000000000002</v>
      </c>
      <c r="C500" s="4">
        <f>Tabela12[[#This Row],[Alongamento (mm/mm)]]/$I$2</f>
        <v>7.2144E-2</v>
      </c>
      <c r="D500" s="1">
        <v>360.27</v>
      </c>
      <c r="E500" s="4">
        <f>Tabela12[[#This Row],[Força (N)]]/$I$5</f>
        <v>8196449.0471943654</v>
      </c>
      <c r="F500" s="4">
        <f>Tabela12[[#This Row],[Tensão (Pa)]]/1000000</f>
        <v>8.1964490471943652</v>
      </c>
    </row>
    <row r="501" spans="1:6" x14ac:dyDescent="0.3">
      <c r="A501" s="1">
        <v>43.482999999999997</v>
      </c>
      <c r="B501" s="1">
        <v>3.6156000000000001</v>
      </c>
      <c r="C501" s="4">
        <f>Tabela12[[#This Row],[Alongamento (mm/mm)]]/$I$2</f>
        <v>7.2312000000000001E-2</v>
      </c>
      <c r="D501" s="1">
        <v>363.16</v>
      </c>
      <c r="E501" s="4">
        <f>Tabela12[[#This Row],[Força (N)]]/$I$5</f>
        <v>8262199.006242835</v>
      </c>
      <c r="F501" s="4">
        <f>Tabela12[[#This Row],[Tensão (Pa)]]/1000000</f>
        <v>8.2621990062428345</v>
      </c>
    </row>
    <row r="502" spans="1:6" x14ac:dyDescent="0.3">
      <c r="A502" s="1">
        <v>43.582999999999998</v>
      </c>
      <c r="B502" s="1">
        <v>3.6240000000000001</v>
      </c>
      <c r="C502" s="4">
        <f>Tabela12[[#This Row],[Alongamento (mm/mm)]]/$I$2</f>
        <v>7.2480000000000003E-2</v>
      </c>
      <c r="D502" s="1">
        <v>366.22</v>
      </c>
      <c r="E502" s="4">
        <f>Tabela12[[#This Row],[Força (N)]]/$I$5</f>
        <v>8331816.6099412134</v>
      </c>
      <c r="F502" s="4">
        <f>Tabela12[[#This Row],[Tensão (Pa)]]/1000000</f>
        <v>8.3318166099412139</v>
      </c>
    </row>
    <row r="503" spans="1:6" x14ac:dyDescent="0.3">
      <c r="A503" s="1">
        <v>43.683</v>
      </c>
      <c r="B503" s="1">
        <v>3.6322000000000001</v>
      </c>
      <c r="C503" s="4">
        <f>Tabela12[[#This Row],[Alongamento (mm/mm)]]/$I$2</f>
        <v>7.2644E-2</v>
      </c>
      <c r="D503" s="1">
        <v>369.28</v>
      </c>
      <c r="E503" s="4">
        <f>Tabela12[[#This Row],[Força (N)]]/$I$5</f>
        <v>8401434.2136395909</v>
      </c>
      <c r="F503" s="4">
        <f>Tabela12[[#This Row],[Tensão (Pa)]]/1000000</f>
        <v>8.4014342136395914</v>
      </c>
    </row>
    <row r="504" spans="1:6" x14ac:dyDescent="0.3">
      <c r="A504" s="1">
        <v>43.767000000000003</v>
      </c>
      <c r="B504" s="1">
        <v>3.6392000000000002</v>
      </c>
      <c r="C504" s="4">
        <f>Tabela12[[#This Row],[Alongamento (mm/mm)]]/$I$2</f>
        <v>7.2784000000000001E-2</v>
      </c>
      <c r="D504" s="1">
        <v>372.01</v>
      </c>
      <c r="E504" s="4">
        <f>Tabela12[[#This Row],[Força (N)]]/$I$5</f>
        <v>8463544.0365469679</v>
      </c>
      <c r="F504" s="4">
        <f>Tabela12[[#This Row],[Tensão (Pa)]]/1000000</f>
        <v>8.4635440365469687</v>
      </c>
    </row>
    <row r="505" spans="1:6" x14ac:dyDescent="0.3">
      <c r="A505" s="1">
        <v>43.85</v>
      </c>
      <c r="B505" s="1">
        <v>3.6461000000000001</v>
      </c>
      <c r="C505" s="4">
        <f>Tabela12[[#This Row],[Alongamento (mm/mm)]]/$I$2</f>
        <v>7.2922000000000001E-2</v>
      </c>
      <c r="D505" s="1">
        <v>374.73</v>
      </c>
      <c r="E505" s="4">
        <f>Tabela12[[#This Row],[Força (N)]]/$I$5</f>
        <v>8525426.3509455267</v>
      </c>
      <c r="F505" s="4">
        <f>Tabela12[[#This Row],[Tensão (Pa)]]/1000000</f>
        <v>8.5254263509455264</v>
      </c>
    </row>
    <row r="506" spans="1:6" x14ac:dyDescent="0.3">
      <c r="A506" s="1">
        <v>43.933</v>
      </c>
      <c r="B506" s="1">
        <v>3.6530999999999998</v>
      </c>
      <c r="C506" s="4">
        <f>Tabela12[[#This Row],[Alongamento (mm/mm)]]/$I$2</f>
        <v>7.3062000000000002E-2</v>
      </c>
      <c r="D506" s="1">
        <v>377.45</v>
      </c>
      <c r="E506" s="4">
        <f>Tabela12[[#This Row],[Força (N)]]/$I$5</f>
        <v>8587308.6653440855</v>
      </c>
      <c r="F506" s="4">
        <f>Tabela12[[#This Row],[Tensão (Pa)]]/1000000</f>
        <v>8.5873086653440858</v>
      </c>
    </row>
    <row r="507" spans="1:6" x14ac:dyDescent="0.3">
      <c r="A507" s="1">
        <v>44.017000000000003</v>
      </c>
      <c r="B507" s="1">
        <v>3.6600999999999999</v>
      </c>
      <c r="C507" s="4">
        <f>Tabela12[[#This Row],[Alongamento (mm/mm)]]/$I$2</f>
        <v>7.3202000000000003E-2</v>
      </c>
      <c r="D507" s="1">
        <v>380.34</v>
      </c>
      <c r="E507" s="4">
        <f>Tabela12[[#This Row],[Força (N)]]/$I$5</f>
        <v>8653058.6243925523</v>
      </c>
      <c r="F507" s="4">
        <f>Tabela12[[#This Row],[Tensão (Pa)]]/1000000</f>
        <v>8.6530586243925516</v>
      </c>
    </row>
    <row r="508" spans="1:6" x14ac:dyDescent="0.3">
      <c r="A508" s="1">
        <v>44.1</v>
      </c>
      <c r="B508" s="1">
        <v>3.6669</v>
      </c>
      <c r="C508" s="4">
        <f>Tabela12[[#This Row],[Alongamento (mm/mm)]]/$I$2</f>
        <v>7.3338E-2</v>
      </c>
      <c r="D508" s="1">
        <v>383.06</v>
      </c>
      <c r="E508" s="4">
        <f>Tabela12[[#This Row],[Força (N)]]/$I$5</f>
        <v>8714940.938791113</v>
      </c>
      <c r="F508" s="4">
        <f>Tabela12[[#This Row],[Tensão (Pa)]]/1000000</f>
        <v>8.7149409387911128</v>
      </c>
    </row>
    <row r="509" spans="1:6" x14ac:dyDescent="0.3">
      <c r="A509" s="1">
        <v>44.183</v>
      </c>
      <c r="B509" s="1">
        <v>3.6739000000000002</v>
      </c>
      <c r="C509" s="4">
        <f>Tabela12[[#This Row],[Alongamento (mm/mm)]]/$I$2</f>
        <v>7.3478000000000002E-2</v>
      </c>
      <c r="D509" s="1">
        <v>385.78</v>
      </c>
      <c r="E509" s="4">
        <f>Tabela12[[#This Row],[Força (N)]]/$I$5</f>
        <v>8776823.2531896699</v>
      </c>
      <c r="F509" s="4">
        <f>Tabela12[[#This Row],[Tensão (Pa)]]/1000000</f>
        <v>8.7768232531896704</v>
      </c>
    </row>
    <row r="510" spans="1:6" x14ac:dyDescent="0.3">
      <c r="A510" s="1">
        <v>44.267000000000003</v>
      </c>
      <c r="B510" s="1">
        <v>3.6808000000000001</v>
      </c>
      <c r="C510" s="4">
        <f>Tabela12[[#This Row],[Alongamento (mm/mm)]]/$I$2</f>
        <v>7.3616000000000001E-2</v>
      </c>
      <c r="D510" s="1">
        <v>388.51</v>
      </c>
      <c r="E510" s="4">
        <f>Tabela12[[#This Row],[Força (N)]]/$I$5</f>
        <v>8838933.076097047</v>
      </c>
      <c r="F510" s="4">
        <f>Tabela12[[#This Row],[Tensão (Pa)]]/1000000</f>
        <v>8.8389330760970477</v>
      </c>
    </row>
    <row r="511" spans="1:6" x14ac:dyDescent="0.3">
      <c r="A511" s="1">
        <v>44.35</v>
      </c>
      <c r="B511" s="1">
        <v>3.6878000000000002</v>
      </c>
      <c r="C511" s="4">
        <f>Tabela12[[#This Row],[Alongamento (mm/mm)]]/$I$2</f>
        <v>7.3756000000000002E-2</v>
      </c>
      <c r="D511" s="1">
        <v>391.23</v>
      </c>
      <c r="E511" s="4">
        <f>Tabela12[[#This Row],[Força (N)]]/$I$5</f>
        <v>8900815.3904956058</v>
      </c>
      <c r="F511" s="4">
        <f>Tabela12[[#This Row],[Tensão (Pa)]]/1000000</f>
        <v>8.9008153904956053</v>
      </c>
    </row>
    <row r="512" spans="1:6" x14ac:dyDescent="0.3">
      <c r="A512" s="1">
        <v>44.433</v>
      </c>
      <c r="B512" s="1">
        <v>3.6947999999999999</v>
      </c>
      <c r="C512" s="4">
        <f>Tabela12[[#This Row],[Alongamento (mm/mm)]]/$I$2</f>
        <v>7.3896000000000003E-2</v>
      </c>
      <c r="D512" s="1">
        <v>394.12</v>
      </c>
      <c r="E512" s="4">
        <f>Tabela12[[#This Row],[Força (N)]]/$I$5</f>
        <v>8966565.3495440744</v>
      </c>
      <c r="F512" s="4">
        <f>Tabela12[[#This Row],[Tensão (Pa)]]/1000000</f>
        <v>8.9665653495440747</v>
      </c>
    </row>
    <row r="513" spans="1:6" x14ac:dyDescent="0.3">
      <c r="A513" s="1">
        <v>44.533000000000001</v>
      </c>
      <c r="B513" s="1">
        <v>3.7031000000000001</v>
      </c>
      <c r="C513" s="4">
        <f>Tabela12[[#This Row],[Alongamento (mm/mm)]]/$I$2</f>
        <v>7.4062000000000003E-2</v>
      </c>
      <c r="D513" s="1">
        <v>397.52</v>
      </c>
      <c r="E513" s="4">
        <f>Tabela12[[#This Row],[Força (N)]]/$I$5</f>
        <v>9043918.2425422724</v>
      </c>
      <c r="F513" s="4">
        <f>Tabela12[[#This Row],[Tensão (Pa)]]/1000000</f>
        <v>9.0439182425422722</v>
      </c>
    </row>
    <row r="514" spans="1:6" x14ac:dyDescent="0.3">
      <c r="A514" s="1">
        <v>44.633000000000003</v>
      </c>
      <c r="B514" s="1">
        <v>3.7113999999999998</v>
      </c>
      <c r="C514" s="4">
        <f>Tabela12[[#This Row],[Alongamento (mm/mm)]]/$I$2</f>
        <v>7.4228000000000002E-2</v>
      </c>
      <c r="D514" s="1">
        <v>400.75</v>
      </c>
      <c r="E514" s="4">
        <f>Tabela12[[#This Row],[Força (N)]]/$I$5</f>
        <v>9117403.4908905607</v>
      </c>
      <c r="F514" s="4">
        <f>Tabela12[[#This Row],[Tensão (Pa)]]/1000000</f>
        <v>9.1174034908905615</v>
      </c>
    </row>
    <row r="515" spans="1:6" x14ac:dyDescent="0.3">
      <c r="A515" s="1">
        <v>44.732999999999997</v>
      </c>
      <c r="B515" s="1">
        <v>3.7197</v>
      </c>
      <c r="C515" s="4">
        <f>Tabela12[[#This Row],[Alongamento (mm/mm)]]/$I$2</f>
        <v>7.4394000000000002E-2</v>
      </c>
      <c r="D515" s="1">
        <v>403.81</v>
      </c>
      <c r="E515" s="4">
        <f>Tabela12[[#This Row],[Força (N)]]/$I$5</f>
        <v>9187021.0945889391</v>
      </c>
      <c r="F515" s="4">
        <f>Tabela12[[#This Row],[Tensão (Pa)]]/1000000</f>
        <v>9.187021094588939</v>
      </c>
    </row>
    <row r="516" spans="1:6" x14ac:dyDescent="0.3">
      <c r="A516" s="1">
        <v>44.832999999999998</v>
      </c>
      <c r="B516" s="1">
        <v>3.7280000000000002</v>
      </c>
      <c r="C516" s="4">
        <f>Tabela12[[#This Row],[Alongamento (mm/mm)]]/$I$2</f>
        <v>7.4560000000000001E-2</v>
      </c>
      <c r="D516" s="1">
        <v>407.22</v>
      </c>
      <c r="E516" s="4">
        <f>Tabela12[[#This Row],[Força (N)]]/$I$5</f>
        <v>9264601.4960959554</v>
      </c>
      <c r="F516" s="4">
        <f>Tabela12[[#This Row],[Tensão (Pa)]]/1000000</f>
        <v>9.2646014960959562</v>
      </c>
    </row>
    <row r="517" spans="1:6" x14ac:dyDescent="0.3">
      <c r="A517" s="1">
        <v>44.933</v>
      </c>
      <c r="B517" s="1">
        <v>3.7364000000000002</v>
      </c>
      <c r="C517" s="4">
        <f>Tabela12[[#This Row],[Alongamento (mm/mm)]]/$I$2</f>
        <v>7.4728000000000003E-2</v>
      </c>
      <c r="D517" s="1">
        <v>410.45</v>
      </c>
      <c r="E517" s="4">
        <f>Tabela12[[#This Row],[Força (N)]]/$I$5</f>
        <v>9338086.7444442436</v>
      </c>
      <c r="F517" s="4">
        <f>Tabela12[[#This Row],[Tensão (Pa)]]/1000000</f>
        <v>9.3380867444442437</v>
      </c>
    </row>
    <row r="518" spans="1:6" x14ac:dyDescent="0.3">
      <c r="A518" s="1">
        <v>45.033000000000001</v>
      </c>
      <c r="B518" s="1">
        <v>3.7446999999999999</v>
      </c>
      <c r="C518" s="4">
        <f>Tabela12[[#This Row],[Alongamento (mm/mm)]]/$I$2</f>
        <v>7.4894000000000002E-2</v>
      </c>
      <c r="D518" s="1">
        <v>413.85</v>
      </c>
      <c r="E518" s="4">
        <f>Tabela12[[#This Row],[Força (N)]]/$I$5</f>
        <v>9415439.6374424417</v>
      </c>
      <c r="F518" s="4">
        <f>Tabela12[[#This Row],[Tensão (Pa)]]/1000000</f>
        <v>9.4154396374424412</v>
      </c>
    </row>
    <row r="519" spans="1:6" x14ac:dyDescent="0.3">
      <c r="A519" s="1">
        <v>45.133000000000003</v>
      </c>
      <c r="B519" s="1">
        <v>3.7530999999999999</v>
      </c>
      <c r="C519" s="4">
        <f>Tabela12[[#This Row],[Alongamento (mm/mm)]]/$I$2</f>
        <v>7.5062000000000004E-2</v>
      </c>
      <c r="D519" s="1">
        <v>417.08</v>
      </c>
      <c r="E519" s="4">
        <f>Tabela12[[#This Row],[Força (N)]]/$I$5</f>
        <v>9488924.8857907299</v>
      </c>
      <c r="F519" s="4">
        <f>Tabela12[[#This Row],[Tensão (Pa)]]/1000000</f>
        <v>9.4889248857907305</v>
      </c>
    </row>
    <row r="520" spans="1:6" x14ac:dyDescent="0.3">
      <c r="A520" s="1">
        <v>45.232999999999997</v>
      </c>
      <c r="B520" s="1">
        <v>3.7614000000000001</v>
      </c>
      <c r="C520" s="4">
        <f>Tabela12[[#This Row],[Alongamento (mm/mm)]]/$I$2</f>
        <v>7.5228000000000003E-2</v>
      </c>
      <c r="D520" s="1">
        <v>420.48</v>
      </c>
      <c r="E520" s="4">
        <f>Tabela12[[#This Row],[Força (N)]]/$I$5</f>
        <v>9566277.7787889279</v>
      </c>
      <c r="F520" s="4">
        <f>Tabela12[[#This Row],[Tensão (Pa)]]/1000000</f>
        <v>9.5662777787889279</v>
      </c>
    </row>
    <row r="521" spans="1:6" x14ac:dyDescent="0.3">
      <c r="A521" s="1">
        <v>45.332999999999998</v>
      </c>
      <c r="B521" s="1">
        <v>3.7696999999999998</v>
      </c>
      <c r="C521" s="4">
        <f>Tabela12[[#This Row],[Alongamento (mm/mm)]]/$I$2</f>
        <v>7.5394000000000003E-2</v>
      </c>
      <c r="D521" s="1">
        <v>423.72</v>
      </c>
      <c r="E521" s="4">
        <f>Tabela12[[#This Row],[Força (N)]]/$I$5</f>
        <v>9639990.5356460344</v>
      </c>
      <c r="F521" s="4">
        <f>Tabela12[[#This Row],[Tensão (Pa)]]/1000000</f>
        <v>9.6399905356460351</v>
      </c>
    </row>
    <row r="522" spans="1:6" x14ac:dyDescent="0.3">
      <c r="A522" s="1">
        <v>45.433</v>
      </c>
      <c r="B522" s="1">
        <v>3.7780999999999998</v>
      </c>
      <c r="C522" s="4">
        <f>Tabela12[[#This Row],[Alongamento (mm/mm)]]/$I$2</f>
        <v>7.556199999999999E-2</v>
      </c>
      <c r="D522" s="1">
        <v>427.12</v>
      </c>
      <c r="E522" s="4">
        <f>Tabela12[[#This Row],[Força (N)]]/$I$5</f>
        <v>9717343.4286442325</v>
      </c>
      <c r="F522" s="4">
        <f>Tabela12[[#This Row],[Tensão (Pa)]]/1000000</f>
        <v>9.7173434286442326</v>
      </c>
    </row>
    <row r="523" spans="1:6" x14ac:dyDescent="0.3">
      <c r="A523" s="1">
        <v>45.533000000000001</v>
      </c>
      <c r="B523" s="1">
        <v>3.7863000000000002</v>
      </c>
      <c r="C523" s="4">
        <f>Tabela12[[#This Row],[Alongamento (mm/mm)]]/$I$2</f>
        <v>7.5726000000000002E-2</v>
      </c>
      <c r="D523" s="1">
        <v>430.52</v>
      </c>
      <c r="E523" s="4">
        <f>Tabela12[[#This Row],[Força (N)]]/$I$5</f>
        <v>9794696.3216424305</v>
      </c>
      <c r="F523" s="4">
        <f>Tabela12[[#This Row],[Tensão (Pa)]]/1000000</f>
        <v>9.7946963216424301</v>
      </c>
    </row>
    <row r="524" spans="1:6" x14ac:dyDescent="0.3">
      <c r="A524" s="1">
        <v>45.633000000000003</v>
      </c>
      <c r="B524" s="1">
        <v>3.7947000000000002</v>
      </c>
      <c r="C524" s="4">
        <f>Tabela12[[#This Row],[Alongamento (mm/mm)]]/$I$2</f>
        <v>7.5894000000000003E-2</v>
      </c>
      <c r="D524" s="1">
        <v>433.92</v>
      </c>
      <c r="E524" s="4">
        <f>Tabela12[[#This Row],[Força (N)]]/$I$5</f>
        <v>9872049.2146406285</v>
      </c>
      <c r="F524" s="4">
        <f>Tabela12[[#This Row],[Tensão (Pa)]]/1000000</f>
        <v>9.8720492146406293</v>
      </c>
    </row>
    <row r="525" spans="1:6" x14ac:dyDescent="0.3">
      <c r="A525" s="1">
        <v>45.732999999999997</v>
      </c>
      <c r="B525" s="1">
        <v>3.8031000000000001</v>
      </c>
      <c r="C525" s="4">
        <f>Tabela12[[#This Row],[Alongamento (mm/mm)]]/$I$2</f>
        <v>7.6062000000000005E-2</v>
      </c>
      <c r="D525" s="1">
        <v>437.32</v>
      </c>
      <c r="E525" s="4">
        <f>Tabela12[[#This Row],[Força (N)]]/$I$5</f>
        <v>9949402.1076388266</v>
      </c>
      <c r="F525" s="4">
        <f>Tabela12[[#This Row],[Tensão (Pa)]]/1000000</f>
        <v>9.9494021076388268</v>
      </c>
    </row>
    <row r="526" spans="1:6" x14ac:dyDescent="0.3">
      <c r="A526" s="1">
        <v>45.832999999999998</v>
      </c>
      <c r="B526" s="1">
        <v>3.8113999999999999</v>
      </c>
      <c r="C526" s="4">
        <f>Tabela12[[#This Row],[Alongamento (mm/mm)]]/$I$2</f>
        <v>7.6228000000000004E-2</v>
      </c>
      <c r="D526" s="1">
        <v>440.73</v>
      </c>
      <c r="E526" s="4">
        <f>Tabela12[[#This Row],[Força (N)]]/$I$5</f>
        <v>10026982.509145845</v>
      </c>
      <c r="F526" s="4">
        <f>Tabela12[[#This Row],[Tensão (Pa)]]/1000000</f>
        <v>10.026982509145844</v>
      </c>
    </row>
    <row r="527" spans="1:6" x14ac:dyDescent="0.3">
      <c r="A527" s="1">
        <v>45.933</v>
      </c>
      <c r="B527" s="1">
        <v>3.8197999999999999</v>
      </c>
      <c r="C527" s="4">
        <f>Tabela12[[#This Row],[Alongamento (mm/mm)]]/$I$2</f>
        <v>7.6395999999999992E-2</v>
      </c>
      <c r="D527" s="1">
        <v>444.13</v>
      </c>
      <c r="E527" s="4">
        <f>Tabela12[[#This Row],[Força (N)]]/$I$5</f>
        <v>10104335.402144041</v>
      </c>
      <c r="F527" s="4">
        <f>Tabela12[[#This Row],[Tensão (Pa)]]/1000000</f>
        <v>10.104335402144041</v>
      </c>
    </row>
    <row r="528" spans="1:6" x14ac:dyDescent="0.3">
      <c r="A528" s="1">
        <v>46.033000000000001</v>
      </c>
      <c r="B528" s="1">
        <v>3.8279999999999998</v>
      </c>
      <c r="C528" s="4">
        <f>Tabela12[[#This Row],[Alongamento (mm/mm)]]/$I$2</f>
        <v>7.6560000000000003E-2</v>
      </c>
      <c r="D528" s="1">
        <v>447.53</v>
      </c>
      <c r="E528" s="4">
        <f>Tabela12[[#This Row],[Força (N)]]/$I$5</f>
        <v>10181688.295142239</v>
      </c>
      <c r="F528" s="4">
        <f>Tabela12[[#This Row],[Tensão (Pa)]]/1000000</f>
        <v>10.181688295142239</v>
      </c>
    </row>
    <row r="529" spans="1:6" x14ac:dyDescent="0.3">
      <c r="A529" s="1">
        <v>46.133000000000003</v>
      </c>
      <c r="B529" s="1">
        <v>3.8363</v>
      </c>
      <c r="C529" s="4">
        <f>Tabela12[[#This Row],[Alongamento (mm/mm)]]/$I$2</f>
        <v>7.6726000000000003E-2</v>
      </c>
      <c r="D529" s="1">
        <v>450.93</v>
      </c>
      <c r="E529" s="4">
        <f>Tabela12[[#This Row],[Força (N)]]/$I$5</f>
        <v>10259041.188140439</v>
      </c>
      <c r="F529" s="4">
        <f>Tabela12[[#This Row],[Tensão (Pa)]]/1000000</f>
        <v>10.259041188140438</v>
      </c>
    </row>
    <row r="530" spans="1:6" x14ac:dyDescent="0.3">
      <c r="A530" s="1">
        <v>46.232999999999997</v>
      </c>
      <c r="B530" s="1">
        <v>3.8447</v>
      </c>
      <c r="C530" s="4">
        <f>Tabela12[[#This Row],[Alongamento (mm/mm)]]/$I$2</f>
        <v>7.6894000000000004E-2</v>
      </c>
      <c r="D530" s="1">
        <v>454.5</v>
      </c>
      <c r="E530" s="4">
        <f>Tabela12[[#This Row],[Força (N)]]/$I$5</f>
        <v>10340261.725788547</v>
      </c>
      <c r="F530" s="4">
        <f>Tabela12[[#This Row],[Tensão (Pa)]]/1000000</f>
        <v>10.340261725788547</v>
      </c>
    </row>
    <row r="531" spans="1:6" x14ac:dyDescent="0.3">
      <c r="A531" s="1">
        <v>46.332999999999998</v>
      </c>
      <c r="B531" s="1">
        <v>3.8530000000000002</v>
      </c>
      <c r="C531" s="4">
        <f>Tabela12[[#This Row],[Alongamento (mm/mm)]]/$I$2</f>
        <v>7.7060000000000003E-2</v>
      </c>
      <c r="D531" s="1">
        <v>457.91</v>
      </c>
      <c r="E531" s="4">
        <f>Tabela12[[#This Row],[Força (N)]]/$I$5</f>
        <v>10417842.127295563</v>
      </c>
      <c r="F531" s="4">
        <f>Tabela12[[#This Row],[Tensão (Pa)]]/1000000</f>
        <v>10.417842127295563</v>
      </c>
    </row>
    <row r="532" spans="1:6" x14ac:dyDescent="0.3">
      <c r="A532" s="1">
        <v>46.433</v>
      </c>
      <c r="B532" s="1">
        <v>3.8613</v>
      </c>
      <c r="C532" s="4">
        <f>Tabela12[[#This Row],[Alongamento (mm/mm)]]/$I$2</f>
        <v>7.7226000000000003E-2</v>
      </c>
      <c r="D532" s="1">
        <v>461.48</v>
      </c>
      <c r="E532" s="4">
        <f>Tabela12[[#This Row],[Força (N)]]/$I$5</f>
        <v>10499062.664943671</v>
      </c>
      <c r="F532" s="4">
        <f>Tabela12[[#This Row],[Tensão (Pa)]]/1000000</f>
        <v>10.49906266494367</v>
      </c>
    </row>
    <row r="533" spans="1:6" x14ac:dyDescent="0.3">
      <c r="A533" s="1">
        <v>46.533000000000001</v>
      </c>
      <c r="B533" s="1">
        <v>3.8696999999999999</v>
      </c>
      <c r="C533" s="4">
        <f>Tabela12[[#This Row],[Alongamento (mm/mm)]]/$I$2</f>
        <v>7.7394000000000004E-2</v>
      </c>
      <c r="D533" s="1">
        <v>464.88</v>
      </c>
      <c r="E533" s="4">
        <f>Tabela12[[#This Row],[Força (N)]]/$I$5</f>
        <v>10576415.557941869</v>
      </c>
      <c r="F533" s="4">
        <f>Tabela12[[#This Row],[Tensão (Pa)]]/1000000</f>
        <v>10.576415557941869</v>
      </c>
    </row>
    <row r="534" spans="1:6" x14ac:dyDescent="0.3">
      <c r="A534" s="1">
        <v>46.633000000000003</v>
      </c>
      <c r="B534" s="1">
        <v>3.8780000000000001</v>
      </c>
      <c r="C534" s="4">
        <f>Tabela12[[#This Row],[Alongamento (mm/mm)]]/$I$2</f>
        <v>7.7560000000000004E-2</v>
      </c>
      <c r="D534" s="1">
        <v>468.28</v>
      </c>
      <c r="E534" s="4">
        <f>Tabela12[[#This Row],[Força (N)]]/$I$5</f>
        <v>10653768.450940067</v>
      </c>
      <c r="F534" s="4">
        <f>Tabela12[[#This Row],[Tensão (Pa)]]/1000000</f>
        <v>10.653768450940067</v>
      </c>
    </row>
    <row r="535" spans="1:6" x14ac:dyDescent="0.3">
      <c r="A535" s="1">
        <v>46.732999999999997</v>
      </c>
      <c r="B535" s="1">
        <v>3.8864000000000001</v>
      </c>
      <c r="C535" s="4">
        <f>Tabela12[[#This Row],[Alongamento (mm/mm)]]/$I$2</f>
        <v>7.7728000000000005E-2</v>
      </c>
      <c r="D535" s="1">
        <v>471.68</v>
      </c>
      <c r="E535" s="4">
        <f>Tabela12[[#This Row],[Força (N)]]/$I$5</f>
        <v>10731121.343938265</v>
      </c>
      <c r="F535" s="4">
        <f>Tabela12[[#This Row],[Tensão (Pa)]]/1000000</f>
        <v>10.731121343938264</v>
      </c>
    </row>
    <row r="536" spans="1:6" x14ac:dyDescent="0.3">
      <c r="A536" s="1">
        <v>46.832999999999998</v>
      </c>
      <c r="B536" s="1">
        <v>3.8948</v>
      </c>
      <c r="C536" s="4">
        <f>Tabela12[[#This Row],[Alongamento (mm/mm)]]/$I$2</f>
        <v>7.7896000000000007E-2</v>
      </c>
      <c r="D536" s="1">
        <v>475.09</v>
      </c>
      <c r="E536" s="4">
        <f>Tabela12[[#This Row],[Força (N)]]/$I$5</f>
        <v>10808701.745445281</v>
      </c>
      <c r="F536" s="4">
        <f>Tabela12[[#This Row],[Tensão (Pa)]]/1000000</f>
        <v>10.808701745445282</v>
      </c>
    </row>
    <row r="537" spans="1:6" x14ac:dyDescent="0.3">
      <c r="A537" s="1">
        <v>46.933</v>
      </c>
      <c r="B537" s="1">
        <v>3.9030999999999998</v>
      </c>
      <c r="C537" s="4">
        <f>Tabela12[[#This Row],[Alongamento (mm/mm)]]/$I$2</f>
        <v>7.8061999999999993E-2</v>
      </c>
      <c r="D537" s="1">
        <v>478.66</v>
      </c>
      <c r="E537" s="4">
        <f>Tabela12[[#This Row],[Força (N)]]/$I$5</f>
        <v>10889922.283093389</v>
      </c>
      <c r="F537" s="4">
        <f>Tabela12[[#This Row],[Tensão (Pa)]]/1000000</f>
        <v>10.889922283093389</v>
      </c>
    </row>
    <row r="538" spans="1:6" x14ac:dyDescent="0.3">
      <c r="A538" s="1">
        <v>47.033000000000001</v>
      </c>
      <c r="B538" s="1">
        <v>3.9114</v>
      </c>
      <c r="C538" s="4">
        <f>Tabela12[[#This Row],[Alongamento (mm/mm)]]/$I$2</f>
        <v>7.8228000000000006E-2</v>
      </c>
      <c r="D538" s="1">
        <v>482.06</v>
      </c>
      <c r="E538" s="4">
        <f>Tabela12[[#This Row],[Força (N)]]/$I$5</f>
        <v>10967275.176091587</v>
      </c>
      <c r="F538" s="4">
        <f>Tabela12[[#This Row],[Tensão (Pa)]]/1000000</f>
        <v>10.967275176091587</v>
      </c>
    </row>
    <row r="539" spans="1:6" x14ac:dyDescent="0.3">
      <c r="A539" s="1">
        <v>47.15</v>
      </c>
      <c r="B539" s="1">
        <v>3.9211</v>
      </c>
      <c r="C539" s="4">
        <f>Tabela12[[#This Row],[Alongamento (mm/mm)]]/$I$2</f>
        <v>7.8422000000000006E-2</v>
      </c>
      <c r="D539" s="1">
        <v>485.97</v>
      </c>
      <c r="E539" s="4">
        <f>Tabela12[[#This Row],[Força (N)]]/$I$5</f>
        <v>11056231.003039517</v>
      </c>
      <c r="F539" s="4">
        <f>Tabela12[[#This Row],[Tensão (Pa)]]/1000000</f>
        <v>11.056231003039516</v>
      </c>
    </row>
    <row r="540" spans="1:6" x14ac:dyDescent="0.3">
      <c r="A540" s="1">
        <v>47.267000000000003</v>
      </c>
      <c r="B540" s="1">
        <v>3.9308000000000001</v>
      </c>
      <c r="C540" s="4">
        <f>Tabela12[[#This Row],[Alongamento (mm/mm)]]/$I$2</f>
        <v>7.8616000000000005E-2</v>
      </c>
      <c r="D540" s="1">
        <v>489.88</v>
      </c>
      <c r="E540" s="4">
        <f>Tabela12[[#This Row],[Força (N)]]/$I$5</f>
        <v>11145186.829987442</v>
      </c>
      <c r="F540" s="4">
        <f>Tabela12[[#This Row],[Tensão (Pa)]]/1000000</f>
        <v>11.145186829987441</v>
      </c>
    </row>
    <row r="541" spans="1:6" x14ac:dyDescent="0.3">
      <c r="A541" s="1">
        <v>47.383000000000003</v>
      </c>
      <c r="B541" s="1">
        <v>3.9405000000000001</v>
      </c>
      <c r="C541" s="4">
        <f>Tabela12[[#This Row],[Alongamento (mm/mm)]]/$I$2</f>
        <v>7.8810000000000005E-2</v>
      </c>
      <c r="D541" s="1">
        <v>493.97</v>
      </c>
      <c r="E541" s="4">
        <f>Tabela12[[#This Row],[Força (N)]]/$I$5</f>
        <v>11238237.810094099</v>
      </c>
      <c r="F541" s="4">
        <f>Tabela12[[#This Row],[Tensão (Pa)]]/1000000</f>
        <v>11.2382378100941</v>
      </c>
    </row>
    <row r="542" spans="1:6" x14ac:dyDescent="0.3">
      <c r="A542" s="1">
        <v>47.5</v>
      </c>
      <c r="B542" s="1">
        <v>3.9502999999999999</v>
      </c>
      <c r="C542" s="4">
        <f>Tabela12[[#This Row],[Alongamento (mm/mm)]]/$I$2</f>
        <v>7.9005999999999993E-2</v>
      </c>
      <c r="D542" s="1">
        <v>498.05</v>
      </c>
      <c r="E542" s="4">
        <f>Tabela12[[#This Row],[Força (N)]]/$I$5</f>
        <v>11331061.281691937</v>
      </c>
      <c r="F542" s="4">
        <f>Tabela12[[#This Row],[Tensão (Pa)]]/1000000</f>
        <v>11.331061281691937</v>
      </c>
    </row>
    <row r="543" spans="1:6" x14ac:dyDescent="0.3">
      <c r="A543" s="1">
        <v>47.616999999999997</v>
      </c>
      <c r="B543" s="1">
        <v>3.96</v>
      </c>
      <c r="C543" s="4">
        <f>Tabela12[[#This Row],[Alongamento (mm/mm)]]/$I$2</f>
        <v>7.9199999999999993E-2</v>
      </c>
      <c r="D543" s="1">
        <v>502.13</v>
      </c>
      <c r="E543" s="4">
        <f>Tabela12[[#This Row],[Força (N)]]/$I$5</f>
        <v>11423884.753289774</v>
      </c>
      <c r="F543" s="4">
        <f>Tabela12[[#This Row],[Tensão (Pa)]]/1000000</f>
        <v>11.423884753289775</v>
      </c>
    </row>
    <row r="544" spans="1:6" x14ac:dyDescent="0.3">
      <c r="A544" s="1">
        <v>47.732999999999997</v>
      </c>
      <c r="B544" s="1">
        <v>3.9698000000000002</v>
      </c>
      <c r="C544" s="4">
        <f>Tabela12[[#This Row],[Alongamento (mm/mm)]]/$I$2</f>
        <v>7.9396000000000008E-2</v>
      </c>
      <c r="D544" s="1">
        <v>506.38</v>
      </c>
      <c r="E544" s="4">
        <f>Tabela12[[#This Row],[Força (N)]]/$I$5</f>
        <v>11520575.869537523</v>
      </c>
      <c r="F544" s="4">
        <f>Tabela12[[#This Row],[Tensão (Pa)]]/1000000</f>
        <v>11.520575869537524</v>
      </c>
    </row>
    <row r="545" spans="1:6" x14ac:dyDescent="0.3">
      <c r="A545" s="1">
        <v>47.85</v>
      </c>
      <c r="B545" s="1">
        <v>3.9794</v>
      </c>
      <c r="C545" s="4">
        <f>Tabela12[[#This Row],[Alongamento (mm/mm)]]/$I$2</f>
        <v>7.9588000000000006E-2</v>
      </c>
      <c r="D545" s="1">
        <v>510.47</v>
      </c>
      <c r="E545" s="4">
        <f>Tabela12[[#This Row],[Força (N)]]/$I$5</f>
        <v>11613626.849644179</v>
      </c>
      <c r="F545" s="4">
        <f>Tabela12[[#This Row],[Tensão (Pa)]]/1000000</f>
        <v>11.613626849644179</v>
      </c>
    </row>
    <row r="546" spans="1:6" x14ac:dyDescent="0.3">
      <c r="A546" s="1">
        <v>47.966999999999999</v>
      </c>
      <c r="B546" s="1">
        <v>3.9891999999999999</v>
      </c>
      <c r="C546" s="4">
        <f>Tabela12[[#This Row],[Alongamento (mm/mm)]]/$I$2</f>
        <v>7.9783999999999994E-2</v>
      </c>
      <c r="D546" s="1">
        <v>514.72</v>
      </c>
      <c r="E546" s="4">
        <f>Tabela12[[#This Row],[Força (N)]]/$I$5</f>
        <v>11710317.965891927</v>
      </c>
      <c r="F546" s="4">
        <f>Tabela12[[#This Row],[Tensão (Pa)]]/1000000</f>
        <v>11.710317965891928</v>
      </c>
    </row>
    <row r="547" spans="1:6" x14ac:dyDescent="0.3">
      <c r="A547" s="1">
        <v>48.082999999999998</v>
      </c>
      <c r="B547" s="1">
        <v>3.9988999999999999</v>
      </c>
      <c r="C547" s="4">
        <f>Tabela12[[#This Row],[Alongamento (mm/mm)]]/$I$2</f>
        <v>7.9977999999999994E-2</v>
      </c>
      <c r="D547" s="1">
        <v>518.97</v>
      </c>
      <c r="E547" s="4">
        <f>Tabela12[[#This Row],[Força (N)]]/$I$5</f>
        <v>11807009.082139675</v>
      </c>
      <c r="F547" s="4">
        <f>Tabela12[[#This Row],[Tensão (Pa)]]/1000000</f>
        <v>11.807009082139675</v>
      </c>
    </row>
    <row r="548" spans="1:6" x14ac:dyDescent="0.3">
      <c r="A548" s="1">
        <v>48.2</v>
      </c>
      <c r="B548" s="1">
        <v>4.0086000000000004</v>
      </c>
      <c r="C548" s="4">
        <f>Tabela12[[#This Row],[Alongamento (mm/mm)]]/$I$2</f>
        <v>8.0172000000000007E-2</v>
      </c>
      <c r="D548" s="1">
        <v>523.04999999999995</v>
      </c>
      <c r="E548" s="4">
        <f>Tabela12[[#This Row],[Força (N)]]/$I$5</f>
        <v>11899832.55373751</v>
      </c>
      <c r="F548" s="4">
        <f>Tabela12[[#This Row],[Tensão (Pa)]]/1000000</f>
        <v>11.899832553737509</v>
      </c>
    </row>
    <row r="549" spans="1:6" x14ac:dyDescent="0.3">
      <c r="A549" s="1">
        <v>48.317</v>
      </c>
      <c r="B549" s="1">
        <v>4.0182000000000002</v>
      </c>
      <c r="C549" s="4">
        <f>Tabela12[[#This Row],[Alongamento (mm/mm)]]/$I$2</f>
        <v>8.0364000000000005E-2</v>
      </c>
      <c r="D549" s="1">
        <v>527.30999999999995</v>
      </c>
      <c r="E549" s="4">
        <f>Tabela12[[#This Row],[Força (N)]]/$I$5</f>
        <v>11996751.178494075</v>
      </c>
      <c r="F549" s="4">
        <f>Tabela12[[#This Row],[Tensão (Pa)]]/1000000</f>
        <v>11.996751178494076</v>
      </c>
    </row>
    <row r="550" spans="1:6" x14ac:dyDescent="0.3">
      <c r="A550" s="1">
        <v>48.433</v>
      </c>
      <c r="B550" s="1">
        <v>4.0279999999999996</v>
      </c>
      <c r="C550" s="4">
        <f>Tabela12[[#This Row],[Alongamento (mm/mm)]]/$I$2</f>
        <v>8.0559999999999993E-2</v>
      </c>
      <c r="D550" s="1">
        <v>531.55999999999995</v>
      </c>
      <c r="E550" s="4">
        <f>Tabela12[[#This Row],[Força (N)]]/$I$5</f>
        <v>12093442.294741824</v>
      </c>
      <c r="F550" s="4">
        <f>Tabela12[[#This Row],[Tensão (Pa)]]/1000000</f>
        <v>12.093442294741823</v>
      </c>
    </row>
    <row r="551" spans="1:6" x14ac:dyDescent="0.3">
      <c r="A551" s="1">
        <v>48.55</v>
      </c>
      <c r="B551" s="1">
        <v>4.0377999999999998</v>
      </c>
      <c r="C551" s="4">
        <f>Tabela12[[#This Row],[Alongamento (mm/mm)]]/$I$2</f>
        <v>8.0755999999999994E-2</v>
      </c>
      <c r="D551" s="1">
        <v>535.64</v>
      </c>
      <c r="E551" s="4">
        <f>Tabela12[[#This Row],[Força (N)]]/$I$5</f>
        <v>12186265.766339663</v>
      </c>
      <c r="F551" s="4">
        <f>Tabela12[[#This Row],[Tensão (Pa)]]/1000000</f>
        <v>12.186265766339664</v>
      </c>
    </row>
    <row r="552" spans="1:6" x14ac:dyDescent="0.3">
      <c r="A552" s="1">
        <v>48.667000000000002</v>
      </c>
      <c r="B552" s="1">
        <v>4.0475000000000003</v>
      </c>
      <c r="C552" s="4">
        <f>Tabela12[[#This Row],[Alongamento (mm/mm)]]/$I$2</f>
        <v>8.0950000000000008E-2</v>
      </c>
      <c r="D552" s="1">
        <v>539.89</v>
      </c>
      <c r="E552" s="4">
        <f>Tabela12[[#This Row],[Força (N)]]/$I$5</f>
        <v>12282956.882587411</v>
      </c>
      <c r="F552" s="4">
        <f>Tabela12[[#This Row],[Tensão (Pa)]]/1000000</f>
        <v>12.28295688258741</v>
      </c>
    </row>
    <row r="553" spans="1:6" x14ac:dyDescent="0.3">
      <c r="A553" s="1">
        <v>48.783000000000001</v>
      </c>
      <c r="B553" s="1">
        <v>4.0571999999999999</v>
      </c>
      <c r="C553" s="4">
        <f>Tabela12[[#This Row],[Alongamento (mm/mm)]]/$I$2</f>
        <v>8.1143999999999994E-2</v>
      </c>
      <c r="D553" s="1">
        <v>544.15</v>
      </c>
      <c r="E553" s="4">
        <f>Tabela12[[#This Row],[Força (N)]]/$I$5</f>
        <v>12379875.507343976</v>
      </c>
      <c r="F553" s="4">
        <f>Tabela12[[#This Row],[Tensão (Pa)]]/1000000</f>
        <v>12.379875507343975</v>
      </c>
    </row>
    <row r="554" spans="1:6" x14ac:dyDescent="0.3">
      <c r="A554" s="1">
        <v>48.9</v>
      </c>
      <c r="B554" s="1">
        <v>4.0670000000000002</v>
      </c>
      <c r="C554" s="4">
        <f>Tabela12[[#This Row],[Alongamento (mm/mm)]]/$I$2</f>
        <v>8.134000000000001E-2</v>
      </c>
      <c r="D554" s="1">
        <v>548.57000000000005</v>
      </c>
      <c r="E554" s="4">
        <f>Tabela12[[#This Row],[Força (N)]]/$I$5</f>
        <v>12480434.268241635</v>
      </c>
      <c r="F554" s="4">
        <f>Tabela12[[#This Row],[Tensão (Pa)]]/1000000</f>
        <v>12.480434268241634</v>
      </c>
    </row>
    <row r="555" spans="1:6" x14ac:dyDescent="0.3">
      <c r="A555" s="1">
        <v>49.017000000000003</v>
      </c>
      <c r="B555" s="1">
        <v>4.0766999999999998</v>
      </c>
      <c r="C555" s="4">
        <f>Tabela12[[#This Row],[Alongamento (mm/mm)]]/$I$2</f>
        <v>8.1533999999999995E-2</v>
      </c>
      <c r="D555" s="1">
        <v>552.82000000000005</v>
      </c>
      <c r="E555" s="4">
        <f>Tabela12[[#This Row],[Força (N)]]/$I$5</f>
        <v>12577125.384489384</v>
      </c>
      <c r="F555" s="4">
        <f>Tabela12[[#This Row],[Tensão (Pa)]]/1000000</f>
        <v>12.577125384489383</v>
      </c>
    </row>
    <row r="556" spans="1:6" x14ac:dyDescent="0.3">
      <c r="A556" s="1">
        <v>49.133000000000003</v>
      </c>
      <c r="B556" s="1">
        <v>4.0865</v>
      </c>
      <c r="C556" s="4">
        <f>Tabela12[[#This Row],[Alongamento (mm/mm)]]/$I$2</f>
        <v>8.1729999999999997E-2</v>
      </c>
      <c r="D556" s="1">
        <v>557.07000000000005</v>
      </c>
      <c r="E556" s="4">
        <f>Tabela12[[#This Row],[Força (N)]]/$I$5</f>
        <v>12673816.500737131</v>
      </c>
      <c r="F556" s="4">
        <f>Tabela12[[#This Row],[Tensão (Pa)]]/1000000</f>
        <v>12.67381650073713</v>
      </c>
    </row>
    <row r="557" spans="1:6" x14ac:dyDescent="0.3">
      <c r="A557" s="1">
        <v>49.25</v>
      </c>
      <c r="B557" s="1">
        <v>4.0960000000000001</v>
      </c>
      <c r="C557" s="4">
        <f>Tabela12[[#This Row],[Alongamento (mm/mm)]]/$I$2</f>
        <v>8.1920000000000007E-2</v>
      </c>
      <c r="D557" s="1">
        <v>561.33000000000004</v>
      </c>
      <c r="E557" s="4">
        <f>Tabela12[[#This Row],[Força (N)]]/$I$5</f>
        <v>12770735.125493696</v>
      </c>
      <c r="F557" s="4">
        <f>Tabela12[[#This Row],[Tensão (Pa)]]/1000000</f>
        <v>12.770735125493696</v>
      </c>
    </row>
    <row r="558" spans="1:6" x14ac:dyDescent="0.3">
      <c r="A558" s="1">
        <v>49.366999999999997</v>
      </c>
      <c r="B558" s="1">
        <v>4.1058000000000003</v>
      </c>
      <c r="C558" s="4">
        <f>Tabela12[[#This Row],[Alongamento (mm/mm)]]/$I$2</f>
        <v>8.2116000000000008E-2</v>
      </c>
      <c r="D558" s="1">
        <v>565.58000000000004</v>
      </c>
      <c r="E558" s="4">
        <f>Tabela12[[#This Row],[Força (N)]]/$I$5</f>
        <v>12867426.241741443</v>
      </c>
      <c r="F558" s="4">
        <f>Tabela12[[#This Row],[Tensão (Pa)]]/1000000</f>
        <v>12.867426241741443</v>
      </c>
    </row>
    <row r="559" spans="1:6" x14ac:dyDescent="0.3">
      <c r="A559" s="1">
        <v>49.482999999999997</v>
      </c>
      <c r="B559" s="1">
        <v>4.1154999999999999</v>
      </c>
      <c r="C559" s="4">
        <f>Tabela12[[#This Row],[Alongamento (mm/mm)]]/$I$2</f>
        <v>8.2309999999999994E-2</v>
      </c>
      <c r="D559" s="1">
        <v>570</v>
      </c>
      <c r="E559" s="4">
        <f>Tabela12[[#This Row],[Força (N)]]/$I$5</f>
        <v>12967985.0026391</v>
      </c>
      <c r="F559" s="4">
        <f>Tabela12[[#This Row],[Tensão (Pa)]]/1000000</f>
        <v>12.9679850026391</v>
      </c>
    </row>
    <row r="560" spans="1:6" x14ac:dyDescent="0.3">
      <c r="A560" s="1">
        <v>49.6</v>
      </c>
      <c r="B560" s="1">
        <v>4.1253000000000002</v>
      </c>
      <c r="C560" s="4">
        <f>Tabela12[[#This Row],[Alongamento (mm/mm)]]/$I$2</f>
        <v>8.250600000000001E-2</v>
      </c>
      <c r="D560" s="1">
        <v>574.41999999999996</v>
      </c>
      <c r="E560" s="4">
        <f>Tabela12[[#This Row],[Força (N)]]/$I$5</f>
        <v>13068543.763536757</v>
      </c>
      <c r="F560" s="4">
        <f>Tabela12[[#This Row],[Tensão (Pa)]]/1000000</f>
        <v>13.068543763536757</v>
      </c>
    </row>
    <row r="561" spans="1:6" x14ac:dyDescent="0.3">
      <c r="A561" s="1">
        <v>49.716999999999999</v>
      </c>
      <c r="B561" s="1">
        <v>4.1349999999999998</v>
      </c>
      <c r="C561" s="4">
        <f>Tabela12[[#This Row],[Alongamento (mm/mm)]]/$I$2</f>
        <v>8.2699999999999996E-2</v>
      </c>
      <c r="D561" s="1">
        <v>578.85</v>
      </c>
      <c r="E561" s="4">
        <f>Tabela12[[#This Row],[Força (N)]]/$I$5</f>
        <v>13169330.032943234</v>
      </c>
      <c r="F561" s="4">
        <f>Tabela12[[#This Row],[Tensão (Pa)]]/1000000</f>
        <v>13.169330032943234</v>
      </c>
    </row>
    <row r="562" spans="1:6" x14ac:dyDescent="0.3">
      <c r="A562" s="1">
        <v>49.832999999999998</v>
      </c>
      <c r="B562" s="1">
        <v>4.1447000000000003</v>
      </c>
      <c r="C562" s="4">
        <f>Tabela12[[#This Row],[Alongamento (mm/mm)]]/$I$2</f>
        <v>8.2894000000000009E-2</v>
      </c>
      <c r="D562" s="1">
        <v>583.44000000000005</v>
      </c>
      <c r="E562" s="4">
        <f>Tabela12[[#This Row],[Força (N)]]/$I$5</f>
        <v>13273756.438490802</v>
      </c>
      <c r="F562" s="4">
        <f>Tabela12[[#This Row],[Tensão (Pa)]]/1000000</f>
        <v>13.273756438490802</v>
      </c>
    </row>
    <row r="563" spans="1:6" x14ac:dyDescent="0.3">
      <c r="A563" s="1">
        <v>49.95</v>
      </c>
      <c r="B563" s="1">
        <v>4.1544999999999996</v>
      </c>
      <c r="C563" s="4">
        <f>Tabela12[[#This Row],[Alongamento (mm/mm)]]/$I$2</f>
        <v>8.3089999999999997E-2</v>
      </c>
      <c r="D563" s="1">
        <v>587.86</v>
      </c>
      <c r="E563" s="4">
        <f>Tabela12[[#This Row],[Força (N)]]/$I$5</f>
        <v>13374315.199388459</v>
      </c>
      <c r="F563" s="4">
        <f>Tabela12[[#This Row],[Tensão (Pa)]]/1000000</f>
        <v>13.374315199388459</v>
      </c>
    </row>
    <row r="564" spans="1:6" x14ac:dyDescent="0.3">
      <c r="A564" s="1">
        <v>50.067</v>
      </c>
      <c r="B564" s="1">
        <v>4.1642000000000001</v>
      </c>
      <c r="C564" s="4">
        <f>Tabela12[[#This Row],[Alongamento (mm/mm)]]/$I$2</f>
        <v>8.3283999999999997E-2</v>
      </c>
      <c r="D564" s="1">
        <v>592.45000000000005</v>
      </c>
      <c r="E564" s="4">
        <f>Tabela12[[#This Row],[Força (N)]]/$I$5</f>
        <v>13478741.604936028</v>
      </c>
      <c r="F564" s="4">
        <f>Tabela12[[#This Row],[Tensão (Pa)]]/1000000</f>
        <v>13.478741604936028</v>
      </c>
    </row>
    <row r="565" spans="1:6" x14ac:dyDescent="0.3">
      <c r="A565" s="1">
        <v>50.183</v>
      </c>
      <c r="B565" s="1">
        <v>4.1738999999999997</v>
      </c>
      <c r="C565" s="4">
        <f>Tabela12[[#This Row],[Alongamento (mm/mm)]]/$I$2</f>
        <v>8.3477999999999997E-2</v>
      </c>
      <c r="D565" s="1">
        <v>596.88</v>
      </c>
      <c r="E565" s="4">
        <f>Tabela12[[#This Row],[Força (N)]]/$I$5</f>
        <v>13579527.874342503</v>
      </c>
      <c r="F565" s="4">
        <f>Tabela12[[#This Row],[Tensão (Pa)]]/1000000</f>
        <v>13.579527874342503</v>
      </c>
    </row>
    <row r="566" spans="1:6" x14ac:dyDescent="0.3">
      <c r="A566" s="1">
        <v>50.3</v>
      </c>
      <c r="B566" s="1">
        <v>4.1836000000000002</v>
      </c>
      <c r="C566" s="4">
        <f>Tabela12[[#This Row],[Alongamento (mm/mm)]]/$I$2</f>
        <v>8.367200000000001E-2</v>
      </c>
      <c r="D566" s="1">
        <v>601.47</v>
      </c>
      <c r="E566" s="4">
        <f>Tabela12[[#This Row],[Força (N)]]/$I$5</f>
        <v>13683954.27989007</v>
      </c>
      <c r="F566" s="4">
        <f>Tabela12[[#This Row],[Tensão (Pa)]]/1000000</f>
        <v>13.68395427989007</v>
      </c>
    </row>
    <row r="567" spans="1:6" x14ac:dyDescent="0.3">
      <c r="A567" s="1">
        <v>50.417000000000002</v>
      </c>
      <c r="B567" s="1">
        <v>4.1932999999999998</v>
      </c>
      <c r="C567" s="4">
        <f>Tabela12[[#This Row],[Alongamento (mm/mm)]]/$I$2</f>
        <v>8.3865999999999996E-2</v>
      </c>
      <c r="D567" s="1">
        <v>606.05999999999995</v>
      </c>
      <c r="E567" s="4">
        <f>Tabela12[[#This Row],[Força (N)]]/$I$5</f>
        <v>13788380.685437636</v>
      </c>
      <c r="F567" s="4">
        <f>Tabela12[[#This Row],[Tensão (Pa)]]/1000000</f>
        <v>13.788380685437636</v>
      </c>
    </row>
    <row r="568" spans="1:6" x14ac:dyDescent="0.3">
      <c r="A568" s="1">
        <v>50.533000000000001</v>
      </c>
      <c r="B568" s="1">
        <v>4.2031000000000001</v>
      </c>
      <c r="C568" s="4">
        <f>Tabela12[[#This Row],[Alongamento (mm/mm)]]/$I$2</f>
        <v>8.4061999999999998E-2</v>
      </c>
      <c r="D568" s="1">
        <v>610.65</v>
      </c>
      <c r="E568" s="4">
        <f>Tabela12[[#This Row],[Força (N)]]/$I$5</f>
        <v>13892807.090985205</v>
      </c>
      <c r="F568" s="4">
        <f>Tabela12[[#This Row],[Tensão (Pa)]]/1000000</f>
        <v>13.892807090985205</v>
      </c>
    </row>
    <row r="569" spans="1:6" x14ac:dyDescent="0.3">
      <c r="A569" s="1">
        <v>50.667000000000002</v>
      </c>
      <c r="B569" s="1">
        <v>4.2141000000000002</v>
      </c>
      <c r="C569" s="4">
        <f>Tabela12[[#This Row],[Alongamento (mm/mm)]]/$I$2</f>
        <v>8.428200000000001E-2</v>
      </c>
      <c r="D569" s="1">
        <v>615.92999999999995</v>
      </c>
      <c r="E569" s="4">
        <f>Tabela12[[#This Row],[Força (N)]]/$I$5</f>
        <v>14012931.583641229</v>
      </c>
      <c r="F569" s="4">
        <f>Tabela12[[#This Row],[Tensão (Pa)]]/1000000</f>
        <v>14.01293158364123</v>
      </c>
    </row>
    <row r="570" spans="1:6" x14ac:dyDescent="0.3">
      <c r="A570" s="1">
        <v>50.8</v>
      </c>
      <c r="B570" s="1">
        <v>4.2252000000000001</v>
      </c>
      <c r="C570" s="4">
        <f>Tabela12[[#This Row],[Alongamento (mm/mm)]]/$I$2</f>
        <v>8.4503999999999996E-2</v>
      </c>
      <c r="D570" s="1">
        <v>621.20000000000005</v>
      </c>
      <c r="E570" s="4">
        <f>Tabela12[[#This Row],[Força (N)]]/$I$5</f>
        <v>14132828.567788439</v>
      </c>
      <c r="F570" s="4">
        <f>Tabela12[[#This Row],[Tensão (Pa)]]/1000000</f>
        <v>14.132828567788438</v>
      </c>
    </row>
    <row r="571" spans="1:6" x14ac:dyDescent="0.3">
      <c r="A571" s="1">
        <v>50.917000000000002</v>
      </c>
      <c r="B571" s="1">
        <v>4.2350000000000003</v>
      </c>
      <c r="C571" s="4">
        <f>Tabela12[[#This Row],[Alongamento (mm/mm)]]/$I$2</f>
        <v>8.4700000000000011E-2</v>
      </c>
      <c r="D571" s="1">
        <v>625.96</v>
      </c>
      <c r="E571" s="4">
        <f>Tabela12[[#This Row],[Força (N)]]/$I$5</f>
        <v>14241122.617985915</v>
      </c>
      <c r="F571" s="4">
        <f>Tabela12[[#This Row],[Tensão (Pa)]]/1000000</f>
        <v>14.241122617985916</v>
      </c>
    </row>
    <row r="572" spans="1:6" x14ac:dyDescent="0.3">
      <c r="A572" s="1">
        <v>51.033000000000001</v>
      </c>
      <c r="B572" s="1">
        <v>4.2446999999999999</v>
      </c>
      <c r="C572" s="4">
        <f>Tabela12[[#This Row],[Alongamento (mm/mm)]]/$I$2</f>
        <v>8.4893999999999997E-2</v>
      </c>
      <c r="D572" s="1">
        <v>630.73</v>
      </c>
      <c r="E572" s="4">
        <f>Tabela12[[#This Row],[Força (N)]]/$I$5</f>
        <v>14349644.17669221</v>
      </c>
      <c r="F572" s="4">
        <f>Tabela12[[#This Row],[Tensão (Pa)]]/1000000</f>
        <v>14.349644176692211</v>
      </c>
    </row>
    <row r="573" spans="1:6" x14ac:dyDescent="0.3">
      <c r="A573" s="1">
        <v>51.15</v>
      </c>
      <c r="B573" s="1">
        <v>4.2544000000000004</v>
      </c>
      <c r="C573" s="4">
        <f>Tabela12[[#This Row],[Alongamento (mm/mm)]]/$I$2</f>
        <v>8.5088000000000011E-2</v>
      </c>
      <c r="D573" s="1">
        <v>635.49</v>
      </c>
      <c r="E573" s="4">
        <f>Tabela12[[#This Row],[Força (N)]]/$I$5</f>
        <v>14457938.226889689</v>
      </c>
      <c r="F573" s="4">
        <f>Tabela12[[#This Row],[Tensão (Pa)]]/1000000</f>
        <v>14.457938226889688</v>
      </c>
    </row>
    <row r="574" spans="1:6" x14ac:dyDescent="0.3">
      <c r="A574" s="1">
        <v>51.267000000000003</v>
      </c>
      <c r="B574" s="1">
        <v>4.2641999999999998</v>
      </c>
      <c r="C574" s="4">
        <f>Tabela12[[#This Row],[Alongamento (mm/mm)]]/$I$2</f>
        <v>8.5283999999999999E-2</v>
      </c>
      <c r="D574" s="1">
        <v>640.25</v>
      </c>
      <c r="E574" s="4">
        <f>Tabela12[[#This Row],[Força (N)]]/$I$5</f>
        <v>14566232.277087165</v>
      </c>
      <c r="F574" s="4">
        <f>Tabela12[[#This Row],[Tensão (Pa)]]/1000000</f>
        <v>14.566232277087165</v>
      </c>
    </row>
    <row r="575" spans="1:6" x14ac:dyDescent="0.3">
      <c r="A575" s="1">
        <v>51.383000000000003</v>
      </c>
      <c r="B575" s="1">
        <v>4.274</v>
      </c>
      <c r="C575" s="4">
        <f>Tabela12[[#This Row],[Alongamento (mm/mm)]]/$I$2</f>
        <v>8.548E-2</v>
      </c>
      <c r="D575" s="1">
        <v>645.01</v>
      </c>
      <c r="E575" s="4">
        <f>Tabela12[[#This Row],[Força (N)]]/$I$5</f>
        <v>14674526.327284642</v>
      </c>
      <c r="F575" s="4">
        <f>Tabela12[[#This Row],[Tensão (Pa)]]/1000000</f>
        <v>14.674526327284642</v>
      </c>
    </row>
    <row r="576" spans="1:6" x14ac:dyDescent="0.3">
      <c r="A576" s="1">
        <v>51.5</v>
      </c>
      <c r="B576" s="1">
        <v>4.2835999999999999</v>
      </c>
      <c r="C576" s="4">
        <f>Tabela12[[#This Row],[Alongamento (mm/mm)]]/$I$2</f>
        <v>8.5671999999999998E-2</v>
      </c>
      <c r="D576" s="1">
        <v>649.78</v>
      </c>
      <c r="E576" s="4">
        <f>Tabela12[[#This Row],[Força (N)]]/$I$5</f>
        <v>14783047.885990938</v>
      </c>
      <c r="F576" s="4">
        <f>Tabela12[[#This Row],[Tensão (Pa)]]/1000000</f>
        <v>14.783047885990937</v>
      </c>
    </row>
    <row r="577" spans="1:6" x14ac:dyDescent="0.3">
      <c r="A577" s="1">
        <v>51.616999999999997</v>
      </c>
      <c r="B577" s="1">
        <v>4.2933000000000003</v>
      </c>
      <c r="C577" s="4">
        <f>Tabela12[[#This Row],[Alongamento (mm/mm)]]/$I$2</f>
        <v>8.5866000000000012E-2</v>
      </c>
      <c r="D577" s="1">
        <v>654.54</v>
      </c>
      <c r="E577" s="4">
        <f>Tabela12[[#This Row],[Força (N)]]/$I$5</f>
        <v>14891341.936188415</v>
      </c>
      <c r="F577" s="4">
        <f>Tabela12[[#This Row],[Tensão (Pa)]]/1000000</f>
        <v>14.891341936188415</v>
      </c>
    </row>
    <row r="578" spans="1:6" x14ac:dyDescent="0.3">
      <c r="A578" s="1">
        <v>51.75</v>
      </c>
      <c r="B578" s="1">
        <v>4.3045</v>
      </c>
      <c r="C578" s="4">
        <f>Tabela12[[#This Row],[Alongamento (mm/mm)]]/$I$2</f>
        <v>8.609E-2</v>
      </c>
      <c r="D578" s="1">
        <v>659.98</v>
      </c>
      <c r="E578" s="4">
        <f>Tabela12[[#This Row],[Força (N)]]/$I$5</f>
        <v>15015106.564985532</v>
      </c>
      <c r="F578" s="4">
        <f>Tabela12[[#This Row],[Tensão (Pa)]]/1000000</f>
        <v>15.015106564985532</v>
      </c>
    </row>
    <row r="579" spans="1:6" x14ac:dyDescent="0.3">
      <c r="A579" s="1">
        <v>51.883000000000003</v>
      </c>
      <c r="B579" s="1">
        <v>4.3155999999999999</v>
      </c>
      <c r="C579" s="4">
        <f>Tabela12[[#This Row],[Alongamento (mm/mm)]]/$I$2</f>
        <v>8.6312E-2</v>
      </c>
      <c r="D579" s="1">
        <v>665.6</v>
      </c>
      <c r="E579" s="4">
        <f>Tabela12[[#This Row],[Força (N)]]/$I$5</f>
        <v>15142966.346941378</v>
      </c>
      <c r="F579" s="4">
        <f>Tabela12[[#This Row],[Tensão (Pa)]]/1000000</f>
        <v>15.142966346941378</v>
      </c>
    </row>
    <row r="580" spans="1:6" x14ac:dyDescent="0.3">
      <c r="A580" s="1">
        <v>52.017000000000003</v>
      </c>
      <c r="B580" s="1">
        <v>4.3266</v>
      </c>
      <c r="C580" s="4">
        <f>Tabela12[[#This Row],[Alongamento (mm/mm)]]/$I$2</f>
        <v>8.6531999999999998E-2</v>
      </c>
      <c r="D580" s="1">
        <v>671.04</v>
      </c>
      <c r="E580" s="4">
        <f>Tabela12[[#This Row],[Força (N)]]/$I$5</f>
        <v>15266730.975738494</v>
      </c>
      <c r="F580" s="4">
        <f>Tabela12[[#This Row],[Tensão (Pa)]]/1000000</f>
        <v>15.266730975738493</v>
      </c>
    </row>
    <row r="581" spans="1:6" x14ac:dyDescent="0.3">
      <c r="A581" s="1">
        <v>52.15</v>
      </c>
      <c r="B581" s="1">
        <v>4.3377999999999997</v>
      </c>
      <c r="C581" s="4">
        <f>Tabela12[[#This Row],[Alongamento (mm/mm)]]/$I$2</f>
        <v>8.6756E-2</v>
      </c>
      <c r="D581" s="1">
        <v>676.65</v>
      </c>
      <c r="E581" s="4">
        <f>Tabela12[[#This Row],[Força (N)]]/$I$5</f>
        <v>15394363.249185521</v>
      </c>
      <c r="F581" s="4">
        <f>Tabela12[[#This Row],[Tensão (Pa)]]/1000000</f>
        <v>15.39436324918552</v>
      </c>
    </row>
    <row r="582" spans="1:6" x14ac:dyDescent="0.3">
      <c r="A582" s="1">
        <v>52.283000000000001</v>
      </c>
      <c r="B582" s="1">
        <v>4.3487999999999998</v>
      </c>
      <c r="C582" s="4">
        <f>Tabela12[[#This Row],[Alongamento (mm/mm)]]/$I$2</f>
        <v>8.6975999999999998E-2</v>
      </c>
      <c r="D582" s="1">
        <v>682.1</v>
      </c>
      <c r="E582" s="4">
        <f>Tabela12[[#This Row],[Força (N)]]/$I$5</f>
        <v>15518355.386491457</v>
      </c>
      <c r="F582" s="4">
        <f>Tabela12[[#This Row],[Tensão (Pa)]]/1000000</f>
        <v>15.518355386491457</v>
      </c>
    </row>
    <row r="583" spans="1:6" x14ac:dyDescent="0.3">
      <c r="A583" s="1">
        <v>52.417000000000002</v>
      </c>
      <c r="B583" s="1">
        <v>4.3600000000000003</v>
      </c>
      <c r="C583" s="4">
        <f>Tabela12[[#This Row],[Alongamento (mm/mm)]]/$I$2</f>
        <v>8.72E-2</v>
      </c>
      <c r="D583" s="1">
        <v>687.71</v>
      </c>
      <c r="E583" s="4">
        <f>Tabela12[[#This Row],[Força (N)]]/$I$5</f>
        <v>15645987.659938484</v>
      </c>
      <c r="F583" s="4">
        <f>Tabela12[[#This Row],[Tensão (Pa)]]/1000000</f>
        <v>15.645987659938484</v>
      </c>
    </row>
    <row r="584" spans="1:6" x14ac:dyDescent="0.3">
      <c r="A584" s="1">
        <v>52.55</v>
      </c>
      <c r="B584" s="1">
        <v>4.3711000000000002</v>
      </c>
      <c r="C584" s="4">
        <f>Tabela12[[#This Row],[Alongamento (mm/mm)]]/$I$2</f>
        <v>8.7422E-2</v>
      </c>
      <c r="D584" s="1">
        <v>693.32</v>
      </c>
      <c r="E584" s="4">
        <f>Tabela12[[#This Row],[Força (N)]]/$I$5</f>
        <v>15773619.933385512</v>
      </c>
      <c r="F584" s="4">
        <f>Tabela12[[#This Row],[Tensão (Pa)]]/1000000</f>
        <v>15.773619933385511</v>
      </c>
    </row>
    <row r="585" spans="1:6" x14ac:dyDescent="0.3">
      <c r="A585" s="1">
        <v>52.683</v>
      </c>
      <c r="B585" s="1">
        <v>4.3822999999999999</v>
      </c>
      <c r="C585" s="4">
        <f>Tabela12[[#This Row],[Alongamento (mm/mm)]]/$I$2</f>
        <v>8.7646000000000002E-2</v>
      </c>
      <c r="D585" s="1">
        <v>698.94</v>
      </c>
      <c r="E585" s="4">
        <f>Tabela12[[#This Row],[Força (N)]]/$I$5</f>
        <v>15901479.715341358</v>
      </c>
      <c r="F585" s="4">
        <f>Tabela12[[#This Row],[Tensão (Pa)]]/1000000</f>
        <v>15.901479715341358</v>
      </c>
    </row>
    <row r="586" spans="1:6" x14ac:dyDescent="0.3">
      <c r="A586" s="1">
        <v>52.817</v>
      </c>
      <c r="B586" s="1">
        <v>4.3933999999999997</v>
      </c>
      <c r="C586" s="4">
        <f>Tabela12[[#This Row],[Alongamento (mm/mm)]]/$I$2</f>
        <v>8.7868000000000002E-2</v>
      </c>
      <c r="D586" s="1">
        <v>704.55</v>
      </c>
      <c r="E586" s="4">
        <f>Tabela12[[#This Row],[Força (N)]]/$I$5</f>
        <v>16029111.988788381</v>
      </c>
      <c r="F586" s="4">
        <f>Tabela12[[#This Row],[Tensão (Pa)]]/1000000</f>
        <v>16.02911198878838</v>
      </c>
    </row>
    <row r="587" spans="1:6" x14ac:dyDescent="0.3">
      <c r="A587" s="1">
        <v>52.95</v>
      </c>
      <c r="B587" s="1">
        <v>4.4043999999999999</v>
      </c>
      <c r="C587" s="4">
        <f>Tabela12[[#This Row],[Alongamento (mm/mm)]]/$I$2</f>
        <v>8.8088E-2</v>
      </c>
      <c r="D587" s="1">
        <v>710.16</v>
      </c>
      <c r="E587" s="4">
        <f>Tabela12[[#This Row],[Força (N)]]/$I$5</f>
        <v>16156744.262235409</v>
      </c>
      <c r="F587" s="4">
        <f>Tabela12[[#This Row],[Tensão (Pa)]]/1000000</f>
        <v>16.15674426223541</v>
      </c>
    </row>
    <row r="588" spans="1:6" x14ac:dyDescent="0.3">
      <c r="A588" s="1">
        <v>53.082999999999998</v>
      </c>
      <c r="B588" s="1">
        <v>4.4154999999999998</v>
      </c>
      <c r="C588" s="4">
        <f>Tabela12[[#This Row],[Alongamento (mm/mm)]]/$I$2</f>
        <v>8.831E-2</v>
      </c>
      <c r="D588" s="1">
        <v>715.78</v>
      </c>
      <c r="E588" s="4">
        <f>Tabela12[[#This Row],[Força (N)]]/$I$5</f>
        <v>16284604.044191254</v>
      </c>
      <c r="F588" s="4">
        <f>Tabela12[[#This Row],[Tensão (Pa)]]/1000000</f>
        <v>16.284604044191255</v>
      </c>
    </row>
    <row r="589" spans="1:6" x14ac:dyDescent="0.3">
      <c r="A589" s="1">
        <v>53.216999999999999</v>
      </c>
      <c r="B589" s="1">
        <v>4.4265999999999996</v>
      </c>
      <c r="C589" s="4">
        <f>Tabela12[[#This Row],[Alongamento (mm/mm)]]/$I$2</f>
        <v>8.8532E-2</v>
      </c>
      <c r="D589" s="1">
        <v>721.39</v>
      </c>
      <c r="E589" s="4">
        <f>Tabela12[[#This Row],[Força (N)]]/$I$5</f>
        <v>16412236.317638282</v>
      </c>
      <c r="F589" s="4">
        <f>Tabela12[[#This Row],[Tensão (Pa)]]/1000000</f>
        <v>16.412236317638282</v>
      </c>
    </row>
    <row r="590" spans="1:6" x14ac:dyDescent="0.3">
      <c r="A590" s="1">
        <v>53.35</v>
      </c>
      <c r="B590" s="1">
        <v>4.4377000000000004</v>
      </c>
      <c r="C590" s="4">
        <f>Tabela12[[#This Row],[Alongamento (mm/mm)]]/$I$2</f>
        <v>8.8754000000000013E-2</v>
      </c>
      <c r="D590" s="1">
        <v>726.83</v>
      </c>
      <c r="E590" s="4">
        <f>Tabela12[[#This Row],[Força (N)]]/$I$5</f>
        <v>16536000.946435399</v>
      </c>
      <c r="F590" s="4">
        <f>Tabela12[[#This Row],[Tensão (Pa)]]/1000000</f>
        <v>16.536000946435401</v>
      </c>
    </row>
    <row r="591" spans="1:6" x14ac:dyDescent="0.3">
      <c r="A591" s="1">
        <v>53.482999999999997</v>
      </c>
      <c r="B591" s="1">
        <v>4.4489000000000001</v>
      </c>
      <c r="C591" s="4">
        <f>Tabela12[[#This Row],[Alongamento (mm/mm)]]/$I$2</f>
        <v>8.8978000000000002E-2</v>
      </c>
      <c r="D591" s="1">
        <v>732.45</v>
      </c>
      <c r="E591" s="4">
        <f>Tabela12[[#This Row],[Força (N)]]/$I$5</f>
        <v>16663860.728391245</v>
      </c>
      <c r="F591" s="4">
        <f>Tabela12[[#This Row],[Tensão (Pa)]]/1000000</f>
        <v>16.663860728391246</v>
      </c>
    </row>
    <row r="592" spans="1:6" x14ac:dyDescent="0.3">
      <c r="A592" s="1">
        <v>53.616999999999997</v>
      </c>
      <c r="B592" s="1">
        <v>4.4600999999999997</v>
      </c>
      <c r="C592" s="4">
        <f>Tabela12[[#This Row],[Alongamento (mm/mm)]]/$I$2</f>
        <v>8.920199999999999E-2</v>
      </c>
      <c r="D592" s="1">
        <v>737.89</v>
      </c>
      <c r="E592" s="4">
        <f>Tabela12[[#This Row],[Força (N)]]/$I$5</f>
        <v>16787625.357188363</v>
      </c>
      <c r="F592" s="4">
        <f>Tabela12[[#This Row],[Tensão (Pa)]]/1000000</f>
        <v>16.787625357188361</v>
      </c>
    </row>
    <row r="593" spans="1:6" x14ac:dyDescent="0.3">
      <c r="A593" s="1">
        <v>53.75</v>
      </c>
      <c r="B593" s="1">
        <v>4.4711999999999996</v>
      </c>
      <c r="C593" s="4">
        <f>Tabela12[[#This Row],[Alongamento (mm/mm)]]/$I$2</f>
        <v>8.942399999999999E-2</v>
      </c>
      <c r="D593" s="1">
        <v>743.67</v>
      </c>
      <c r="E593" s="4">
        <f>Tabela12[[#This Row],[Força (N)]]/$I$5</f>
        <v>16919125.275285296</v>
      </c>
      <c r="F593" s="4">
        <f>Tabela12[[#This Row],[Tensão (Pa)]]/1000000</f>
        <v>16.919125275285296</v>
      </c>
    </row>
    <row r="594" spans="1:6" x14ac:dyDescent="0.3">
      <c r="A594" s="1">
        <v>53.9</v>
      </c>
      <c r="B594" s="1">
        <v>4.4835000000000003</v>
      </c>
      <c r="C594" s="4">
        <f>Tabela12[[#This Row],[Alongamento (mm/mm)]]/$I$2</f>
        <v>8.967E-2</v>
      </c>
      <c r="D594" s="1">
        <v>750.14</v>
      </c>
      <c r="E594" s="4">
        <f>Tabela12[[#This Row],[Força (N)]]/$I$5</f>
        <v>17066323.280490693</v>
      </c>
      <c r="F594" s="4">
        <f>Tabela12[[#This Row],[Tensão (Pa)]]/1000000</f>
        <v>17.066323280490693</v>
      </c>
    </row>
    <row r="595" spans="1:6" x14ac:dyDescent="0.3">
      <c r="A595" s="1">
        <v>54.033000000000001</v>
      </c>
      <c r="B595" s="1">
        <v>4.4946999999999999</v>
      </c>
      <c r="C595" s="4">
        <f>Tabela12[[#This Row],[Alongamento (mm/mm)]]/$I$2</f>
        <v>8.9894000000000002E-2</v>
      </c>
      <c r="D595" s="1">
        <v>755.92</v>
      </c>
      <c r="E595" s="4">
        <f>Tabela12[[#This Row],[Força (N)]]/$I$5</f>
        <v>17197823.19858763</v>
      </c>
      <c r="F595" s="4">
        <f>Tabela12[[#This Row],[Tensão (Pa)]]/1000000</f>
        <v>17.197823198587631</v>
      </c>
    </row>
    <row r="596" spans="1:6" x14ac:dyDescent="0.3">
      <c r="A596" s="1">
        <v>54.167000000000002</v>
      </c>
      <c r="B596" s="1">
        <v>4.5058999999999996</v>
      </c>
      <c r="C596" s="4">
        <f>Tabela12[[#This Row],[Alongamento (mm/mm)]]/$I$2</f>
        <v>9.011799999999999E-2</v>
      </c>
      <c r="D596" s="1">
        <v>761.7</v>
      </c>
      <c r="E596" s="4">
        <f>Tabela12[[#This Row],[Força (N)]]/$I$5</f>
        <v>17329323.116684567</v>
      </c>
      <c r="F596" s="4">
        <f>Tabela12[[#This Row],[Tensão (Pa)]]/1000000</f>
        <v>17.329323116684566</v>
      </c>
    </row>
    <row r="597" spans="1:6" x14ac:dyDescent="0.3">
      <c r="A597" s="1">
        <v>54.3</v>
      </c>
      <c r="B597" s="1">
        <v>4.5168999999999997</v>
      </c>
      <c r="C597" s="4">
        <f>Tabela12[[#This Row],[Alongamento (mm/mm)]]/$I$2</f>
        <v>9.0337999999999988E-2</v>
      </c>
      <c r="D597" s="1">
        <v>767.49</v>
      </c>
      <c r="E597" s="4">
        <f>Tabela12[[#This Row],[Força (N)]]/$I$5</f>
        <v>17461050.543290321</v>
      </c>
      <c r="F597" s="4">
        <f>Tabela12[[#This Row],[Tensão (Pa)]]/1000000</f>
        <v>17.46105054329032</v>
      </c>
    </row>
    <row r="598" spans="1:6" x14ac:dyDescent="0.3">
      <c r="A598" s="1">
        <v>54.433</v>
      </c>
      <c r="B598" s="1">
        <v>4.5281000000000002</v>
      </c>
      <c r="C598" s="4">
        <f>Tabela12[[#This Row],[Alongamento (mm/mm)]]/$I$2</f>
        <v>9.0562000000000004E-2</v>
      </c>
      <c r="D598" s="1">
        <v>773.27</v>
      </c>
      <c r="E598" s="4">
        <f>Tabela12[[#This Row],[Força (N)]]/$I$5</f>
        <v>17592550.461387258</v>
      </c>
      <c r="F598" s="4">
        <f>Tabela12[[#This Row],[Tensão (Pa)]]/1000000</f>
        <v>17.592550461387258</v>
      </c>
    </row>
    <row r="599" spans="1:6" x14ac:dyDescent="0.3">
      <c r="A599" s="1">
        <v>54.582999999999998</v>
      </c>
      <c r="B599" s="1">
        <v>4.5404999999999998</v>
      </c>
      <c r="C599" s="4">
        <f>Tabela12[[#This Row],[Alongamento (mm/mm)]]/$I$2</f>
        <v>9.0810000000000002E-2</v>
      </c>
      <c r="D599" s="1">
        <v>779.56</v>
      </c>
      <c r="E599" s="4">
        <f>Tabela12[[#This Row],[Força (N)]]/$I$5</f>
        <v>17735653.313433923</v>
      </c>
      <c r="F599" s="4">
        <f>Tabela12[[#This Row],[Tensão (Pa)]]/1000000</f>
        <v>17.735653313433922</v>
      </c>
    </row>
    <row r="600" spans="1:6" x14ac:dyDescent="0.3">
      <c r="A600" s="1">
        <v>54.732999999999997</v>
      </c>
      <c r="B600" s="1">
        <v>4.5529999999999999</v>
      </c>
      <c r="C600" s="4">
        <f>Tabela12[[#This Row],[Alongamento (mm/mm)]]/$I$2</f>
        <v>9.1060000000000002E-2</v>
      </c>
      <c r="D600" s="1">
        <v>786.03</v>
      </c>
      <c r="E600" s="4">
        <f>Tabela12[[#This Row],[Força (N)]]/$I$5</f>
        <v>17882851.318639319</v>
      </c>
      <c r="F600" s="4">
        <f>Tabela12[[#This Row],[Tensão (Pa)]]/1000000</f>
        <v>17.882851318639318</v>
      </c>
    </row>
    <row r="601" spans="1:6" x14ac:dyDescent="0.3">
      <c r="A601" s="1">
        <v>54.883000000000003</v>
      </c>
      <c r="B601" s="1">
        <v>4.5655000000000001</v>
      </c>
      <c r="C601" s="4">
        <f>Tabela12[[#This Row],[Alongamento (mm/mm)]]/$I$2</f>
        <v>9.1310000000000002E-2</v>
      </c>
      <c r="D601" s="1">
        <v>792.32</v>
      </c>
      <c r="E601" s="4">
        <f>Tabela12[[#This Row],[Força (N)]]/$I$5</f>
        <v>18025954.170685988</v>
      </c>
      <c r="F601" s="4">
        <f>Tabela12[[#This Row],[Tensão (Pa)]]/1000000</f>
        <v>18.025954170685988</v>
      </c>
    </row>
    <row r="602" spans="1:6" x14ac:dyDescent="0.3">
      <c r="A602" s="1">
        <v>55.033000000000001</v>
      </c>
      <c r="B602" s="1">
        <v>4.5781000000000001</v>
      </c>
      <c r="C602" s="4">
        <f>Tabela12[[#This Row],[Alongamento (mm/mm)]]/$I$2</f>
        <v>9.1562000000000004E-2</v>
      </c>
      <c r="D602" s="1">
        <v>798.95</v>
      </c>
      <c r="E602" s="4">
        <f>Tabela12[[#This Row],[Força (N)]]/$I$5</f>
        <v>18176792.312032472</v>
      </c>
      <c r="F602" s="4">
        <f>Tabela12[[#This Row],[Tensão (Pa)]]/1000000</f>
        <v>18.176792312032472</v>
      </c>
    </row>
    <row r="603" spans="1:6" x14ac:dyDescent="0.3">
      <c r="A603" s="1">
        <v>55.183</v>
      </c>
      <c r="B603" s="1">
        <v>4.5906000000000002</v>
      </c>
      <c r="C603" s="4">
        <f>Tabela12[[#This Row],[Alongamento (mm/mm)]]/$I$2</f>
        <v>9.1812000000000005E-2</v>
      </c>
      <c r="D603" s="1">
        <v>805.42</v>
      </c>
      <c r="E603" s="4">
        <f>Tabela12[[#This Row],[Força (N)]]/$I$5</f>
        <v>18323990.317237865</v>
      </c>
      <c r="F603" s="4">
        <f>Tabela12[[#This Row],[Tensão (Pa)]]/1000000</f>
        <v>18.323990317237865</v>
      </c>
    </row>
    <row r="604" spans="1:6" x14ac:dyDescent="0.3">
      <c r="A604" s="1">
        <v>55.332999999999998</v>
      </c>
      <c r="B604" s="1">
        <v>4.6029999999999998</v>
      </c>
      <c r="C604" s="4">
        <f>Tabela12[[#This Row],[Alongamento (mm/mm)]]/$I$2</f>
        <v>9.2059999999999989E-2</v>
      </c>
      <c r="D604" s="1">
        <v>812.05</v>
      </c>
      <c r="E604" s="4">
        <f>Tabela12[[#This Row],[Força (N)]]/$I$5</f>
        <v>18474828.458584353</v>
      </c>
      <c r="F604" s="4">
        <f>Tabela12[[#This Row],[Tensão (Pa)]]/1000000</f>
        <v>18.474828458584355</v>
      </c>
    </row>
    <row r="605" spans="1:6" x14ac:dyDescent="0.3">
      <c r="A605" s="1">
        <v>55.482999999999997</v>
      </c>
      <c r="B605" s="1">
        <v>4.6155999999999997</v>
      </c>
      <c r="C605" s="4">
        <f>Tabela12[[#This Row],[Alongamento (mm/mm)]]/$I$2</f>
        <v>9.2311999999999991E-2</v>
      </c>
      <c r="D605" s="1">
        <v>818.86</v>
      </c>
      <c r="E605" s="4">
        <f>Tabela12[[#This Row],[Força (N)]]/$I$5</f>
        <v>18629761.75308957</v>
      </c>
      <c r="F605" s="4">
        <f>Tabela12[[#This Row],[Tensão (Pa)]]/1000000</f>
        <v>18.629761753089568</v>
      </c>
    </row>
    <row r="606" spans="1:6" x14ac:dyDescent="0.3">
      <c r="A606" s="1">
        <v>55.633000000000003</v>
      </c>
      <c r="B606" s="1">
        <v>4.6280000000000001</v>
      </c>
      <c r="C606" s="4">
        <f>Tabela12[[#This Row],[Alongamento (mm/mm)]]/$I$2</f>
        <v>9.2560000000000003E-2</v>
      </c>
      <c r="D606" s="1">
        <v>825.49</v>
      </c>
      <c r="E606" s="4">
        <f>Tabela12[[#This Row],[Força (N)]]/$I$5</f>
        <v>18780599.894436054</v>
      </c>
      <c r="F606" s="4">
        <f>Tabela12[[#This Row],[Tensão (Pa)]]/1000000</f>
        <v>18.780599894436055</v>
      </c>
    </row>
    <row r="607" spans="1:6" x14ac:dyDescent="0.3">
      <c r="A607" s="1">
        <v>55.783000000000001</v>
      </c>
      <c r="B607" s="1">
        <v>4.6406000000000001</v>
      </c>
      <c r="C607" s="4">
        <f>Tabela12[[#This Row],[Alongamento (mm/mm)]]/$I$2</f>
        <v>9.2812000000000006E-2</v>
      </c>
      <c r="D607" s="1">
        <v>832.12</v>
      </c>
      <c r="E607" s="4">
        <f>Tabela12[[#This Row],[Força (N)]]/$I$5</f>
        <v>18931438.035782542</v>
      </c>
      <c r="F607" s="4">
        <f>Tabela12[[#This Row],[Tensão (Pa)]]/1000000</f>
        <v>18.931438035782541</v>
      </c>
    </row>
    <row r="608" spans="1:6" x14ac:dyDescent="0.3">
      <c r="A608" s="1">
        <v>55.933</v>
      </c>
      <c r="B608" s="1">
        <v>4.6531000000000002</v>
      </c>
      <c r="C608" s="4">
        <f>Tabela12[[#This Row],[Alongamento (mm/mm)]]/$I$2</f>
        <v>9.3062000000000006E-2</v>
      </c>
      <c r="D608" s="1">
        <v>838.76</v>
      </c>
      <c r="E608" s="4">
        <f>Tabela12[[#This Row],[Força (N)]]/$I$5</f>
        <v>19082503.685637847</v>
      </c>
      <c r="F608" s="4">
        <f>Tabela12[[#This Row],[Tensão (Pa)]]/1000000</f>
        <v>19.082503685637846</v>
      </c>
    </row>
    <row r="609" spans="1:6" x14ac:dyDescent="0.3">
      <c r="A609" s="1">
        <v>56.082999999999998</v>
      </c>
      <c r="B609" s="1">
        <v>4.6656000000000004</v>
      </c>
      <c r="C609" s="4">
        <f>Tabela12[[#This Row],[Alongamento (mm/mm)]]/$I$2</f>
        <v>9.3312000000000006E-2</v>
      </c>
      <c r="D609" s="1">
        <v>845.39</v>
      </c>
      <c r="E609" s="4">
        <f>Tabela12[[#This Row],[Força (N)]]/$I$5</f>
        <v>19233341.826984331</v>
      </c>
      <c r="F609" s="4">
        <f>Tabela12[[#This Row],[Tensão (Pa)]]/1000000</f>
        <v>19.233341826984329</v>
      </c>
    </row>
    <row r="610" spans="1:6" x14ac:dyDescent="0.3">
      <c r="A610" s="1">
        <v>56.232999999999997</v>
      </c>
      <c r="B610" s="1">
        <v>4.6780999999999997</v>
      </c>
      <c r="C610" s="4">
        <f>Tabela12[[#This Row],[Alongamento (mm/mm)]]/$I$2</f>
        <v>9.3561999999999992E-2</v>
      </c>
      <c r="D610" s="1">
        <v>852.2</v>
      </c>
      <c r="E610" s="4">
        <f>Tabela12[[#This Row],[Força (N)]]/$I$5</f>
        <v>19388275.121489547</v>
      </c>
      <c r="F610" s="4">
        <f>Tabela12[[#This Row],[Tensão (Pa)]]/1000000</f>
        <v>19.388275121489546</v>
      </c>
    </row>
    <row r="611" spans="1:6" x14ac:dyDescent="0.3">
      <c r="A611" s="1">
        <v>56.383000000000003</v>
      </c>
      <c r="B611" s="1">
        <v>4.6905000000000001</v>
      </c>
      <c r="C611" s="4">
        <f>Tabela12[[#This Row],[Alongamento (mm/mm)]]/$I$2</f>
        <v>9.3810000000000004E-2</v>
      </c>
      <c r="D611" s="1">
        <v>859</v>
      </c>
      <c r="E611" s="4">
        <f>Tabela12[[#This Row],[Força (N)]]/$I$5</f>
        <v>19542980.907485943</v>
      </c>
      <c r="F611" s="4">
        <f>Tabela12[[#This Row],[Tensão (Pa)]]/1000000</f>
        <v>19.542980907485944</v>
      </c>
    </row>
    <row r="612" spans="1:6" x14ac:dyDescent="0.3">
      <c r="A612" s="1">
        <v>56.533000000000001</v>
      </c>
      <c r="B612" s="1">
        <v>4.7031000000000001</v>
      </c>
      <c r="C612" s="4">
        <f>Tabela12[[#This Row],[Alongamento (mm/mm)]]/$I$2</f>
        <v>9.4062000000000007E-2</v>
      </c>
      <c r="D612" s="1">
        <v>865.63</v>
      </c>
      <c r="E612" s="4">
        <f>Tabela12[[#This Row],[Força (N)]]/$I$5</f>
        <v>19693819.048832428</v>
      </c>
      <c r="F612" s="4">
        <f>Tabela12[[#This Row],[Tensão (Pa)]]/1000000</f>
        <v>19.693819048832427</v>
      </c>
    </row>
    <row r="613" spans="1:6" x14ac:dyDescent="0.3">
      <c r="A613" s="1">
        <v>56.683</v>
      </c>
      <c r="B613" s="1">
        <v>4.7154999999999996</v>
      </c>
      <c r="C613" s="4">
        <f>Tabela12[[#This Row],[Alongamento (mm/mm)]]/$I$2</f>
        <v>9.4309999999999991E-2</v>
      </c>
      <c r="D613" s="1">
        <v>872.61</v>
      </c>
      <c r="E613" s="4">
        <f>Tabela12[[#This Row],[Força (N)]]/$I$5</f>
        <v>19852619.987987556</v>
      </c>
      <c r="F613" s="4">
        <f>Tabela12[[#This Row],[Tensão (Pa)]]/1000000</f>
        <v>19.852619987987556</v>
      </c>
    </row>
    <row r="614" spans="1:6" x14ac:dyDescent="0.3">
      <c r="A614" s="1">
        <v>56.832999999999998</v>
      </c>
      <c r="B614" s="1">
        <v>4.7281000000000004</v>
      </c>
      <c r="C614" s="4">
        <f>Tabela12[[#This Row],[Alongamento (mm/mm)]]/$I$2</f>
        <v>9.4562000000000007E-2</v>
      </c>
      <c r="D614" s="1">
        <v>879.41</v>
      </c>
      <c r="E614" s="4">
        <f>Tabela12[[#This Row],[Força (N)]]/$I$5</f>
        <v>20007325.773983948</v>
      </c>
      <c r="F614" s="4">
        <f>Tabela12[[#This Row],[Tensão (Pa)]]/1000000</f>
        <v>20.007325773983947</v>
      </c>
    </row>
    <row r="615" spans="1:6" x14ac:dyDescent="0.3">
      <c r="A615" s="1">
        <v>56.982999999999997</v>
      </c>
      <c r="B615" s="1">
        <v>4.7405999999999997</v>
      </c>
      <c r="C615" s="4">
        <f>Tabela12[[#This Row],[Alongamento (mm/mm)]]/$I$2</f>
        <v>9.4811999999999994E-2</v>
      </c>
      <c r="D615" s="1">
        <v>886.38</v>
      </c>
      <c r="E615" s="4">
        <f>Tabela12[[#This Row],[Força (N)]]/$I$5</f>
        <v>20165899.204630256</v>
      </c>
      <c r="F615" s="4">
        <f>Tabela12[[#This Row],[Tensão (Pa)]]/1000000</f>
        <v>20.165899204630257</v>
      </c>
    </row>
    <row r="616" spans="1:6" x14ac:dyDescent="0.3">
      <c r="A616" s="1">
        <v>57.133000000000003</v>
      </c>
      <c r="B616" s="1">
        <v>4.7530000000000001</v>
      </c>
      <c r="C616" s="4">
        <f>Tabela12[[#This Row],[Alongamento (mm/mm)]]/$I$2</f>
        <v>9.5060000000000006E-2</v>
      </c>
      <c r="D616" s="1">
        <v>893.19</v>
      </c>
      <c r="E616" s="4">
        <f>Tabela12[[#This Row],[Força (N)]]/$I$5</f>
        <v>20320832.499135472</v>
      </c>
      <c r="F616" s="4">
        <f>Tabela12[[#This Row],[Tensão (Pa)]]/1000000</f>
        <v>20.320832499135474</v>
      </c>
    </row>
    <row r="617" spans="1:6" x14ac:dyDescent="0.3">
      <c r="A617" s="1">
        <v>57.283000000000001</v>
      </c>
      <c r="B617" s="1">
        <v>4.7656000000000001</v>
      </c>
      <c r="C617" s="4">
        <f>Tabela12[[#This Row],[Alongamento (mm/mm)]]/$I$2</f>
        <v>9.5312000000000008E-2</v>
      </c>
      <c r="D617" s="1">
        <v>899.99</v>
      </c>
      <c r="E617" s="4">
        <f>Tabela12[[#This Row],[Força (N)]]/$I$5</f>
        <v>20475538.285131868</v>
      </c>
      <c r="F617" s="4">
        <f>Tabela12[[#This Row],[Tensão (Pa)]]/1000000</f>
        <v>20.475538285131869</v>
      </c>
    </row>
    <row r="618" spans="1:6" x14ac:dyDescent="0.3">
      <c r="A618" s="1">
        <v>57.433</v>
      </c>
      <c r="B618" s="1">
        <v>4.7781000000000002</v>
      </c>
      <c r="C618" s="4">
        <f>Tabela12[[#This Row],[Alongamento (mm/mm)]]/$I$2</f>
        <v>9.5562000000000008E-2</v>
      </c>
      <c r="D618" s="1">
        <v>906.97</v>
      </c>
      <c r="E618" s="4">
        <f>Tabela12[[#This Row],[Força (N)]]/$I$5</f>
        <v>20634339.224286992</v>
      </c>
      <c r="F618" s="4">
        <f>Tabela12[[#This Row],[Tensão (Pa)]]/1000000</f>
        <v>20.634339224286993</v>
      </c>
    </row>
    <row r="619" spans="1:6" x14ac:dyDescent="0.3">
      <c r="A619" s="1">
        <v>57.582999999999998</v>
      </c>
      <c r="B619" s="1">
        <v>4.7904999999999998</v>
      </c>
      <c r="C619" s="4">
        <f>Tabela12[[#This Row],[Alongamento (mm/mm)]]/$I$2</f>
        <v>9.5809999999999992E-2</v>
      </c>
      <c r="D619" s="1">
        <v>913.94</v>
      </c>
      <c r="E619" s="4">
        <f>Tabela12[[#This Row],[Força (N)]]/$I$5</f>
        <v>20792912.6549333</v>
      </c>
      <c r="F619" s="4">
        <f>Tabela12[[#This Row],[Tensão (Pa)]]/1000000</f>
        <v>20.7929126549333</v>
      </c>
    </row>
    <row r="620" spans="1:6" x14ac:dyDescent="0.3">
      <c r="A620" s="1">
        <v>57.732999999999997</v>
      </c>
      <c r="B620" s="1">
        <v>4.8030999999999997</v>
      </c>
      <c r="C620" s="4">
        <f>Tabela12[[#This Row],[Alongamento (mm/mm)]]/$I$2</f>
        <v>9.6061999999999995E-2</v>
      </c>
      <c r="D620" s="1">
        <v>920.91</v>
      </c>
      <c r="E620" s="4">
        <f>Tabela12[[#This Row],[Força (N)]]/$I$5</f>
        <v>20951486.085579604</v>
      </c>
      <c r="F620" s="4">
        <f>Tabela12[[#This Row],[Tensão (Pa)]]/1000000</f>
        <v>20.951486085579603</v>
      </c>
    </row>
    <row r="621" spans="1:6" x14ac:dyDescent="0.3">
      <c r="A621" s="1">
        <v>57.9</v>
      </c>
      <c r="B621" s="1">
        <v>4.8170000000000002</v>
      </c>
      <c r="C621" s="4">
        <f>Tabela12[[#This Row],[Alongamento (mm/mm)]]/$I$2</f>
        <v>9.6340000000000009E-2</v>
      </c>
      <c r="D621" s="1">
        <v>928.57</v>
      </c>
      <c r="E621" s="4">
        <f>Tabela12[[#This Row],[Força (N)]]/$I$5</f>
        <v>21125757.603334367</v>
      </c>
      <c r="F621" s="4">
        <f>Tabela12[[#This Row],[Tensão (Pa)]]/1000000</f>
        <v>21.125757603334367</v>
      </c>
    </row>
    <row r="622" spans="1:6" x14ac:dyDescent="0.3">
      <c r="A622" s="1">
        <v>58.067</v>
      </c>
      <c r="B622" s="1">
        <v>4.8308</v>
      </c>
      <c r="C622" s="4">
        <f>Tabela12[[#This Row],[Alongamento (mm/mm)]]/$I$2</f>
        <v>9.6615999999999994E-2</v>
      </c>
      <c r="D622" s="1">
        <v>936.05</v>
      </c>
      <c r="E622" s="4">
        <f>Tabela12[[#This Row],[Força (N)]]/$I$5</f>
        <v>21295933.967930403</v>
      </c>
      <c r="F622" s="4">
        <f>Tabela12[[#This Row],[Tensão (Pa)]]/1000000</f>
        <v>21.295933967930402</v>
      </c>
    </row>
    <row r="623" spans="1:6" x14ac:dyDescent="0.3">
      <c r="A623" s="1">
        <v>58.232999999999997</v>
      </c>
      <c r="B623" s="1">
        <v>4.8446999999999996</v>
      </c>
      <c r="C623" s="4">
        <f>Tabela12[[#This Row],[Alongamento (mm/mm)]]/$I$2</f>
        <v>9.6893999999999994E-2</v>
      </c>
      <c r="D623" s="1">
        <v>943.71</v>
      </c>
      <c r="E623" s="4">
        <f>Tabela12[[#This Row],[Força (N)]]/$I$5</f>
        <v>21470205.48568517</v>
      </c>
      <c r="F623" s="4">
        <f>Tabela12[[#This Row],[Tensão (Pa)]]/1000000</f>
        <v>21.47020548568517</v>
      </c>
    </row>
    <row r="624" spans="1:6" x14ac:dyDescent="0.3">
      <c r="A624" s="1">
        <v>58.4</v>
      </c>
      <c r="B624" s="1">
        <v>4.8586999999999998</v>
      </c>
      <c r="C624" s="4">
        <f>Tabela12[[#This Row],[Alongamento (mm/mm)]]/$I$2</f>
        <v>9.7173999999999996E-2</v>
      </c>
      <c r="D624" s="1">
        <v>951.53</v>
      </c>
      <c r="E624" s="4">
        <f>Tabela12[[#This Row],[Força (N)]]/$I$5</f>
        <v>21648117.139581025</v>
      </c>
      <c r="F624" s="4">
        <f>Tabela12[[#This Row],[Tensão (Pa)]]/1000000</f>
        <v>21.648117139581025</v>
      </c>
    </row>
    <row r="625" spans="1:6" x14ac:dyDescent="0.3">
      <c r="A625" s="1">
        <v>58.567</v>
      </c>
      <c r="B625" s="1">
        <v>4.8724999999999996</v>
      </c>
      <c r="C625" s="4">
        <f>Tabela12[[#This Row],[Alongamento (mm/mm)]]/$I$2</f>
        <v>9.7449999999999995E-2</v>
      </c>
      <c r="D625" s="1">
        <v>959.02</v>
      </c>
      <c r="E625" s="4">
        <f>Tabela12[[#This Row],[Força (N)]]/$I$5</f>
        <v>21818521.012685876</v>
      </c>
      <c r="F625" s="4">
        <f>Tabela12[[#This Row],[Tensão (Pa)]]/1000000</f>
        <v>21.818521012685878</v>
      </c>
    </row>
    <row r="626" spans="1:6" x14ac:dyDescent="0.3">
      <c r="A626" s="1">
        <v>58.732999999999997</v>
      </c>
      <c r="B626" s="1">
        <v>4.8864000000000001</v>
      </c>
      <c r="C626" s="4">
        <f>Tabela12[[#This Row],[Alongamento (mm/mm)]]/$I$2</f>
        <v>9.7727999999999995E-2</v>
      </c>
      <c r="D626" s="1">
        <v>966.67</v>
      </c>
      <c r="E626" s="4">
        <f>Tabela12[[#This Row],[Força (N)]]/$I$5</f>
        <v>21992565.021931823</v>
      </c>
      <c r="F626" s="4">
        <f>Tabela12[[#This Row],[Tensão (Pa)]]/1000000</f>
        <v>21.992565021931824</v>
      </c>
    </row>
    <row r="627" spans="1:6" x14ac:dyDescent="0.3">
      <c r="A627" s="1">
        <v>58.9</v>
      </c>
      <c r="B627" s="1">
        <v>4.9002999999999997</v>
      </c>
      <c r="C627" s="4">
        <f>Tabela12[[#This Row],[Alongamento (mm/mm)]]/$I$2</f>
        <v>9.8005999999999996E-2</v>
      </c>
      <c r="D627" s="1">
        <v>974.33</v>
      </c>
      <c r="E627" s="4">
        <f>Tabela12[[#This Row],[Força (N)]]/$I$5</f>
        <v>22166836.539686587</v>
      </c>
      <c r="F627" s="4">
        <f>Tabela12[[#This Row],[Tensão (Pa)]]/1000000</f>
        <v>22.166836539686585</v>
      </c>
    </row>
    <row r="628" spans="1:6" x14ac:dyDescent="0.3">
      <c r="A628" s="1">
        <v>59.067</v>
      </c>
      <c r="B628" s="1">
        <v>4.9141000000000004</v>
      </c>
      <c r="C628" s="4">
        <f>Tabela12[[#This Row],[Alongamento (mm/mm)]]/$I$2</f>
        <v>9.8282000000000008E-2</v>
      </c>
      <c r="D628" s="1">
        <v>981.81</v>
      </c>
      <c r="E628" s="4">
        <f>Tabela12[[#This Row],[Força (N)]]/$I$5</f>
        <v>22337012.904282622</v>
      </c>
      <c r="F628" s="4">
        <f>Tabela12[[#This Row],[Tensão (Pa)]]/1000000</f>
        <v>22.337012904282624</v>
      </c>
    </row>
    <row r="629" spans="1:6" x14ac:dyDescent="0.3">
      <c r="A629" s="1">
        <v>59.232999999999997</v>
      </c>
      <c r="B629" s="1">
        <v>4.9279999999999999</v>
      </c>
      <c r="C629" s="4">
        <f>Tabela12[[#This Row],[Alongamento (mm/mm)]]/$I$2</f>
        <v>9.8559999999999995E-2</v>
      </c>
      <c r="D629" s="1">
        <v>989.46</v>
      </c>
      <c r="E629" s="4">
        <f>Tabela12[[#This Row],[Força (N)]]/$I$5</f>
        <v>22511056.913528569</v>
      </c>
      <c r="F629" s="4">
        <f>Tabela12[[#This Row],[Tensão (Pa)]]/1000000</f>
        <v>22.51105691352857</v>
      </c>
    </row>
    <row r="630" spans="1:6" x14ac:dyDescent="0.3">
      <c r="A630" s="1">
        <v>59.4</v>
      </c>
      <c r="B630" s="1">
        <v>4.9419000000000004</v>
      </c>
      <c r="C630" s="4">
        <f>Tabela12[[#This Row],[Alongamento (mm/mm)]]/$I$2</f>
        <v>9.8838000000000009E-2</v>
      </c>
      <c r="D630" s="1">
        <v>997.12</v>
      </c>
      <c r="E630" s="4">
        <f>Tabela12[[#This Row],[Força (N)]]/$I$5</f>
        <v>22685328.431283332</v>
      </c>
      <c r="F630" s="4">
        <f>Tabela12[[#This Row],[Tensão (Pa)]]/1000000</f>
        <v>22.685328431283331</v>
      </c>
    </row>
    <row r="631" spans="1:6" x14ac:dyDescent="0.3">
      <c r="A631" s="1">
        <v>59.567</v>
      </c>
      <c r="B631" s="1">
        <v>4.9558</v>
      </c>
      <c r="C631" s="4">
        <f>Tabela12[[#This Row],[Alongamento (mm/mm)]]/$I$2</f>
        <v>9.9115999999999996E-2</v>
      </c>
      <c r="D631" s="1">
        <v>1004.8</v>
      </c>
      <c r="E631" s="4">
        <f>Tabela12[[#This Row],[Força (N)]]/$I$5</f>
        <v>22860054.966055732</v>
      </c>
      <c r="F631" s="4">
        <f>Tabela12[[#This Row],[Tensão (Pa)]]/1000000</f>
        <v>22.860054966055731</v>
      </c>
    </row>
    <row r="632" spans="1:6" x14ac:dyDescent="0.3">
      <c r="A632" s="1">
        <v>59.75</v>
      </c>
      <c r="B632" s="1">
        <v>4.9711999999999996</v>
      </c>
      <c r="C632" s="4">
        <f>Tabela12[[#This Row],[Alongamento (mm/mm)]]/$I$2</f>
        <v>9.9423999999999998E-2</v>
      </c>
      <c r="D632" s="1">
        <v>1013.1</v>
      </c>
      <c r="E632" s="4">
        <f>Tabela12[[#This Row],[Força (N)]]/$I$5</f>
        <v>23048887.028374866</v>
      </c>
      <c r="F632" s="4">
        <f>Tabela12[[#This Row],[Tensão (Pa)]]/1000000</f>
        <v>23.048887028374864</v>
      </c>
    </row>
    <row r="633" spans="1:6" x14ac:dyDescent="0.3">
      <c r="A633" s="1">
        <v>59.933</v>
      </c>
      <c r="B633" s="1">
        <v>4.9863999999999997</v>
      </c>
      <c r="C633" s="4">
        <f>Tabela12[[#This Row],[Alongamento (mm/mm)]]/$I$2</f>
        <v>9.9727999999999997E-2</v>
      </c>
      <c r="D633" s="1">
        <v>1021.6</v>
      </c>
      <c r="E633" s="4">
        <f>Tabela12[[#This Row],[Força (N)]]/$I$5</f>
        <v>23242269.26087036</v>
      </c>
      <c r="F633" s="4">
        <f>Tabela12[[#This Row],[Tensão (Pa)]]/1000000</f>
        <v>23.242269260870358</v>
      </c>
    </row>
    <row r="634" spans="1:6" x14ac:dyDescent="0.3">
      <c r="A634" s="1">
        <v>60.116999999999997</v>
      </c>
      <c r="B634" s="1">
        <v>5.0016999999999996</v>
      </c>
      <c r="C634" s="4">
        <f>Tabela12[[#This Row],[Alongamento (mm/mm)]]/$I$2</f>
        <v>0.100034</v>
      </c>
      <c r="D634" s="1">
        <v>1030.0999999999999</v>
      </c>
      <c r="E634" s="4">
        <f>Tabela12[[#This Row],[Força (N)]]/$I$5</f>
        <v>23435651.493365854</v>
      </c>
      <c r="F634" s="4">
        <f>Tabela12[[#This Row],[Tensão (Pa)]]/1000000</f>
        <v>23.435651493365853</v>
      </c>
    </row>
    <row r="635" spans="1:6" x14ac:dyDescent="0.3">
      <c r="A635" s="1">
        <v>60.3</v>
      </c>
      <c r="B635" s="1">
        <v>5.0168999999999997</v>
      </c>
      <c r="C635" s="4">
        <f>Tabela12[[#This Row],[Alongamento (mm/mm)]]/$I$2</f>
        <v>0.100338</v>
      </c>
      <c r="D635" s="1">
        <v>1038.5</v>
      </c>
      <c r="E635" s="4">
        <f>Tabela12[[#This Row],[Força (N)]]/$I$5</f>
        <v>23626758.64077317</v>
      </c>
      <c r="F635" s="4">
        <f>Tabela12[[#This Row],[Tensão (Pa)]]/1000000</f>
        <v>23.626758640773168</v>
      </c>
    </row>
    <row r="636" spans="1:6" x14ac:dyDescent="0.3">
      <c r="A636" s="1">
        <v>60.482999999999997</v>
      </c>
      <c r="B636" s="1">
        <v>5.0321999999999996</v>
      </c>
      <c r="C636" s="4">
        <f>Tabela12[[#This Row],[Alongamento (mm/mm)]]/$I$2</f>
        <v>0.100644</v>
      </c>
      <c r="D636" s="1">
        <v>1047</v>
      </c>
      <c r="E636" s="4">
        <f>Tabela12[[#This Row],[Força (N)]]/$I$5</f>
        <v>23820140.873268664</v>
      </c>
      <c r="F636" s="4">
        <f>Tabela12[[#This Row],[Tensão (Pa)]]/1000000</f>
        <v>23.820140873268663</v>
      </c>
    </row>
    <row r="637" spans="1:6" x14ac:dyDescent="0.3">
      <c r="A637" s="1">
        <v>60.667000000000002</v>
      </c>
      <c r="B637" s="1">
        <v>5.0475000000000003</v>
      </c>
      <c r="C637" s="4">
        <f>Tabela12[[#This Row],[Alongamento (mm/mm)]]/$I$2</f>
        <v>0.10095000000000001</v>
      </c>
      <c r="D637" s="1">
        <v>1055.3</v>
      </c>
      <c r="E637" s="4">
        <f>Tabela12[[#This Row],[Força (N)]]/$I$5</f>
        <v>24008972.935587794</v>
      </c>
      <c r="F637" s="4">
        <f>Tabela12[[#This Row],[Tensão (Pa)]]/1000000</f>
        <v>24.008972935587792</v>
      </c>
    </row>
    <row r="638" spans="1:6" x14ac:dyDescent="0.3">
      <c r="A638" s="1">
        <v>60.85</v>
      </c>
      <c r="B638" s="1">
        <v>5.0627000000000004</v>
      </c>
      <c r="C638" s="4">
        <f>Tabela12[[#This Row],[Alongamento (mm/mm)]]/$I$2</f>
        <v>0.10125400000000001</v>
      </c>
      <c r="D638" s="1">
        <v>1063.8</v>
      </c>
      <c r="E638" s="4">
        <f>Tabela12[[#This Row],[Força (N)]]/$I$5</f>
        <v>24202355.168083288</v>
      </c>
      <c r="F638" s="4">
        <f>Tabela12[[#This Row],[Tensão (Pa)]]/1000000</f>
        <v>24.202355168083287</v>
      </c>
    </row>
    <row r="639" spans="1:6" x14ac:dyDescent="0.3">
      <c r="A639" s="1">
        <v>61.033000000000001</v>
      </c>
      <c r="B639" s="1">
        <v>5.0780000000000003</v>
      </c>
      <c r="C639" s="4">
        <f>Tabela12[[#This Row],[Alongamento (mm/mm)]]/$I$2</f>
        <v>0.10156000000000001</v>
      </c>
      <c r="D639" s="1">
        <v>1072.0999999999999</v>
      </c>
      <c r="E639" s="4">
        <f>Tabela12[[#This Row],[Força (N)]]/$I$5</f>
        <v>24391187.230402417</v>
      </c>
      <c r="F639" s="4">
        <f>Tabela12[[#This Row],[Tensão (Pa)]]/1000000</f>
        <v>24.391187230402416</v>
      </c>
    </row>
    <row r="640" spans="1:6" x14ac:dyDescent="0.3">
      <c r="A640" s="1">
        <v>61.216999999999999</v>
      </c>
      <c r="B640" s="1">
        <v>5.0933000000000002</v>
      </c>
      <c r="C640" s="4">
        <f>Tabela12[[#This Row],[Alongamento (mm/mm)]]/$I$2</f>
        <v>0.101866</v>
      </c>
      <c r="D640" s="1">
        <v>1080.5999999999999</v>
      </c>
      <c r="E640" s="4">
        <f>Tabela12[[#This Row],[Força (N)]]/$I$5</f>
        <v>24584569.462897915</v>
      </c>
      <c r="F640" s="4">
        <f>Tabela12[[#This Row],[Tensão (Pa)]]/1000000</f>
        <v>24.584569462897914</v>
      </c>
    </row>
    <row r="641" spans="1:6" x14ac:dyDescent="0.3">
      <c r="A641" s="1">
        <v>61.4</v>
      </c>
      <c r="B641" s="1">
        <v>5.1086</v>
      </c>
      <c r="C641" s="4">
        <f>Tabela12[[#This Row],[Alongamento (mm/mm)]]/$I$2</f>
        <v>0.102172</v>
      </c>
      <c r="D641" s="1">
        <v>1089.0999999999999</v>
      </c>
      <c r="E641" s="4">
        <f>Tabela12[[#This Row],[Força (N)]]/$I$5</f>
        <v>24777951.69539341</v>
      </c>
      <c r="F641" s="4">
        <f>Tabela12[[#This Row],[Tensão (Pa)]]/1000000</f>
        <v>24.777951695393408</v>
      </c>
    </row>
    <row r="642" spans="1:6" x14ac:dyDescent="0.3">
      <c r="A642" s="1">
        <v>61.582999999999998</v>
      </c>
      <c r="B642" s="1">
        <v>5.1238999999999999</v>
      </c>
      <c r="C642" s="4">
        <f>Tabela12[[#This Row],[Alongamento (mm/mm)]]/$I$2</f>
        <v>0.102478</v>
      </c>
      <c r="D642" s="1">
        <v>1097.5999999999999</v>
      </c>
      <c r="E642" s="4">
        <f>Tabela12[[#This Row],[Força (N)]]/$I$5</f>
        <v>24971333.927888904</v>
      </c>
      <c r="F642" s="4">
        <f>Tabela12[[#This Row],[Tensão (Pa)]]/1000000</f>
        <v>24.971333927888903</v>
      </c>
    </row>
    <row r="643" spans="1:6" x14ac:dyDescent="0.3">
      <c r="A643" s="1">
        <v>61.767000000000003</v>
      </c>
      <c r="B643" s="1">
        <v>5.1391</v>
      </c>
      <c r="C643" s="4">
        <f>Tabela12[[#This Row],[Alongamento (mm/mm)]]/$I$2</f>
        <v>0.102782</v>
      </c>
      <c r="D643" s="1">
        <v>1106.2</v>
      </c>
      <c r="E643" s="4">
        <f>Tabela12[[#This Row],[Força (N)]]/$I$5</f>
        <v>25166991.245472584</v>
      </c>
      <c r="F643" s="4">
        <f>Tabela12[[#This Row],[Tensão (Pa)]]/1000000</f>
        <v>25.166991245472584</v>
      </c>
    </row>
    <row r="644" spans="1:6" x14ac:dyDescent="0.3">
      <c r="A644" s="1">
        <v>61.95</v>
      </c>
      <c r="B644" s="1">
        <v>5.1543999999999999</v>
      </c>
      <c r="C644" s="4">
        <f>Tabela12[[#This Row],[Alongamento (mm/mm)]]/$I$2</f>
        <v>0.103088</v>
      </c>
      <c r="D644" s="1">
        <v>1114.8</v>
      </c>
      <c r="E644" s="4">
        <f>Tabela12[[#This Row],[Força (N)]]/$I$5</f>
        <v>25362648.56305626</v>
      </c>
      <c r="F644" s="4">
        <f>Tabela12[[#This Row],[Tensão (Pa)]]/1000000</f>
        <v>25.362648563056261</v>
      </c>
    </row>
    <row r="645" spans="1:6" x14ac:dyDescent="0.3">
      <c r="A645" s="1">
        <v>62.133000000000003</v>
      </c>
      <c r="B645" s="1">
        <v>5.1696999999999997</v>
      </c>
      <c r="C645" s="4">
        <f>Tabela12[[#This Row],[Alongamento (mm/mm)]]/$I$2</f>
        <v>0.103394</v>
      </c>
      <c r="D645" s="1">
        <v>1123.5</v>
      </c>
      <c r="E645" s="4">
        <f>Tabela12[[#This Row],[Força (N)]]/$I$5</f>
        <v>25560580.965728123</v>
      </c>
      <c r="F645" s="4">
        <f>Tabela12[[#This Row],[Tensão (Pa)]]/1000000</f>
        <v>25.560580965728121</v>
      </c>
    </row>
    <row r="646" spans="1:6" x14ac:dyDescent="0.3">
      <c r="A646" s="1">
        <v>62.317</v>
      </c>
      <c r="B646" s="1">
        <v>5.1849999999999996</v>
      </c>
      <c r="C646" s="4">
        <f>Tabela12[[#This Row],[Alongamento (mm/mm)]]/$I$2</f>
        <v>0.10369999999999999</v>
      </c>
      <c r="D646" s="1">
        <v>1132.2</v>
      </c>
      <c r="E646" s="4">
        <f>Tabela12[[#This Row],[Força (N)]]/$I$5</f>
        <v>25758513.368399981</v>
      </c>
      <c r="F646" s="4">
        <f>Tabela12[[#This Row],[Tensão (Pa)]]/1000000</f>
        <v>25.758513368399981</v>
      </c>
    </row>
    <row r="647" spans="1:6" x14ac:dyDescent="0.3">
      <c r="A647" s="1">
        <v>62.517000000000003</v>
      </c>
      <c r="B647" s="1">
        <v>5.2016999999999998</v>
      </c>
      <c r="C647" s="4">
        <f>Tabela12[[#This Row],[Alongamento (mm/mm)]]/$I$2</f>
        <v>0.104034</v>
      </c>
      <c r="D647" s="1">
        <v>1141.7</v>
      </c>
      <c r="E647" s="4">
        <f>Tabela12[[#This Row],[Força (N)]]/$I$5</f>
        <v>25974646.451777302</v>
      </c>
      <c r="F647" s="4">
        <f>Tabela12[[#This Row],[Tensão (Pa)]]/1000000</f>
        <v>25.974646451777303</v>
      </c>
    </row>
    <row r="648" spans="1:6" x14ac:dyDescent="0.3">
      <c r="A648" s="1">
        <v>62.716999999999999</v>
      </c>
      <c r="B648" s="1">
        <v>5.2183000000000002</v>
      </c>
      <c r="C648" s="4">
        <f>Tabela12[[#This Row],[Alongamento (mm/mm)]]/$I$2</f>
        <v>0.104366</v>
      </c>
      <c r="D648" s="1">
        <v>1151.0999999999999</v>
      </c>
      <c r="E648" s="4">
        <f>Tabela12[[#This Row],[Força (N)]]/$I$5</f>
        <v>26188504.450066432</v>
      </c>
      <c r="F648" s="4">
        <f>Tabela12[[#This Row],[Tensão (Pa)]]/1000000</f>
        <v>26.188504450066432</v>
      </c>
    </row>
    <row r="649" spans="1:6" x14ac:dyDescent="0.3">
      <c r="A649" s="1">
        <v>62.9</v>
      </c>
      <c r="B649" s="1">
        <v>5.2336</v>
      </c>
      <c r="C649" s="4">
        <f>Tabela12[[#This Row],[Alongamento (mm/mm)]]/$I$2</f>
        <v>0.104672</v>
      </c>
      <c r="D649" s="1">
        <v>1159.9000000000001</v>
      </c>
      <c r="E649" s="4">
        <f>Tabela12[[#This Row],[Força (N)]]/$I$5</f>
        <v>26388711.937826481</v>
      </c>
      <c r="F649" s="4">
        <f>Tabela12[[#This Row],[Tensão (Pa)]]/1000000</f>
        <v>26.388711937826482</v>
      </c>
    </row>
    <row r="650" spans="1:6" x14ac:dyDescent="0.3">
      <c r="A650" s="1">
        <v>63.1</v>
      </c>
      <c r="B650" s="1">
        <v>5.2503000000000002</v>
      </c>
      <c r="C650" s="4">
        <f>Tabela12[[#This Row],[Alongamento (mm/mm)]]/$I$2</f>
        <v>0.105006</v>
      </c>
      <c r="D650" s="1">
        <v>1169.4000000000001</v>
      </c>
      <c r="E650" s="4">
        <f>Tabela12[[#This Row],[Força (N)]]/$I$5</f>
        <v>26604845.021203797</v>
      </c>
      <c r="F650" s="4">
        <f>Tabela12[[#This Row],[Tensão (Pa)]]/1000000</f>
        <v>26.604845021203797</v>
      </c>
    </row>
    <row r="651" spans="1:6" x14ac:dyDescent="0.3">
      <c r="A651" s="1">
        <v>63.3</v>
      </c>
      <c r="B651" s="1">
        <v>5.2670000000000003</v>
      </c>
      <c r="C651" s="4">
        <f>Tabela12[[#This Row],[Alongamento (mm/mm)]]/$I$2</f>
        <v>0.10534</v>
      </c>
      <c r="D651" s="1">
        <v>1179</v>
      </c>
      <c r="E651" s="4">
        <f>Tabela12[[#This Row],[Força (N)]]/$I$5</f>
        <v>26823253.189669296</v>
      </c>
      <c r="F651" s="4">
        <f>Tabela12[[#This Row],[Tensão (Pa)]]/1000000</f>
        <v>26.823253189669295</v>
      </c>
    </row>
    <row r="652" spans="1:6" x14ac:dyDescent="0.3">
      <c r="A652" s="1">
        <v>63.5</v>
      </c>
      <c r="B652" s="1">
        <v>5.2835999999999999</v>
      </c>
      <c r="C652" s="4">
        <f>Tabela12[[#This Row],[Alongamento (mm/mm)]]/$I$2</f>
        <v>0.105672</v>
      </c>
      <c r="D652" s="1">
        <v>1188.5</v>
      </c>
      <c r="E652" s="4">
        <f>Tabela12[[#This Row],[Força (N)]]/$I$5</f>
        <v>27039386.273046616</v>
      </c>
      <c r="F652" s="4">
        <f>Tabela12[[#This Row],[Tensão (Pa)]]/1000000</f>
        <v>27.039386273046617</v>
      </c>
    </row>
    <row r="653" spans="1:6" x14ac:dyDescent="0.3">
      <c r="A653" s="1">
        <v>63.7</v>
      </c>
      <c r="B653" s="1">
        <v>5.3002000000000002</v>
      </c>
      <c r="C653" s="4">
        <f>Tabela12[[#This Row],[Alongamento (mm/mm)]]/$I$2</f>
        <v>0.106004</v>
      </c>
      <c r="D653" s="1">
        <v>1198</v>
      </c>
      <c r="E653" s="4">
        <f>Tabela12[[#This Row],[Força (N)]]/$I$5</f>
        <v>27255519.356423933</v>
      </c>
      <c r="F653" s="4">
        <f>Tabela12[[#This Row],[Tensão (Pa)]]/1000000</f>
        <v>27.255519356423932</v>
      </c>
    </row>
    <row r="654" spans="1:6" x14ac:dyDescent="0.3">
      <c r="A654" s="1">
        <v>63.9</v>
      </c>
      <c r="B654" s="1">
        <v>5.3170000000000002</v>
      </c>
      <c r="C654" s="4">
        <f>Tabela12[[#This Row],[Alongamento (mm/mm)]]/$I$2</f>
        <v>0.10634</v>
      </c>
      <c r="D654" s="1">
        <v>1207.5</v>
      </c>
      <c r="E654" s="4">
        <f>Tabela12[[#This Row],[Força (N)]]/$I$5</f>
        <v>27471652.439801253</v>
      </c>
      <c r="F654" s="4">
        <f>Tabela12[[#This Row],[Tensão (Pa)]]/1000000</f>
        <v>27.471652439801254</v>
      </c>
    </row>
    <row r="655" spans="1:6" x14ac:dyDescent="0.3">
      <c r="A655" s="1">
        <v>64.099999999999994</v>
      </c>
      <c r="B655" s="1">
        <v>5.3335999999999997</v>
      </c>
      <c r="C655" s="4">
        <f>Tabela12[[#This Row],[Alongamento (mm/mm)]]/$I$2</f>
        <v>0.10667199999999999</v>
      </c>
      <c r="D655" s="1">
        <v>1217.0999999999999</v>
      </c>
      <c r="E655" s="4">
        <f>Tabela12[[#This Row],[Força (N)]]/$I$5</f>
        <v>27690060.608266752</v>
      </c>
      <c r="F655" s="4">
        <f>Tabela12[[#This Row],[Tensão (Pa)]]/1000000</f>
        <v>27.690060608266752</v>
      </c>
    </row>
    <row r="656" spans="1:6" x14ac:dyDescent="0.3">
      <c r="A656" s="1">
        <v>64.3</v>
      </c>
      <c r="B656" s="1">
        <v>5.3502999999999998</v>
      </c>
      <c r="C656" s="4">
        <f>Tabela12[[#This Row],[Alongamento (mm/mm)]]/$I$2</f>
        <v>0.10700599999999999</v>
      </c>
      <c r="D656" s="1">
        <v>1226.5999999999999</v>
      </c>
      <c r="E656" s="4">
        <f>Tabela12[[#This Row],[Força (N)]]/$I$5</f>
        <v>27906193.691644069</v>
      </c>
      <c r="F656" s="4">
        <f>Tabela12[[#This Row],[Tensão (Pa)]]/1000000</f>
        <v>27.90619369164407</v>
      </c>
    </row>
    <row r="657" spans="1:6" x14ac:dyDescent="0.3">
      <c r="A657" s="1">
        <v>64.5</v>
      </c>
      <c r="B657" s="1">
        <v>5.3669000000000002</v>
      </c>
      <c r="C657" s="4">
        <f>Tabela12[[#This Row],[Alongamento (mm/mm)]]/$I$2</f>
        <v>0.107338</v>
      </c>
      <c r="D657" s="1">
        <v>1236.0999999999999</v>
      </c>
      <c r="E657" s="4">
        <f>Tabela12[[#This Row],[Força (N)]]/$I$5</f>
        <v>28122326.775021389</v>
      </c>
      <c r="F657" s="4">
        <f>Tabela12[[#This Row],[Tensão (Pa)]]/1000000</f>
        <v>28.122326775021389</v>
      </c>
    </row>
    <row r="658" spans="1:6" x14ac:dyDescent="0.3">
      <c r="A658" s="1">
        <v>64.716999999999999</v>
      </c>
      <c r="B658" s="1">
        <v>5.3851000000000004</v>
      </c>
      <c r="C658" s="4">
        <f>Tabela12[[#This Row],[Alongamento (mm/mm)]]/$I$2</f>
        <v>0.10770200000000001</v>
      </c>
      <c r="D658" s="1">
        <v>1246.0999999999999</v>
      </c>
      <c r="E658" s="4">
        <f>Tabela12[[#This Row],[Força (N)]]/$I$5</f>
        <v>28349835.283839617</v>
      </c>
      <c r="F658" s="4">
        <f>Tabela12[[#This Row],[Tensão (Pa)]]/1000000</f>
        <v>28.349835283839617</v>
      </c>
    </row>
    <row r="659" spans="1:6" x14ac:dyDescent="0.3">
      <c r="A659" s="1">
        <v>64.933000000000007</v>
      </c>
      <c r="B659" s="1">
        <v>5.4029999999999996</v>
      </c>
      <c r="C659" s="4">
        <f>Tabela12[[#This Row],[Alongamento (mm/mm)]]/$I$2</f>
        <v>0.10805999999999999</v>
      </c>
      <c r="D659" s="1">
        <v>1256.2</v>
      </c>
      <c r="E659" s="4">
        <f>Tabela12[[#This Row],[Força (N)]]/$I$5</f>
        <v>28579618.877746034</v>
      </c>
      <c r="F659" s="4">
        <f>Tabela12[[#This Row],[Tensão (Pa)]]/1000000</f>
        <v>28.579618877746036</v>
      </c>
    </row>
    <row r="660" spans="1:6" x14ac:dyDescent="0.3">
      <c r="A660" s="1">
        <v>65.150000000000006</v>
      </c>
      <c r="B660" s="1">
        <v>5.4211</v>
      </c>
      <c r="C660" s="4">
        <f>Tabela12[[#This Row],[Alongamento (mm/mm)]]/$I$2</f>
        <v>0.108422</v>
      </c>
      <c r="D660" s="1">
        <v>1266.4000000000001</v>
      </c>
      <c r="E660" s="4">
        <f>Tabela12[[#This Row],[Força (N)]]/$I$5</f>
        <v>28811677.556740627</v>
      </c>
      <c r="F660" s="4">
        <f>Tabela12[[#This Row],[Tensão (Pa)]]/1000000</f>
        <v>28.811677556740626</v>
      </c>
    </row>
    <row r="661" spans="1:6" x14ac:dyDescent="0.3">
      <c r="A661" s="1">
        <v>65.367000000000004</v>
      </c>
      <c r="B661" s="1">
        <v>5.4390999999999998</v>
      </c>
      <c r="C661" s="4">
        <f>Tabela12[[#This Row],[Alongamento (mm/mm)]]/$I$2</f>
        <v>0.10878199999999999</v>
      </c>
      <c r="D661" s="1">
        <v>1276.4000000000001</v>
      </c>
      <c r="E661" s="4">
        <f>Tabela12[[#This Row],[Força (N)]]/$I$5</f>
        <v>29039186.065558858</v>
      </c>
      <c r="F661" s="4">
        <f>Tabela12[[#This Row],[Tensão (Pa)]]/1000000</f>
        <v>29.039186065558859</v>
      </c>
    </row>
    <row r="662" spans="1:6" x14ac:dyDescent="0.3">
      <c r="A662" s="1">
        <v>65.582999999999998</v>
      </c>
      <c r="B662" s="1">
        <v>5.4572000000000003</v>
      </c>
      <c r="C662" s="4">
        <f>Tabela12[[#This Row],[Alongamento (mm/mm)]]/$I$2</f>
        <v>0.109144</v>
      </c>
      <c r="D662" s="1">
        <v>1286.5999999999999</v>
      </c>
      <c r="E662" s="4">
        <f>Tabela12[[#This Row],[Força (N)]]/$I$5</f>
        <v>29271244.744553447</v>
      </c>
      <c r="F662" s="4">
        <f>Tabela12[[#This Row],[Tensão (Pa)]]/1000000</f>
        <v>29.271244744553446</v>
      </c>
    </row>
    <row r="663" spans="1:6" x14ac:dyDescent="0.3">
      <c r="A663" s="1">
        <v>65.8</v>
      </c>
      <c r="B663" s="1">
        <v>5.4752999999999998</v>
      </c>
      <c r="C663" s="4">
        <f>Tabela12[[#This Row],[Alongamento (mm/mm)]]/$I$2</f>
        <v>0.10950599999999999</v>
      </c>
      <c r="D663" s="1">
        <v>1296.7</v>
      </c>
      <c r="E663" s="4">
        <f>Tabela12[[#This Row],[Força (N)]]/$I$5</f>
        <v>29501028.338459864</v>
      </c>
      <c r="F663" s="4">
        <f>Tabela12[[#This Row],[Tensão (Pa)]]/1000000</f>
        <v>29.501028338459864</v>
      </c>
    </row>
    <row r="664" spans="1:6" x14ac:dyDescent="0.3">
      <c r="A664" s="1">
        <v>66.016999999999996</v>
      </c>
      <c r="B664" s="1">
        <v>5.4932999999999996</v>
      </c>
      <c r="C664" s="4">
        <f>Tabela12[[#This Row],[Alongamento (mm/mm)]]/$I$2</f>
        <v>0.10986599999999999</v>
      </c>
      <c r="D664" s="1">
        <v>1306.9000000000001</v>
      </c>
      <c r="E664" s="4">
        <f>Tabela12[[#This Row],[Força (N)]]/$I$5</f>
        <v>29733087.01745446</v>
      </c>
      <c r="F664" s="4">
        <f>Tabela12[[#This Row],[Tensão (Pa)]]/1000000</f>
        <v>29.733087017454459</v>
      </c>
    </row>
    <row r="665" spans="1:6" x14ac:dyDescent="0.3">
      <c r="A665" s="1">
        <v>66.233000000000004</v>
      </c>
      <c r="B665" s="1">
        <v>5.5114000000000001</v>
      </c>
      <c r="C665" s="4">
        <f>Tabela12[[#This Row],[Alongamento (mm/mm)]]/$I$2</f>
        <v>0.11022800000000001</v>
      </c>
      <c r="D665" s="1">
        <v>1317.1</v>
      </c>
      <c r="E665" s="4">
        <f>Tabela12[[#This Row],[Força (N)]]/$I$5</f>
        <v>29965145.696449049</v>
      </c>
      <c r="F665" s="4">
        <f>Tabela12[[#This Row],[Tensão (Pa)]]/1000000</f>
        <v>29.965145696449049</v>
      </c>
    </row>
    <row r="666" spans="1:6" x14ac:dyDescent="0.3">
      <c r="A666" s="1">
        <v>66.45</v>
      </c>
      <c r="B666" s="1">
        <v>5.5294999999999996</v>
      </c>
      <c r="C666" s="4">
        <f>Tabela12[[#This Row],[Alongamento (mm/mm)]]/$I$2</f>
        <v>0.11058999999999999</v>
      </c>
      <c r="D666" s="1">
        <v>1327.3</v>
      </c>
      <c r="E666" s="4">
        <f>Tabela12[[#This Row],[Força (N)]]/$I$5</f>
        <v>30197204.375443645</v>
      </c>
      <c r="F666" s="4">
        <f>Tabela12[[#This Row],[Tensão (Pa)]]/1000000</f>
        <v>30.197204375443643</v>
      </c>
    </row>
    <row r="667" spans="1:6" x14ac:dyDescent="0.3">
      <c r="A667" s="1">
        <v>66.683000000000007</v>
      </c>
      <c r="B667" s="1">
        <v>5.5488999999999997</v>
      </c>
      <c r="C667" s="4">
        <f>Tabela12[[#This Row],[Alongamento (mm/mm)]]/$I$2</f>
        <v>0.11097799999999999</v>
      </c>
      <c r="D667" s="1">
        <v>1338</v>
      </c>
      <c r="E667" s="4">
        <f>Tabela12[[#This Row],[Força (N)]]/$I$5</f>
        <v>30440638.479879152</v>
      </c>
      <c r="F667" s="4">
        <f>Tabela12[[#This Row],[Tensão (Pa)]]/1000000</f>
        <v>30.440638479879151</v>
      </c>
    </row>
    <row r="668" spans="1:6" x14ac:dyDescent="0.3">
      <c r="A668" s="1">
        <v>66.917000000000002</v>
      </c>
      <c r="B668" s="1">
        <v>5.5683999999999996</v>
      </c>
      <c r="C668" s="4">
        <f>Tabela12[[#This Row],[Alongamento (mm/mm)]]/$I$2</f>
        <v>0.11136799999999999</v>
      </c>
      <c r="D668" s="1">
        <v>1348.9</v>
      </c>
      <c r="E668" s="4">
        <f>Tabela12[[#This Row],[Força (N)]]/$I$5</f>
        <v>30688622.754491024</v>
      </c>
      <c r="F668" s="4">
        <f>Tabela12[[#This Row],[Tensão (Pa)]]/1000000</f>
        <v>30.688622754491025</v>
      </c>
    </row>
    <row r="669" spans="1:6" x14ac:dyDescent="0.3">
      <c r="A669" s="1">
        <v>67.150000000000006</v>
      </c>
      <c r="B669" s="1">
        <v>5.5877999999999997</v>
      </c>
      <c r="C669" s="4">
        <f>Tabela12[[#This Row],[Alongamento (mm/mm)]]/$I$2</f>
        <v>0.11175599999999999</v>
      </c>
      <c r="D669" s="1">
        <v>1359.6</v>
      </c>
      <c r="E669" s="4">
        <f>Tabela12[[#This Row],[Força (N)]]/$I$5</f>
        <v>30932056.858926527</v>
      </c>
      <c r="F669" s="4">
        <f>Tabela12[[#This Row],[Tensão (Pa)]]/1000000</f>
        <v>30.932056858926526</v>
      </c>
    </row>
    <row r="670" spans="1:6" x14ac:dyDescent="0.3">
      <c r="A670" s="1">
        <v>67.382999999999996</v>
      </c>
      <c r="B670" s="1">
        <v>5.6071999999999997</v>
      </c>
      <c r="C670" s="4">
        <f>Tabela12[[#This Row],[Alongamento (mm/mm)]]/$I$2</f>
        <v>0.11214399999999999</v>
      </c>
      <c r="D670" s="1">
        <v>1370.5</v>
      </c>
      <c r="E670" s="4">
        <f>Tabela12[[#This Row],[Força (N)]]/$I$5</f>
        <v>31180041.133538399</v>
      </c>
      <c r="F670" s="4">
        <f>Tabela12[[#This Row],[Tensão (Pa)]]/1000000</f>
        <v>31.180041133538399</v>
      </c>
    </row>
    <row r="671" spans="1:6" x14ac:dyDescent="0.3">
      <c r="A671" s="1">
        <v>67.617000000000004</v>
      </c>
      <c r="B671" s="1">
        <v>5.6266999999999996</v>
      </c>
      <c r="C671" s="4">
        <f>Tabela12[[#This Row],[Alongamento (mm/mm)]]/$I$2</f>
        <v>0.112534</v>
      </c>
      <c r="D671" s="1">
        <v>1381.5</v>
      </c>
      <c r="E671" s="4">
        <f>Tabela12[[#This Row],[Força (N)]]/$I$5</f>
        <v>31430300.493238453</v>
      </c>
      <c r="F671" s="4">
        <f>Tabela12[[#This Row],[Tensão (Pa)]]/1000000</f>
        <v>31.430300493238452</v>
      </c>
    </row>
    <row r="672" spans="1:6" x14ac:dyDescent="0.3">
      <c r="A672" s="1">
        <v>67.849999999999994</v>
      </c>
      <c r="B672" s="1">
        <v>5.6460999999999997</v>
      </c>
      <c r="C672" s="4">
        <f>Tabela12[[#This Row],[Alongamento (mm/mm)]]/$I$2</f>
        <v>0.11292199999999999</v>
      </c>
      <c r="D672" s="1">
        <v>1392.6</v>
      </c>
      <c r="E672" s="4">
        <f>Tabela12[[#This Row],[Força (N)]]/$I$5</f>
        <v>31682834.938026685</v>
      </c>
      <c r="F672" s="4">
        <f>Tabela12[[#This Row],[Tensão (Pa)]]/1000000</f>
        <v>31.682834938026684</v>
      </c>
    </row>
    <row r="673" spans="1:6" x14ac:dyDescent="0.3">
      <c r="A673" s="1">
        <v>68.066999999999993</v>
      </c>
      <c r="B673" s="1">
        <v>5.6642000000000001</v>
      </c>
      <c r="C673" s="4">
        <f>Tabela12[[#This Row],[Alongamento (mm/mm)]]/$I$2</f>
        <v>0.113284</v>
      </c>
      <c r="D673" s="1">
        <v>1403.3</v>
      </c>
      <c r="E673" s="4">
        <f>Tabela12[[#This Row],[Força (N)]]/$I$5</f>
        <v>31926269.042462192</v>
      </c>
      <c r="F673" s="4">
        <f>Tabela12[[#This Row],[Tensão (Pa)]]/1000000</f>
        <v>31.926269042462192</v>
      </c>
    </row>
    <row r="674" spans="1:6" x14ac:dyDescent="0.3">
      <c r="A674" s="1">
        <v>68.3</v>
      </c>
      <c r="B674" s="1">
        <v>5.6836000000000002</v>
      </c>
      <c r="C674" s="4">
        <f>Tabela12[[#This Row],[Alongamento (mm/mm)]]/$I$2</f>
        <v>0.11367200000000001</v>
      </c>
      <c r="D674" s="1">
        <v>1414.4</v>
      </c>
      <c r="E674" s="4">
        <f>Tabela12[[#This Row],[Força (N)]]/$I$5</f>
        <v>32178803.487250429</v>
      </c>
      <c r="F674" s="4">
        <f>Tabela12[[#This Row],[Tensão (Pa)]]/1000000</f>
        <v>32.178803487250427</v>
      </c>
    </row>
    <row r="675" spans="1:6" x14ac:dyDescent="0.3">
      <c r="A675" s="1">
        <v>68.533000000000001</v>
      </c>
      <c r="B675" s="1">
        <v>5.7031000000000001</v>
      </c>
      <c r="C675" s="4">
        <f>Tabela12[[#This Row],[Alongamento (mm/mm)]]/$I$2</f>
        <v>0.114062</v>
      </c>
      <c r="D675" s="1">
        <v>1425.6</v>
      </c>
      <c r="E675" s="4">
        <f>Tabela12[[#This Row],[Força (N)]]/$I$5</f>
        <v>32433613.017126843</v>
      </c>
      <c r="F675" s="4">
        <f>Tabela12[[#This Row],[Tensão (Pa)]]/1000000</f>
        <v>32.433613017126845</v>
      </c>
    </row>
    <row r="676" spans="1:6" x14ac:dyDescent="0.3">
      <c r="A676" s="1">
        <v>68.766999999999996</v>
      </c>
      <c r="B676" s="1">
        <v>5.7225000000000001</v>
      </c>
      <c r="C676" s="4">
        <f>Tabela12[[#This Row],[Alongamento (mm/mm)]]/$I$2</f>
        <v>0.11445</v>
      </c>
      <c r="D676" s="1">
        <v>1437.2</v>
      </c>
      <c r="E676" s="4">
        <f>Tabela12[[#This Row],[Força (N)]]/$I$5</f>
        <v>32697522.887355994</v>
      </c>
      <c r="F676" s="4">
        <f>Tabela12[[#This Row],[Tensão (Pa)]]/1000000</f>
        <v>32.697522887355994</v>
      </c>
    </row>
    <row r="677" spans="1:6" x14ac:dyDescent="0.3">
      <c r="A677" s="1">
        <v>69</v>
      </c>
      <c r="B677" s="1">
        <v>5.742</v>
      </c>
      <c r="C677" s="4">
        <f>Tabela12[[#This Row],[Alongamento (mm/mm)]]/$I$2</f>
        <v>0.11484</v>
      </c>
      <c r="D677" s="1">
        <v>1448.6</v>
      </c>
      <c r="E677" s="4">
        <f>Tabela12[[#This Row],[Força (N)]]/$I$5</f>
        <v>32956882.58740877</v>
      </c>
      <c r="F677" s="4">
        <f>Tabela12[[#This Row],[Tensão (Pa)]]/1000000</f>
        <v>32.956882587408771</v>
      </c>
    </row>
    <row r="678" spans="1:6" x14ac:dyDescent="0.3">
      <c r="A678" s="1">
        <v>69.233000000000004</v>
      </c>
      <c r="B678" s="1">
        <v>5.7614000000000001</v>
      </c>
      <c r="C678" s="4">
        <f>Tabela12[[#This Row],[Alongamento (mm/mm)]]/$I$2</f>
        <v>0.115228</v>
      </c>
      <c r="D678" s="1">
        <v>1460</v>
      </c>
      <c r="E678" s="4">
        <f>Tabela12[[#This Row],[Força (N)]]/$I$5</f>
        <v>33216242.287461556</v>
      </c>
      <c r="F678" s="4">
        <f>Tabela12[[#This Row],[Tensão (Pa)]]/1000000</f>
        <v>33.216242287461554</v>
      </c>
    </row>
    <row r="679" spans="1:6" x14ac:dyDescent="0.3">
      <c r="A679" s="1">
        <v>69.466999999999999</v>
      </c>
      <c r="B679" s="1">
        <v>5.7808999999999999</v>
      </c>
      <c r="C679" s="4">
        <f>Tabela12[[#This Row],[Alongamento (mm/mm)]]/$I$2</f>
        <v>0.115618</v>
      </c>
      <c r="D679" s="1">
        <v>1471.2</v>
      </c>
      <c r="E679" s="4">
        <f>Tabela12[[#This Row],[Força (N)]]/$I$5</f>
        <v>33471051.817337975</v>
      </c>
      <c r="F679" s="4">
        <f>Tabela12[[#This Row],[Tensão (Pa)]]/1000000</f>
        <v>33.471051817337973</v>
      </c>
    </row>
    <row r="680" spans="1:6" x14ac:dyDescent="0.3">
      <c r="A680" s="1">
        <v>69.7</v>
      </c>
      <c r="B680" s="1">
        <v>5.8003</v>
      </c>
      <c r="C680" s="4">
        <f>Tabela12[[#This Row],[Alongamento (mm/mm)]]/$I$2</f>
        <v>0.116006</v>
      </c>
      <c r="D680" s="1">
        <v>1482.4</v>
      </c>
      <c r="E680" s="4">
        <f>Tabela12[[#This Row],[Força (N)]]/$I$5</f>
        <v>33725861.347214393</v>
      </c>
      <c r="F680" s="4">
        <f>Tabela12[[#This Row],[Tensão (Pa)]]/1000000</f>
        <v>33.725861347214391</v>
      </c>
    </row>
    <row r="681" spans="1:6" x14ac:dyDescent="0.3">
      <c r="A681" s="1">
        <v>69.95</v>
      </c>
      <c r="B681" s="1">
        <v>5.8211000000000004</v>
      </c>
      <c r="C681" s="4">
        <f>Tabela12[[#This Row],[Alongamento (mm/mm)]]/$I$2</f>
        <v>0.11642200000000001</v>
      </c>
      <c r="D681" s="1">
        <v>1494.5</v>
      </c>
      <c r="E681" s="4">
        <f>Tabela12[[#This Row],[Força (N)]]/$I$5</f>
        <v>34001146.642884448</v>
      </c>
      <c r="F681" s="4">
        <f>Tabela12[[#This Row],[Tensão (Pa)]]/1000000</f>
        <v>34.00114664288445</v>
      </c>
    </row>
    <row r="682" spans="1:6" x14ac:dyDescent="0.3">
      <c r="A682" s="1">
        <v>70.2</v>
      </c>
      <c r="B682" s="1">
        <v>5.8419999999999996</v>
      </c>
      <c r="C682" s="4">
        <f>Tabela12[[#This Row],[Alongamento (mm/mm)]]/$I$2</f>
        <v>0.11684</v>
      </c>
      <c r="D682" s="1">
        <v>1506.4</v>
      </c>
      <c r="E682" s="4">
        <f>Tabela12[[#This Row],[Força (N)]]/$I$5</f>
        <v>34271881.768378146</v>
      </c>
      <c r="F682" s="4">
        <f>Tabela12[[#This Row],[Tensão (Pa)]]/1000000</f>
        <v>34.271881768378144</v>
      </c>
    </row>
    <row r="683" spans="1:6" x14ac:dyDescent="0.3">
      <c r="A683" s="1">
        <v>70.45</v>
      </c>
      <c r="B683" s="1">
        <v>5.8627000000000002</v>
      </c>
      <c r="C683" s="4">
        <f>Tabela12[[#This Row],[Alongamento (mm/mm)]]/$I$2</f>
        <v>0.11725400000000001</v>
      </c>
      <c r="D683" s="1">
        <v>1518.3</v>
      </c>
      <c r="E683" s="4">
        <f>Tabela12[[#This Row],[Força (N)]]/$I$5</f>
        <v>34542616.893871836</v>
      </c>
      <c r="F683" s="4">
        <f>Tabela12[[#This Row],[Tensão (Pa)]]/1000000</f>
        <v>34.542616893871838</v>
      </c>
    </row>
    <row r="684" spans="1:6" x14ac:dyDescent="0.3">
      <c r="A684" s="1">
        <v>70.7</v>
      </c>
      <c r="B684" s="1">
        <v>5.8836000000000004</v>
      </c>
      <c r="C684" s="4">
        <f>Tabela12[[#This Row],[Alongamento (mm/mm)]]/$I$2</f>
        <v>0.11767200000000001</v>
      </c>
      <c r="D684" s="1">
        <v>1530.2</v>
      </c>
      <c r="E684" s="4">
        <f>Tabela12[[#This Row],[Força (N)]]/$I$5</f>
        <v>34813352.019365527</v>
      </c>
      <c r="F684" s="4">
        <f>Tabela12[[#This Row],[Tensão (Pa)]]/1000000</f>
        <v>34.813352019365524</v>
      </c>
    </row>
    <row r="685" spans="1:6" x14ac:dyDescent="0.3">
      <c r="A685" s="1">
        <v>70.95</v>
      </c>
      <c r="B685" s="1">
        <v>5.9043999999999999</v>
      </c>
      <c r="C685" s="4">
        <f>Tabela12[[#This Row],[Alongamento (mm/mm)]]/$I$2</f>
        <v>0.118088</v>
      </c>
      <c r="D685" s="1">
        <v>1542.1</v>
      </c>
      <c r="E685" s="4">
        <f>Tabela12[[#This Row],[Força (N)]]/$I$5</f>
        <v>35084087.144859217</v>
      </c>
      <c r="F685" s="4">
        <f>Tabela12[[#This Row],[Tensão (Pa)]]/1000000</f>
        <v>35.084087144859218</v>
      </c>
    </row>
    <row r="686" spans="1:6" x14ac:dyDescent="0.3">
      <c r="A686" s="1">
        <v>71.2</v>
      </c>
      <c r="B686" s="1">
        <v>5.9253</v>
      </c>
      <c r="C686" s="4">
        <f>Tabela12[[#This Row],[Alongamento (mm/mm)]]/$I$2</f>
        <v>0.118506</v>
      </c>
      <c r="D686" s="1">
        <v>1554</v>
      </c>
      <c r="E686" s="4">
        <f>Tabela12[[#This Row],[Força (N)]]/$I$5</f>
        <v>35354822.270352915</v>
      </c>
      <c r="F686" s="4">
        <f>Tabela12[[#This Row],[Tensão (Pa)]]/1000000</f>
        <v>35.354822270352912</v>
      </c>
    </row>
    <row r="687" spans="1:6" x14ac:dyDescent="0.3">
      <c r="A687" s="1">
        <v>71.466999999999999</v>
      </c>
      <c r="B687" s="1">
        <v>5.9474999999999998</v>
      </c>
      <c r="C687" s="4">
        <f>Tabela12[[#This Row],[Alongamento (mm/mm)]]/$I$2</f>
        <v>0.11895</v>
      </c>
      <c r="D687" s="1">
        <v>1566.6</v>
      </c>
      <c r="E687" s="4">
        <f>Tabela12[[#This Row],[Força (N)]]/$I$5</f>
        <v>35641482.991463885</v>
      </c>
      <c r="F687" s="4">
        <f>Tabela12[[#This Row],[Tensão (Pa)]]/1000000</f>
        <v>35.641482991463882</v>
      </c>
    </row>
    <row r="688" spans="1:6" x14ac:dyDescent="0.3">
      <c r="A688" s="1">
        <v>71.733000000000004</v>
      </c>
      <c r="B688" s="1">
        <v>5.9698000000000002</v>
      </c>
      <c r="C688" s="4">
        <f>Tabela12[[#This Row],[Alongamento (mm/mm)]]/$I$2</f>
        <v>0.119396</v>
      </c>
      <c r="D688" s="1">
        <v>1579</v>
      </c>
      <c r="E688" s="4">
        <f>Tabela12[[#This Row],[Força (N)]]/$I$5</f>
        <v>35923593.54239849</v>
      </c>
      <c r="F688" s="4">
        <f>Tabela12[[#This Row],[Tensão (Pa)]]/1000000</f>
        <v>35.923593542398493</v>
      </c>
    </row>
    <row r="689" spans="1:6" x14ac:dyDescent="0.3">
      <c r="A689" s="1">
        <v>72</v>
      </c>
      <c r="B689" s="1">
        <v>5.9919000000000002</v>
      </c>
      <c r="C689" s="4">
        <f>Tabela12[[#This Row],[Alongamento (mm/mm)]]/$I$2</f>
        <v>0.119838</v>
      </c>
      <c r="D689" s="1">
        <v>1591.8</v>
      </c>
      <c r="E689" s="4">
        <f>Tabela12[[#This Row],[Força (N)]]/$I$5</f>
        <v>36214804.433685824</v>
      </c>
      <c r="F689" s="4">
        <f>Tabela12[[#This Row],[Tensão (Pa)]]/1000000</f>
        <v>36.214804433685828</v>
      </c>
    </row>
    <row r="690" spans="1:6" x14ac:dyDescent="0.3">
      <c r="A690" s="1">
        <v>72.266999999999996</v>
      </c>
      <c r="B690" s="1">
        <v>6.0141999999999998</v>
      </c>
      <c r="C690" s="4">
        <f>Tabela12[[#This Row],[Alongamento (mm/mm)]]/$I$2</f>
        <v>0.120284</v>
      </c>
      <c r="D690" s="1">
        <v>1604.2</v>
      </c>
      <c r="E690" s="4">
        <f>Tabela12[[#This Row],[Força (N)]]/$I$5</f>
        <v>36496914.98462043</v>
      </c>
      <c r="F690" s="4">
        <f>Tabela12[[#This Row],[Tensão (Pa)]]/1000000</f>
        <v>36.496914984620432</v>
      </c>
    </row>
    <row r="691" spans="1:6" x14ac:dyDescent="0.3">
      <c r="A691" s="1">
        <v>72.533000000000001</v>
      </c>
      <c r="B691" s="1">
        <v>6.0364000000000004</v>
      </c>
      <c r="C691" s="4">
        <f>Tabela12[[#This Row],[Alongamento (mm/mm)]]/$I$2</f>
        <v>0.120728</v>
      </c>
      <c r="D691" s="1">
        <v>1616.6</v>
      </c>
      <c r="E691" s="4">
        <f>Tabela12[[#This Row],[Força (N)]]/$I$5</f>
        <v>36779025.535555035</v>
      </c>
      <c r="F691" s="4">
        <f>Tabela12[[#This Row],[Tensão (Pa)]]/1000000</f>
        <v>36.779025535555036</v>
      </c>
    </row>
    <row r="692" spans="1:6" x14ac:dyDescent="0.3">
      <c r="A692" s="1">
        <v>72.816999999999993</v>
      </c>
      <c r="B692" s="1">
        <v>6.06</v>
      </c>
      <c r="C692" s="4">
        <f>Tabela12[[#This Row],[Alongamento (mm/mm)]]/$I$2</f>
        <v>0.12119999999999999</v>
      </c>
      <c r="D692" s="1">
        <v>1629.7</v>
      </c>
      <c r="E692" s="4">
        <f>Tabela12[[#This Row],[Força (N)]]/$I$5</f>
        <v>37077061.68210692</v>
      </c>
      <c r="F692" s="4">
        <f>Tabela12[[#This Row],[Tensão (Pa)]]/1000000</f>
        <v>37.077061682106923</v>
      </c>
    </row>
    <row r="693" spans="1:6" x14ac:dyDescent="0.3">
      <c r="A693" s="1">
        <v>73.099999999999994</v>
      </c>
      <c r="B693" s="1">
        <v>6.0837000000000003</v>
      </c>
      <c r="C693" s="4">
        <f>Tabela12[[#This Row],[Alongamento (mm/mm)]]/$I$2</f>
        <v>0.121674</v>
      </c>
      <c r="D693" s="1">
        <v>1643</v>
      </c>
      <c r="E693" s="4">
        <f>Tabela12[[#This Row],[Força (N)]]/$I$5</f>
        <v>37379647.998835161</v>
      </c>
      <c r="F693" s="4">
        <f>Tabela12[[#This Row],[Tensão (Pa)]]/1000000</f>
        <v>37.379647998835161</v>
      </c>
    </row>
    <row r="694" spans="1:6" x14ac:dyDescent="0.3">
      <c r="A694" s="1">
        <v>73.382999999999996</v>
      </c>
      <c r="B694" s="1">
        <v>6.1071999999999997</v>
      </c>
      <c r="C694" s="4">
        <f>Tabela12[[#This Row],[Alongamento (mm/mm)]]/$I$2</f>
        <v>0.12214399999999999</v>
      </c>
      <c r="D694" s="1">
        <v>1656.3</v>
      </c>
      <c r="E694" s="4">
        <f>Tabela12[[#This Row],[Força (N)]]/$I$5</f>
        <v>37682234.315563403</v>
      </c>
      <c r="F694" s="4">
        <f>Tabela12[[#This Row],[Tensão (Pa)]]/1000000</f>
        <v>37.682234315563406</v>
      </c>
    </row>
    <row r="695" spans="1:6" x14ac:dyDescent="0.3">
      <c r="A695" s="1">
        <v>73.667000000000002</v>
      </c>
      <c r="B695" s="1">
        <v>6.1307999999999998</v>
      </c>
      <c r="C695" s="4">
        <f>Tabela12[[#This Row],[Alongamento (mm/mm)]]/$I$2</f>
        <v>0.122616</v>
      </c>
      <c r="D695" s="1">
        <v>1669.5</v>
      </c>
      <c r="E695" s="4">
        <f>Tabela12[[#This Row],[Força (N)]]/$I$5</f>
        <v>37982545.547203474</v>
      </c>
      <c r="F695" s="4">
        <f>Tabela12[[#This Row],[Tensão (Pa)]]/1000000</f>
        <v>37.982545547203472</v>
      </c>
    </row>
    <row r="696" spans="1:6" x14ac:dyDescent="0.3">
      <c r="A696" s="1">
        <v>73.95</v>
      </c>
      <c r="B696" s="1">
        <v>6.1544999999999996</v>
      </c>
      <c r="C696" s="4">
        <f>Tabela12[[#This Row],[Alongamento (mm/mm)]]/$I$2</f>
        <v>0.12308999999999999</v>
      </c>
      <c r="D696" s="1">
        <v>1682.4</v>
      </c>
      <c r="E696" s="4">
        <f>Tabela12[[#This Row],[Força (N)]]/$I$5</f>
        <v>38276031.523578987</v>
      </c>
      <c r="F696" s="4">
        <f>Tabela12[[#This Row],[Tensão (Pa)]]/1000000</f>
        <v>38.276031523578986</v>
      </c>
    </row>
    <row r="697" spans="1:6" x14ac:dyDescent="0.3">
      <c r="A697" s="1">
        <v>74.233000000000004</v>
      </c>
      <c r="B697" s="1">
        <v>6.1779999999999999</v>
      </c>
      <c r="C697" s="4">
        <f>Tabela12[[#This Row],[Alongamento (mm/mm)]]/$I$2</f>
        <v>0.12356</v>
      </c>
      <c r="D697" s="1">
        <v>1695.7</v>
      </c>
      <c r="E697" s="4">
        <f>Tabela12[[#This Row],[Força (N)]]/$I$5</f>
        <v>38578617.840307236</v>
      </c>
      <c r="F697" s="4">
        <f>Tabela12[[#This Row],[Tensão (Pa)]]/1000000</f>
        <v>38.578617840307238</v>
      </c>
    </row>
    <row r="698" spans="1:6" x14ac:dyDescent="0.3">
      <c r="A698" s="1">
        <v>74.516999999999996</v>
      </c>
      <c r="B698" s="1">
        <v>6.2016999999999998</v>
      </c>
      <c r="C698" s="4">
        <f>Tabela12[[#This Row],[Alongamento (mm/mm)]]/$I$2</f>
        <v>0.12403399999999999</v>
      </c>
      <c r="D698" s="1">
        <v>1709</v>
      </c>
      <c r="E698" s="4">
        <f>Tabela12[[#This Row],[Força (N)]]/$I$5</f>
        <v>38881204.157035477</v>
      </c>
      <c r="F698" s="4">
        <f>Tabela12[[#This Row],[Tensão (Pa)]]/1000000</f>
        <v>38.881204157035476</v>
      </c>
    </row>
    <row r="699" spans="1:6" x14ac:dyDescent="0.3">
      <c r="A699" s="1">
        <v>74.8</v>
      </c>
      <c r="B699" s="1">
        <v>6.2252000000000001</v>
      </c>
      <c r="C699" s="4">
        <f>Tabela12[[#This Row],[Alongamento (mm/mm)]]/$I$2</f>
        <v>0.124504</v>
      </c>
      <c r="D699" s="1">
        <v>1722.3</v>
      </c>
      <c r="E699" s="4">
        <f>Tabela12[[#This Row],[Força (N)]]/$I$5</f>
        <v>39183790.473763727</v>
      </c>
      <c r="F699" s="4">
        <f>Tabela12[[#This Row],[Tensão (Pa)]]/1000000</f>
        <v>39.183790473763729</v>
      </c>
    </row>
    <row r="700" spans="1:6" x14ac:dyDescent="0.3">
      <c r="A700" s="1">
        <v>75.082999999999998</v>
      </c>
      <c r="B700" s="1">
        <v>6.2488999999999999</v>
      </c>
      <c r="C700" s="4">
        <f>Tabela12[[#This Row],[Alongamento (mm/mm)]]/$I$2</f>
        <v>0.12497799999999999</v>
      </c>
      <c r="D700" s="1">
        <v>1735.5</v>
      </c>
      <c r="E700" s="4">
        <f>Tabela12[[#This Row],[Força (N)]]/$I$5</f>
        <v>39484101.70540379</v>
      </c>
      <c r="F700" s="4">
        <f>Tabela12[[#This Row],[Tensão (Pa)]]/1000000</f>
        <v>39.484101705403788</v>
      </c>
    </row>
    <row r="701" spans="1:6" x14ac:dyDescent="0.3">
      <c r="A701" s="1">
        <v>75.367000000000004</v>
      </c>
      <c r="B701" s="1">
        <v>6.2725</v>
      </c>
      <c r="C701" s="4">
        <f>Tabela12[[#This Row],[Alongamento (mm/mm)]]/$I$2</f>
        <v>0.12545000000000001</v>
      </c>
      <c r="D701" s="1">
        <v>1749</v>
      </c>
      <c r="E701" s="4">
        <f>Tabela12[[#This Row],[Força (N)]]/$I$5</f>
        <v>39791238.192308396</v>
      </c>
      <c r="F701" s="4">
        <f>Tabela12[[#This Row],[Tensão (Pa)]]/1000000</f>
        <v>39.791238192308398</v>
      </c>
    </row>
    <row r="702" spans="1:6" x14ac:dyDescent="0.3">
      <c r="A702" s="1">
        <v>75.667000000000002</v>
      </c>
      <c r="B702" s="1">
        <v>6.2975000000000003</v>
      </c>
      <c r="C702" s="4">
        <f>Tabela12[[#This Row],[Alongamento (mm/mm)]]/$I$2</f>
        <v>0.12595000000000001</v>
      </c>
      <c r="D702" s="1">
        <v>1763.1</v>
      </c>
      <c r="E702" s="4">
        <f>Tabela12[[#This Row],[Força (N)]]/$I$5</f>
        <v>40112025.189742103</v>
      </c>
      <c r="F702" s="4">
        <f>Tabela12[[#This Row],[Tensão (Pa)]]/1000000</f>
        <v>40.112025189742106</v>
      </c>
    </row>
    <row r="703" spans="1:6" x14ac:dyDescent="0.3">
      <c r="A703" s="1">
        <v>75.966999999999999</v>
      </c>
      <c r="B703" s="1">
        <v>6.3224999999999998</v>
      </c>
      <c r="C703" s="4">
        <f>Tabela12[[#This Row],[Alongamento (mm/mm)]]/$I$2</f>
        <v>0.12645000000000001</v>
      </c>
      <c r="D703" s="1">
        <v>1776.9</v>
      </c>
      <c r="E703" s="4">
        <f>Tabela12[[#This Row],[Força (N)]]/$I$5</f>
        <v>40425986.93191126</v>
      </c>
      <c r="F703" s="4">
        <f>Tabela12[[#This Row],[Tensão (Pa)]]/1000000</f>
        <v>40.425986931911261</v>
      </c>
    </row>
    <row r="704" spans="1:6" x14ac:dyDescent="0.3">
      <c r="A704" s="1">
        <v>76.266999999999996</v>
      </c>
      <c r="B704" s="1">
        <v>6.3475000000000001</v>
      </c>
      <c r="C704" s="4">
        <f>Tabela12[[#This Row],[Alongamento (mm/mm)]]/$I$2</f>
        <v>0.12695000000000001</v>
      </c>
      <c r="D704" s="1">
        <v>1790.5</v>
      </c>
      <c r="E704" s="4">
        <f>Tabela12[[#This Row],[Força (N)]]/$I$5</f>
        <v>40735398.503904052</v>
      </c>
      <c r="F704" s="4">
        <f>Tabela12[[#This Row],[Tensão (Pa)]]/1000000</f>
        <v>40.735398503904051</v>
      </c>
    </row>
    <row r="705" spans="1:6" x14ac:dyDescent="0.3">
      <c r="A705" s="1">
        <v>76.582999999999998</v>
      </c>
      <c r="B705" s="1">
        <v>6.3738999999999999</v>
      </c>
      <c r="C705" s="4">
        <f>Tabela12[[#This Row],[Alongamento (mm/mm)]]/$I$2</f>
        <v>0.12747800000000001</v>
      </c>
      <c r="D705" s="1">
        <v>1804.7</v>
      </c>
      <c r="E705" s="4">
        <f>Tabela12[[#This Row],[Força (N)]]/$I$5</f>
        <v>41058460.586425938</v>
      </c>
      <c r="F705" s="4">
        <f>Tabela12[[#This Row],[Tensão (Pa)]]/1000000</f>
        <v>41.058460586425937</v>
      </c>
    </row>
    <row r="706" spans="1:6" x14ac:dyDescent="0.3">
      <c r="A706" s="1">
        <v>76.900000000000006</v>
      </c>
      <c r="B706" s="1">
        <v>6.4002999999999997</v>
      </c>
      <c r="C706" s="4">
        <f>Tabela12[[#This Row],[Alongamento (mm/mm)]]/$I$2</f>
        <v>0.12800599999999998</v>
      </c>
      <c r="D706" s="1">
        <v>1819</v>
      </c>
      <c r="E706" s="4">
        <f>Tabela12[[#This Row],[Força (N)]]/$I$5</f>
        <v>41383797.754036009</v>
      </c>
      <c r="F706" s="4">
        <f>Tabela12[[#This Row],[Tensão (Pa)]]/1000000</f>
        <v>41.38379775403601</v>
      </c>
    </row>
    <row r="707" spans="1:6" x14ac:dyDescent="0.3">
      <c r="A707" s="1">
        <v>77.216999999999999</v>
      </c>
      <c r="B707" s="1">
        <v>6.4265999999999996</v>
      </c>
      <c r="C707" s="4">
        <f>Tabela12[[#This Row],[Alongamento (mm/mm)]]/$I$2</f>
        <v>0.12853199999999998</v>
      </c>
      <c r="D707" s="1">
        <v>1833.2</v>
      </c>
      <c r="E707" s="4">
        <f>Tabela12[[#This Row],[Força (N)]]/$I$5</f>
        <v>41706859.836557895</v>
      </c>
      <c r="F707" s="4">
        <f>Tabela12[[#This Row],[Tensão (Pa)]]/1000000</f>
        <v>41.706859836557896</v>
      </c>
    </row>
    <row r="708" spans="1:6" x14ac:dyDescent="0.3">
      <c r="A708" s="1">
        <v>77.55</v>
      </c>
      <c r="B708" s="1">
        <v>6.4545000000000003</v>
      </c>
      <c r="C708" s="4">
        <f>Tabela12[[#This Row],[Alongamento (mm/mm)]]/$I$2</f>
        <v>0.12909000000000001</v>
      </c>
      <c r="D708" s="1">
        <v>1847.6</v>
      </c>
      <c r="E708" s="4">
        <f>Tabela12[[#This Row],[Força (N)]]/$I$5</f>
        <v>42034472.089256145</v>
      </c>
      <c r="F708" s="4">
        <f>Tabela12[[#This Row],[Tensão (Pa)]]/1000000</f>
        <v>42.034472089256148</v>
      </c>
    </row>
    <row r="709" spans="1:6" x14ac:dyDescent="0.3">
      <c r="A709" s="1">
        <v>77.882999999999996</v>
      </c>
      <c r="B709" s="1">
        <v>6.4821999999999997</v>
      </c>
      <c r="C709" s="4">
        <f>Tabela12[[#This Row],[Alongamento (mm/mm)]]/$I$2</f>
        <v>0.12964399999999998</v>
      </c>
      <c r="D709" s="1">
        <v>1862.2</v>
      </c>
      <c r="E709" s="4">
        <f>Tabela12[[#This Row],[Força (N)]]/$I$5</f>
        <v>42366634.51213076</v>
      </c>
      <c r="F709" s="4">
        <f>Tabela12[[#This Row],[Tensão (Pa)]]/1000000</f>
        <v>42.366634512130759</v>
      </c>
    </row>
    <row r="710" spans="1:6" x14ac:dyDescent="0.3">
      <c r="A710" s="1">
        <v>78.216999999999999</v>
      </c>
      <c r="B710" s="1">
        <v>6.51</v>
      </c>
      <c r="C710" s="4">
        <f>Tabela12[[#This Row],[Alongamento (mm/mm)]]/$I$2</f>
        <v>0.13019999999999998</v>
      </c>
      <c r="D710" s="1">
        <v>1876.9</v>
      </c>
      <c r="E710" s="4">
        <f>Tabela12[[#This Row],[Força (N)]]/$I$5</f>
        <v>42701072.02009356</v>
      </c>
      <c r="F710" s="4">
        <f>Tabela12[[#This Row],[Tensão (Pa)]]/1000000</f>
        <v>42.701072020093562</v>
      </c>
    </row>
    <row r="711" spans="1:6" x14ac:dyDescent="0.3">
      <c r="A711" s="1">
        <v>78.566999999999993</v>
      </c>
      <c r="B711" s="1">
        <v>6.5392000000000001</v>
      </c>
      <c r="C711" s="4">
        <f>Tabela12[[#This Row],[Alongamento (mm/mm)]]/$I$2</f>
        <v>0.13078400000000001</v>
      </c>
      <c r="D711" s="1">
        <v>1892</v>
      </c>
      <c r="E711" s="4">
        <f>Tabela12[[#This Row],[Força (N)]]/$I$5</f>
        <v>43044609.868409082</v>
      </c>
      <c r="F711" s="4">
        <f>Tabela12[[#This Row],[Tensão (Pa)]]/1000000</f>
        <v>43.044609868409083</v>
      </c>
    </row>
    <row r="712" spans="1:6" x14ac:dyDescent="0.3">
      <c r="A712" s="1">
        <v>78.917000000000002</v>
      </c>
      <c r="B712" s="1">
        <v>6.5682999999999998</v>
      </c>
      <c r="C712" s="4">
        <f>Tabela12[[#This Row],[Alongamento (mm/mm)]]/$I$2</f>
        <v>0.13136599999999998</v>
      </c>
      <c r="D712" s="1">
        <v>1906.8</v>
      </c>
      <c r="E712" s="4">
        <f>Tabela12[[#This Row],[Força (N)]]/$I$5</f>
        <v>43381322.461460061</v>
      </c>
      <c r="F712" s="4">
        <f>Tabela12[[#This Row],[Tensão (Pa)]]/1000000</f>
        <v>43.381322461460059</v>
      </c>
    </row>
    <row r="713" spans="1:6" x14ac:dyDescent="0.3">
      <c r="A713" s="1">
        <v>79.266999999999996</v>
      </c>
      <c r="B713" s="1">
        <v>6.5974000000000004</v>
      </c>
      <c r="C713" s="4">
        <f>Tabela12[[#This Row],[Alongamento (mm/mm)]]/$I$2</f>
        <v>0.13194800000000001</v>
      </c>
      <c r="D713" s="1">
        <v>1921.4</v>
      </c>
      <c r="E713" s="4">
        <f>Tabela12[[#This Row],[Força (N)]]/$I$5</f>
        <v>43713484.884334683</v>
      </c>
      <c r="F713" s="4">
        <f>Tabela12[[#This Row],[Tensão (Pa)]]/1000000</f>
        <v>43.713484884334683</v>
      </c>
    </row>
    <row r="714" spans="1:6" x14ac:dyDescent="0.3">
      <c r="A714" s="1">
        <v>79.650000000000006</v>
      </c>
      <c r="B714" s="1">
        <v>6.6294000000000004</v>
      </c>
      <c r="C714" s="4">
        <f>Tabela12[[#This Row],[Alongamento (mm/mm)]]/$I$2</f>
        <v>0.13258800000000001</v>
      </c>
      <c r="D714" s="1">
        <v>1936.9</v>
      </c>
      <c r="E714" s="4">
        <f>Tabela12[[#This Row],[Força (N)]]/$I$5</f>
        <v>44066123.073002942</v>
      </c>
      <c r="F714" s="4">
        <f>Tabela12[[#This Row],[Tensão (Pa)]]/1000000</f>
        <v>44.066123073002942</v>
      </c>
    </row>
    <row r="715" spans="1:6" x14ac:dyDescent="0.3">
      <c r="A715" s="1">
        <v>80.066999999999993</v>
      </c>
      <c r="B715" s="1">
        <v>6.6642000000000001</v>
      </c>
      <c r="C715" s="4">
        <f>Tabela12[[#This Row],[Alongamento (mm/mm)]]/$I$2</f>
        <v>0.13328400000000001</v>
      </c>
      <c r="D715" s="1">
        <v>1952.1</v>
      </c>
      <c r="E715" s="4">
        <f>Tabela12[[#This Row],[Força (N)]]/$I$5</f>
        <v>44411936.006406642</v>
      </c>
      <c r="F715" s="4">
        <f>Tabela12[[#This Row],[Tensão (Pa)]]/1000000</f>
        <v>44.411936006406641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BCB8-28AB-49A3-8536-3AC1C04EFD22}">
  <dimension ref="A1:K461"/>
  <sheetViews>
    <sheetView tabSelected="1" workbookViewId="0">
      <selection sqref="A1:K1048576"/>
    </sheetView>
  </sheetViews>
  <sheetFormatPr defaultRowHeight="14.4" x14ac:dyDescent="0.3"/>
  <cols>
    <col min="1" max="1" width="11.88671875" style="4" bestFit="1" customWidth="1"/>
    <col min="2" max="2" width="25.5546875" style="4" bestFit="1" customWidth="1"/>
    <col min="3" max="3" width="24.44140625" style="4" bestFit="1" customWidth="1"/>
    <col min="4" max="4" width="11.44140625" style="4" bestFit="1" customWidth="1"/>
    <col min="5" max="5" width="13.5546875" style="4" bestFit="1" customWidth="1"/>
    <col min="6" max="6" width="15.5546875" style="4" bestFit="1" customWidth="1"/>
    <col min="8" max="8" width="14.33203125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4" t="s">
        <v>0</v>
      </c>
      <c r="B1" s="4" t="s">
        <v>13</v>
      </c>
      <c r="C1" s="4" t="s">
        <v>14</v>
      </c>
      <c r="D1" s="4" t="s">
        <v>18</v>
      </c>
      <c r="E1" s="4" t="s">
        <v>16</v>
      </c>
      <c r="F1" s="4" t="s">
        <v>17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4">
        <v>0.18332999999999999</v>
      </c>
      <c r="B2" s="1">
        <v>8.2822E-3</v>
      </c>
      <c r="C2" s="4">
        <f>Tabela14[[#This Row],[Alongamento (mm/mm)]]/$I$2</f>
        <v>1.65644E-4</v>
      </c>
      <c r="D2" s="1">
        <v>0</v>
      </c>
      <c r="E2" s="4">
        <f>Tabela14[[#This Row],[Força (N)]]/$I$5</f>
        <v>0</v>
      </c>
      <c r="F2" s="4">
        <f>Tabela14[[#This Row],[Tensão (Pa)]]/1000000</f>
        <v>0</v>
      </c>
      <c r="H2" t="s">
        <v>10</v>
      </c>
      <c r="I2">
        <v>50</v>
      </c>
      <c r="J2">
        <v>12.92</v>
      </c>
      <c r="K2">
        <v>3.42</v>
      </c>
    </row>
    <row r="3" spans="1:11" x14ac:dyDescent="0.3">
      <c r="A3" s="4">
        <v>0.2</v>
      </c>
      <c r="B3" s="1">
        <v>9.5849999999999998E-3</v>
      </c>
      <c r="C3" s="4">
        <f>Tabela14[[#This Row],[Alongamento (mm/mm)]]/$I$2</f>
        <v>1.917E-4</v>
      </c>
      <c r="D3" s="1">
        <v>0.51029999999999998</v>
      </c>
      <c r="E3" s="4">
        <f>Tabela14[[#This Row],[Força (N)]]/$I$5</f>
        <v>11548.802346423336</v>
      </c>
      <c r="F3" s="4">
        <f>Tabela14[[#This Row],[Tensão (Pa)]]/1000000</f>
        <v>1.1548802346423335E-2</v>
      </c>
      <c r="H3" t="s">
        <v>11</v>
      </c>
      <c r="I3">
        <f>I2/1000</f>
        <v>0.05</v>
      </c>
      <c r="J3">
        <f>J2/1000</f>
        <v>1.2919999999999999E-2</v>
      </c>
      <c r="K3">
        <f>K2/1000</f>
        <v>3.4199999999999999E-3</v>
      </c>
    </row>
    <row r="4" spans="1:11" x14ac:dyDescent="0.3">
      <c r="A4" s="4">
        <v>0.21667</v>
      </c>
      <c r="B4" s="1">
        <v>1.0795000000000001E-2</v>
      </c>
      <c r="C4" s="4">
        <f>Tabela14[[#This Row],[Alongamento (mm/mm)]]/$I$2</f>
        <v>2.1590000000000002E-4</v>
      </c>
      <c r="D4" s="1">
        <v>1.0206</v>
      </c>
      <c r="E4" s="4">
        <f>Tabela14[[#This Row],[Força (N)]]/$I$5</f>
        <v>23097.604692846671</v>
      </c>
      <c r="F4" s="4">
        <f>Tabela14[[#This Row],[Tensão (Pa)]]/1000000</f>
        <v>2.309760469284667E-2</v>
      </c>
    </row>
    <row r="5" spans="1:11" x14ac:dyDescent="0.3">
      <c r="A5" s="4">
        <v>0.23333000000000001</v>
      </c>
      <c r="B5" s="1">
        <v>1.2097999999999999E-2</v>
      </c>
      <c r="C5" s="4">
        <f>Tabela14[[#This Row],[Alongamento (mm/mm)]]/$I$2</f>
        <v>2.4195999999999999E-4</v>
      </c>
      <c r="D5" s="1">
        <v>1.7010000000000001</v>
      </c>
      <c r="E5" s="4">
        <f>Tabela14[[#This Row],[Força (N)]]/$I$5</f>
        <v>38496.00782141112</v>
      </c>
      <c r="F5" s="4">
        <f>Tabela14[[#This Row],[Tensão (Pa)]]/1000000</f>
        <v>3.8496007821411118E-2</v>
      </c>
      <c r="H5" t="s">
        <v>12</v>
      </c>
      <c r="I5">
        <f>J3*K3</f>
        <v>4.4186399999999994E-5</v>
      </c>
    </row>
    <row r="6" spans="1:11" x14ac:dyDescent="0.3">
      <c r="A6" s="4">
        <v>0.25</v>
      </c>
      <c r="B6" s="1">
        <v>1.34E-2</v>
      </c>
      <c r="C6" s="4">
        <f>Tabela14[[#This Row],[Alongamento (mm/mm)]]/$I$2</f>
        <v>2.6800000000000001E-4</v>
      </c>
      <c r="D6" s="1">
        <v>2.3814000000000002</v>
      </c>
      <c r="E6" s="4">
        <f>Tabela14[[#This Row],[Força (N)]]/$I$5</f>
        <v>53894.410949975572</v>
      </c>
      <c r="F6" s="4">
        <f>Tabela14[[#This Row],[Tensão (Pa)]]/1000000</f>
        <v>5.3894410949975574E-2</v>
      </c>
    </row>
    <row r="7" spans="1:11" x14ac:dyDescent="0.3">
      <c r="A7" s="4">
        <v>0.26667000000000002</v>
      </c>
      <c r="B7" s="1">
        <v>1.4703000000000001E-2</v>
      </c>
      <c r="C7" s="4">
        <f>Tabela14[[#This Row],[Alongamento (mm/mm)]]/$I$2</f>
        <v>2.9406000000000001E-4</v>
      </c>
      <c r="D7" s="1">
        <v>3.0617999999999999</v>
      </c>
      <c r="E7" s="4">
        <f>Tabela14[[#This Row],[Força (N)]]/$I$5</f>
        <v>69292.814078540003</v>
      </c>
      <c r="F7" s="4">
        <f>Tabela14[[#This Row],[Tensão (Pa)]]/1000000</f>
        <v>6.9292814078540002E-2</v>
      </c>
    </row>
    <row r="8" spans="1:11" x14ac:dyDescent="0.3">
      <c r="A8" s="4">
        <v>0.28333000000000003</v>
      </c>
      <c r="B8" s="1">
        <v>1.6098999999999999E-2</v>
      </c>
      <c r="C8" s="4">
        <f>Tabela14[[#This Row],[Alongamento (mm/mm)]]/$I$2</f>
        <v>3.2197999999999998E-4</v>
      </c>
      <c r="D8" s="1">
        <v>3.9123000000000001</v>
      </c>
      <c r="E8" s="4">
        <f>Tabela14[[#This Row],[Força (N)]]/$I$5</f>
        <v>88540.817989245581</v>
      </c>
      <c r="F8" s="4">
        <f>Tabela14[[#This Row],[Tensão (Pa)]]/1000000</f>
        <v>8.8540817989245582E-2</v>
      </c>
    </row>
    <row r="9" spans="1:11" x14ac:dyDescent="0.3">
      <c r="A9" s="4">
        <v>0.3</v>
      </c>
      <c r="B9" s="1">
        <v>1.7402000000000001E-2</v>
      </c>
      <c r="C9" s="4">
        <f>Tabela14[[#This Row],[Alongamento (mm/mm)]]/$I$2</f>
        <v>3.4804000000000004E-4</v>
      </c>
      <c r="D9" s="1">
        <v>4.5926999999999998</v>
      </c>
      <c r="E9" s="4">
        <f>Tabela14[[#This Row],[Força (N)]]/$I$5</f>
        <v>103939.22111781001</v>
      </c>
      <c r="F9" s="4">
        <f>Tabela14[[#This Row],[Tensão (Pa)]]/1000000</f>
        <v>0.10393922111781001</v>
      </c>
    </row>
    <row r="10" spans="1:11" x14ac:dyDescent="0.3">
      <c r="A10" s="4">
        <v>0.31667000000000001</v>
      </c>
      <c r="B10" s="1">
        <v>1.8797999999999999E-2</v>
      </c>
      <c r="C10" s="4">
        <f>Tabela14[[#This Row],[Alongamento (mm/mm)]]/$I$2</f>
        <v>3.7596E-4</v>
      </c>
      <c r="D10" s="1">
        <v>5.4432</v>
      </c>
      <c r="E10" s="4">
        <f>Tabela14[[#This Row],[Força (N)]]/$I$5</f>
        <v>123187.22502851558</v>
      </c>
      <c r="F10" s="4">
        <f>Tabela14[[#This Row],[Tensão (Pa)]]/1000000</f>
        <v>0.12318722502851558</v>
      </c>
    </row>
    <row r="11" spans="1:11" x14ac:dyDescent="0.3">
      <c r="A11" s="4">
        <v>0.33333000000000002</v>
      </c>
      <c r="B11" s="1">
        <v>2.0194E-2</v>
      </c>
      <c r="C11" s="4">
        <f>Tabela14[[#This Row],[Alongamento (mm/mm)]]/$I$2</f>
        <v>4.0388000000000002E-4</v>
      </c>
      <c r="D11" s="1">
        <v>6.2937000000000003</v>
      </c>
      <c r="E11" s="4">
        <f>Tabela14[[#This Row],[Força (N)]]/$I$5</f>
        <v>142435.22893922115</v>
      </c>
      <c r="F11" s="4">
        <f>Tabela14[[#This Row],[Tensão (Pa)]]/1000000</f>
        <v>0.14243522893922114</v>
      </c>
    </row>
    <row r="12" spans="1:11" x14ac:dyDescent="0.3">
      <c r="A12" s="4">
        <v>0.35</v>
      </c>
      <c r="B12" s="1">
        <v>2.1589000000000001E-2</v>
      </c>
      <c r="C12" s="4">
        <f>Tabela14[[#This Row],[Alongamento (mm/mm)]]/$I$2</f>
        <v>4.3177999999999999E-4</v>
      </c>
      <c r="D12" s="1">
        <v>7.3141999999999996</v>
      </c>
      <c r="E12" s="4">
        <f>Tabela14[[#This Row],[Força (N)]]/$I$5</f>
        <v>165530.57049227817</v>
      </c>
      <c r="F12" s="4">
        <f>Tabela14[[#This Row],[Tensão (Pa)]]/1000000</f>
        <v>0.16553057049227818</v>
      </c>
    </row>
    <row r="13" spans="1:11" x14ac:dyDescent="0.3">
      <c r="A13" s="4">
        <v>0.36667</v>
      </c>
      <c r="B13" s="1">
        <v>2.2799E-2</v>
      </c>
      <c r="C13" s="4">
        <f>Tabela14[[#This Row],[Alongamento (mm/mm)]]/$I$2</f>
        <v>4.5597999999999998E-4</v>
      </c>
      <c r="D13" s="1">
        <v>8.1646999999999998</v>
      </c>
      <c r="E13" s="4">
        <f>Tabela14[[#This Row],[Força (N)]]/$I$5</f>
        <v>184778.57440298374</v>
      </c>
      <c r="F13" s="4">
        <f>Tabela14[[#This Row],[Tensão (Pa)]]/1000000</f>
        <v>0.18477857440298373</v>
      </c>
    </row>
    <row r="14" spans="1:11" x14ac:dyDescent="0.3">
      <c r="A14" s="4">
        <v>0.38333</v>
      </c>
      <c r="B14" s="1">
        <v>2.4288000000000001E-2</v>
      </c>
      <c r="C14" s="4">
        <f>Tabela14[[#This Row],[Alongamento (mm/mm)]]/$I$2</f>
        <v>4.8576000000000001E-4</v>
      </c>
      <c r="D14" s="1">
        <v>9.0152000000000001</v>
      </c>
      <c r="E14" s="4">
        <f>Tabela14[[#This Row],[Força (N)]]/$I$5</f>
        <v>204026.5783136893</v>
      </c>
      <c r="F14" s="4">
        <f>Tabela14[[#This Row],[Tensão (Pa)]]/1000000</f>
        <v>0.20402657831368931</v>
      </c>
    </row>
    <row r="15" spans="1:11" x14ac:dyDescent="0.3">
      <c r="A15" s="4">
        <v>0.4</v>
      </c>
      <c r="B15" s="1">
        <v>2.5683999999999998E-2</v>
      </c>
      <c r="C15" s="4">
        <f>Tabela14[[#This Row],[Alongamento (mm/mm)]]/$I$2</f>
        <v>5.1367999999999997E-4</v>
      </c>
      <c r="D15" s="1">
        <v>10.036</v>
      </c>
      <c r="E15" s="4">
        <f>Tabela14[[#This Row],[Força (N)]]/$I$5</f>
        <v>227128.70928611522</v>
      </c>
      <c r="F15" s="4">
        <f>Tabela14[[#This Row],[Tensão (Pa)]]/1000000</f>
        <v>0.22712870928611523</v>
      </c>
    </row>
    <row r="16" spans="1:11" x14ac:dyDescent="0.3">
      <c r="A16" s="4">
        <v>0.41666999999999998</v>
      </c>
      <c r="B16" s="1">
        <v>2.708E-2</v>
      </c>
      <c r="C16" s="4">
        <f>Tabela14[[#This Row],[Alongamento (mm/mm)]]/$I$2</f>
        <v>5.4160000000000005E-4</v>
      </c>
      <c r="D16" s="1">
        <v>10.885999999999999</v>
      </c>
      <c r="E16" s="4">
        <f>Tabela14[[#This Row],[Força (N)]]/$I$5</f>
        <v>246365.39749787268</v>
      </c>
      <c r="F16" s="4">
        <f>Tabela14[[#This Row],[Tensão (Pa)]]/1000000</f>
        <v>0.24636539749787267</v>
      </c>
    </row>
    <row r="17" spans="1:6" x14ac:dyDescent="0.3">
      <c r="A17" s="4">
        <v>0.43332999999999999</v>
      </c>
      <c r="B17" s="1">
        <v>2.8382999999999999E-2</v>
      </c>
      <c r="C17" s="4">
        <f>Tabela14[[#This Row],[Alongamento (mm/mm)]]/$I$2</f>
        <v>5.6766E-4</v>
      </c>
      <c r="D17" s="1">
        <v>11.907</v>
      </c>
      <c r="E17" s="4">
        <f>Tabela14[[#This Row],[Força (N)]]/$I$5</f>
        <v>269472.05474987783</v>
      </c>
      <c r="F17" s="4">
        <f>Tabela14[[#This Row],[Tensão (Pa)]]/1000000</f>
        <v>0.26947205474987784</v>
      </c>
    </row>
    <row r="18" spans="1:6" x14ac:dyDescent="0.3">
      <c r="A18" s="4">
        <v>0.45</v>
      </c>
      <c r="B18" s="1">
        <v>2.9779E-2</v>
      </c>
      <c r="C18" s="4">
        <f>Tabela14[[#This Row],[Alongamento (mm/mm)]]/$I$2</f>
        <v>5.9557999999999996E-4</v>
      </c>
      <c r="D18" s="1">
        <v>12.928000000000001</v>
      </c>
      <c r="E18" s="4">
        <f>Tabela14[[#This Row],[Força (N)]]/$I$5</f>
        <v>292578.71200188302</v>
      </c>
      <c r="F18" s="4">
        <f>Tabela14[[#This Row],[Tensão (Pa)]]/1000000</f>
        <v>0.29257871200188301</v>
      </c>
    </row>
    <row r="19" spans="1:6" x14ac:dyDescent="0.3">
      <c r="A19" s="4">
        <v>0.46666999999999997</v>
      </c>
      <c r="B19" s="1">
        <v>3.1267000000000003E-2</v>
      </c>
      <c r="C19" s="4">
        <f>Tabela14[[#This Row],[Alongamento (mm/mm)]]/$I$2</f>
        <v>6.2534000000000005E-4</v>
      </c>
      <c r="D19" s="1">
        <v>13.948</v>
      </c>
      <c r="E19" s="4">
        <f>Tabela14[[#This Row],[Força (N)]]/$I$5</f>
        <v>315662.73785599193</v>
      </c>
      <c r="F19" s="4">
        <f>Tabela14[[#This Row],[Tensão (Pa)]]/1000000</f>
        <v>0.31566273785599192</v>
      </c>
    </row>
    <row r="20" spans="1:6" x14ac:dyDescent="0.3">
      <c r="A20" s="4">
        <v>0.48332999999999998</v>
      </c>
      <c r="B20" s="1">
        <v>3.2570000000000002E-2</v>
      </c>
      <c r="C20" s="4">
        <f>Tabela14[[#This Row],[Alongamento (mm/mm)]]/$I$2</f>
        <v>6.514E-4</v>
      </c>
      <c r="D20" s="1">
        <v>14.968999999999999</v>
      </c>
      <c r="E20" s="4">
        <f>Tabela14[[#This Row],[Força (N)]]/$I$5</f>
        <v>338769.39510799706</v>
      </c>
      <c r="F20" s="4">
        <f>Tabela14[[#This Row],[Tensão (Pa)]]/1000000</f>
        <v>0.33876939510799708</v>
      </c>
    </row>
    <row r="21" spans="1:6" x14ac:dyDescent="0.3">
      <c r="A21" s="4">
        <v>0.5</v>
      </c>
      <c r="B21" s="1">
        <v>3.3966000000000003E-2</v>
      </c>
      <c r="C21" s="4">
        <f>Tabela14[[#This Row],[Alongamento (mm/mm)]]/$I$2</f>
        <v>6.7932000000000008E-4</v>
      </c>
      <c r="D21" s="1">
        <v>15.989000000000001</v>
      </c>
      <c r="E21" s="4">
        <f>Tabela14[[#This Row],[Força (N)]]/$I$5</f>
        <v>361853.42096210603</v>
      </c>
      <c r="F21" s="4">
        <f>Tabela14[[#This Row],[Tensão (Pa)]]/1000000</f>
        <v>0.36185342096210604</v>
      </c>
    </row>
    <row r="22" spans="1:6" x14ac:dyDescent="0.3">
      <c r="A22" s="4">
        <v>0.51666999999999996</v>
      </c>
      <c r="B22" s="1">
        <v>3.5455E-2</v>
      </c>
      <c r="C22" s="4">
        <f>Tabela14[[#This Row],[Alongamento (mm/mm)]]/$I$2</f>
        <v>7.0910000000000005E-4</v>
      </c>
      <c r="D22" s="1">
        <v>17.010000000000002</v>
      </c>
      <c r="E22" s="4">
        <f>Tabela14[[#This Row],[Força (N)]]/$I$5</f>
        <v>384960.07821411121</v>
      </c>
      <c r="F22" s="4">
        <f>Tabela14[[#This Row],[Tensão (Pa)]]/1000000</f>
        <v>0.38496007821411121</v>
      </c>
    </row>
    <row r="23" spans="1:6" x14ac:dyDescent="0.3">
      <c r="A23" s="4">
        <v>0.53332999999999997</v>
      </c>
      <c r="B23" s="1">
        <v>3.6757999999999999E-2</v>
      </c>
      <c r="C23" s="4">
        <f>Tabela14[[#This Row],[Alongamento (mm/mm)]]/$I$2</f>
        <v>7.3516E-4</v>
      </c>
      <c r="D23" s="1">
        <v>17.86</v>
      </c>
      <c r="E23" s="4">
        <f>Tabela14[[#This Row],[Força (N)]]/$I$5</f>
        <v>404196.76642586861</v>
      </c>
      <c r="F23" s="4">
        <f>Tabela14[[#This Row],[Tensão (Pa)]]/1000000</f>
        <v>0.4041967664258686</v>
      </c>
    </row>
    <row r="24" spans="1:6" x14ac:dyDescent="0.3">
      <c r="A24" s="4">
        <v>0.55000000000000004</v>
      </c>
      <c r="B24" s="1">
        <v>3.8060999999999998E-2</v>
      </c>
      <c r="C24" s="4">
        <f>Tabela14[[#This Row],[Alongamento (mm/mm)]]/$I$2</f>
        <v>7.6121999999999995E-4</v>
      </c>
      <c r="D24" s="1">
        <v>18.881</v>
      </c>
      <c r="E24" s="4">
        <f>Tabela14[[#This Row],[Força (N)]]/$I$5</f>
        <v>427303.4236778738</v>
      </c>
      <c r="F24" s="4">
        <f>Tabela14[[#This Row],[Tensão (Pa)]]/1000000</f>
        <v>0.42730342367787377</v>
      </c>
    </row>
    <row r="25" spans="1:6" x14ac:dyDescent="0.3">
      <c r="A25" s="4">
        <v>0.56667000000000001</v>
      </c>
      <c r="B25" s="1">
        <v>3.9550000000000002E-2</v>
      </c>
      <c r="C25" s="4">
        <f>Tabela14[[#This Row],[Alongamento (mm/mm)]]/$I$2</f>
        <v>7.9100000000000004E-4</v>
      </c>
      <c r="D25" s="1">
        <v>19.902000000000001</v>
      </c>
      <c r="E25" s="4">
        <f>Tabela14[[#This Row],[Força (N)]]/$I$5</f>
        <v>450410.08092987898</v>
      </c>
      <c r="F25" s="4">
        <f>Tabela14[[#This Row],[Tensão (Pa)]]/1000000</f>
        <v>0.450410080929879</v>
      </c>
    </row>
    <row r="26" spans="1:6" x14ac:dyDescent="0.3">
      <c r="A26" s="4">
        <v>0.58333000000000002</v>
      </c>
      <c r="B26" s="1">
        <v>4.0946000000000003E-2</v>
      </c>
      <c r="C26" s="4">
        <f>Tabela14[[#This Row],[Alongamento (mm/mm)]]/$I$2</f>
        <v>8.1892000000000011E-4</v>
      </c>
      <c r="D26" s="1">
        <v>20.922000000000001</v>
      </c>
      <c r="E26" s="4">
        <f>Tabela14[[#This Row],[Força (N)]]/$I$5</f>
        <v>473494.1067839879</v>
      </c>
      <c r="F26" s="4">
        <f>Tabela14[[#This Row],[Tensão (Pa)]]/1000000</f>
        <v>0.4734941067839879</v>
      </c>
    </row>
    <row r="27" spans="1:6" x14ac:dyDescent="0.3">
      <c r="A27" s="4">
        <v>0.6</v>
      </c>
      <c r="B27" s="1">
        <v>4.2340999999999997E-2</v>
      </c>
      <c r="C27" s="4">
        <f>Tabela14[[#This Row],[Alongamento (mm/mm)]]/$I$2</f>
        <v>8.4681999999999997E-4</v>
      </c>
      <c r="D27" s="1">
        <v>21.943000000000001</v>
      </c>
      <c r="E27" s="4">
        <f>Tabela14[[#This Row],[Força (N)]]/$I$5</f>
        <v>496600.76403599308</v>
      </c>
      <c r="F27" s="4">
        <f>Tabela14[[#This Row],[Tensão (Pa)]]/1000000</f>
        <v>0.49660076403599307</v>
      </c>
    </row>
    <row r="28" spans="1:6" x14ac:dyDescent="0.3">
      <c r="A28" s="4">
        <v>0.61667000000000005</v>
      </c>
      <c r="B28" s="1">
        <v>4.3644000000000002E-2</v>
      </c>
      <c r="C28" s="4">
        <f>Tabela14[[#This Row],[Alongamento (mm/mm)]]/$I$2</f>
        <v>8.7288000000000003E-4</v>
      </c>
      <c r="D28" s="1">
        <v>22.963000000000001</v>
      </c>
      <c r="E28" s="4">
        <f>Tabela14[[#This Row],[Força (N)]]/$I$5</f>
        <v>519684.78989010199</v>
      </c>
      <c r="F28" s="4">
        <f>Tabela14[[#This Row],[Tensão (Pa)]]/1000000</f>
        <v>0.51968478989010203</v>
      </c>
    </row>
    <row r="29" spans="1:6" x14ac:dyDescent="0.3">
      <c r="A29" s="4">
        <v>0.63332999999999995</v>
      </c>
      <c r="B29" s="1">
        <v>4.5039999999999997E-2</v>
      </c>
      <c r="C29" s="4">
        <f>Tabela14[[#This Row],[Alongamento (mm/mm)]]/$I$2</f>
        <v>9.0079999999999989E-4</v>
      </c>
      <c r="D29" s="1">
        <v>23.984000000000002</v>
      </c>
      <c r="E29" s="4">
        <f>Tabela14[[#This Row],[Força (N)]]/$I$5</f>
        <v>542791.44714210718</v>
      </c>
      <c r="F29" s="4">
        <f>Tabela14[[#This Row],[Tensão (Pa)]]/1000000</f>
        <v>0.54279144714210714</v>
      </c>
    </row>
    <row r="30" spans="1:6" x14ac:dyDescent="0.3">
      <c r="A30" s="4">
        <v>0.65</v>
      </c>
      <c r="B30" s="1">
        <v>4.6529000000000001E-2</v>
      </c>
      <c r="C30" s="4">
        <f>Tabela14[[#This Row],[Alongamento (mm/mm)]]/$I$2</f>
        <v>9.3057999999999997E-4</v>
      </c>
      <c r="D30" s="1">
        <v>24.834</v>
      </c>
      <c r="E30" s="4">
        <f>Tabela14[[#This Row],[Força (N)]]/$I$5</f>
        <v>562028.13535386464</v>
      </c>
      <c r="F30" s="4">
        <f>Tabela14[[#This Row],[Tensão (Pa)]]/1000000</f>
        <v>0.56202813535386464</v>
      </c>
    </row>
    <row r="31" spans="1:6" x14ac:dyDescent="0.3">
      <c r="A31" s="4">
        <v>0.66666999999999998</v>
      </c>
      <c r="B31" s="1">
        <v>4.7832E-2</v>
      </c>
      <c r="C31" s="4">
        <f>Tabela14[[#This Row],[Alongamento (mm/mm)]]/$I$2</f>
        <v>9.5664000000000003E-4</v>
      </c>
      <c r="D31" s="1">
        <v>25.855</v>
      </c>
      <c r="E31" s="4">
        <f>Tabela14[[#This Row],[Força (N)]]/$I$5</f>
        <v>585134.79260586982</v>
      </c>
      <c r="F31" s="4">
        <f>Tabela14[[#This Row],[Tensão (Pa)]]/1000000</f>
        <v>0.58513479260586987</v>
      </c>
    </row>
    <row r="32" spans="1:6" x14ac:dyDescent="0.3">
      <c r="A32" s="4">
        <v>0.68332999999999999</v>
      </c>
      <c r="B32" s="1">
        <v>4.9228000000000001E-2</v>
      </c>
      <c r="C32" s="4">
        <f>Tabela14[[#This Row],[Alongamento (mm/mm)]]/$I$2</f>
        <v>9.8455999999999999E-4</v>
      </c>
      <c r="D32" s="1">
        <v>26.876000000000001</v>
      </c>
      <c r="E32" s="4">
        <f>Tabela14[[#This Row],[Força (N)]]/$I$5</f>
        <v>608241.44985787489</v>
      </c>
      <c r="F32" s="4">
        <f>Tabela14[[#This Row],[Tensão (Pa)]]/1000000</f>
        <v>0.60824144985787487</v>
      </c>
    </row>
    <row r="33" spans="1:6" x14ac:dyDescent="0.3">
      <c r="A33" s="4">
        <v>0.7</v>
      </c>
      <c r="B33" s="1">
        <v>5.0624000000000002E-2</v>
      </c>
      <c r="C33" s="4">
        <f>Tabela14[[#This Row],[Alongamento (mm/mm)]]/$I$2</f>
        <v>1.0124800000000001E-3</v>
      </c>
      <c r="D33" s="1">
        <v>27.725999999999999</v>
      </c>
      <c r="E33" s="4">
        <f>Tabela14[[#This Row],[Força (N)]]/$I$5</f>
        <v>627478.13806963235</v>
      </c>
      <c r="F33" s="4">
        <f>Tabela14[[#This Row],[Tensão (Pa)]]/1000000</f>
        <v>0.62747813806963237</v>
      </c>
    </row>
    <row r="34" spans="1:6" x14ac:dyDescent="0.3">
      <c r="A34" s="4">
        <v>0.71667000000000003</v>
      </c>
      <c r="B34" s="1">
        <v>5.2019000000000003E-2</v>
      </c>
      <c r="C34" s="4">
        <f>Tabela14[[#This Row],[Alongamento (mm/mm)]]/$I$2</f>
        <v>1.04038E-3</v>
      </c>
      <c r="D34" s="1">
        <v>28.747</v>
      </c>
      <c r="E34" s="4">
        <f>Tabela14[[#This Row],[Força (N)]]/$I$5</f>
        <v>650584.79532163753</v>
      </c>
      <c r="F34" s="4">
        <f>Tabela14[[#This Row],[Tensão (Pa)]]/1000000</f>
        <v>0.65058479532163749</v>
      </c>
    </row>
    <row r="35" spans="1:6" x14ac:dyDescent="0.3">
      <c r="A35" s="4">
        <v>0.73333000000000004</v>
      </c>
      <c r="B35" s="1">
        <v>5.3322000000000001E-2</v>
      </c>
      <c r="C35" s="4">
        <f>Tabela14[[#This Row],[Alongamento (mm/mm)]]/$I$2</f>
        <v>1.0664400000000001E-3</v>
      </c>
      <c r="D35" s="1">
        <v>29.766999999999999</v>
      </c>
      <c r="E35" s="4">
        <f>Tabela14[[#This Row],[Força (N)]]/$I$5</f>
        <v>673668.8211757465</v>
      </c>
      <c r="F35" s="4">
        <f>Tabela14[[#This Row],[Tensão (Pa)]]/1000000</f>
        <v>0.67366882117574656</v>
      </c>
    </row>
    <row r="36" spans="1:6" x14ac:dyDescent="0.3">
      <c r="A36" s="4">
        <v>0.75</v>
      </c>
      <c r="B36" s="1">
        <v>5.4810999999999999E-2</v>
      </c>
      <c r="C36" s="4">
        <f>Tabela14[[#This Row],[Alongamento (mm/mm)]]/$I$2</f>
        <v>1.09622E-3</v>
      </c>
      <c r="D36" s="1">
        <v>30.788</v>
      </c>
      <c r="E36" s="4">
        <f>Tabela14[[#This Row],[Força (N)]]/$I$5</f>
        <v>696775.47842775157</v>
      </c>
      <c r="F36" s="4">
        <f>Tabela14[[#This Row],[Tensão (Pa)]]/1000000</f>
        <v>0.69677547842775156</v>
      </c>
    </row>
    <row r="37" spans="1:6" x14ac:dyDescent="0.3">
      <c r="A37" s="4">
        <v>0.76666999999999996</v>
      </c>
      <c r="B37" s="1">
        <v>5.6207E-2</v>
      </c>
      <c r="C37" s="4">
        <f>Tabela14[[#This Row],[Alongamento (mm/mm)]]/$I$2</f>
        <v>1.12414E-3</v>
      </c>
      <c r="D37" s="1">
        <v>31.638000000000002</v>
      </c>
      <c r="E37" s="4">
        <f>Tabela14[[#This Row],[Força (N)]]/$I$5</f>
        <v>716012.16663950915</v>
      </c>
      <c r="F37" s="4">
        <f>Tabela14[[#This Row],[Tensão (Pa)]]/1000000</f>
        <v>0.71601216663950917</v>
      </c>
    </row>
    <row r="38" spans="1:6" x14ac:dyDescent="0.3">
      <c r="A38" s="4">
        <v>0.78332999999999997</v>
      </c>
      <c r="B38" s="1">
        <v>5.7603000000000001E-2</v>
      </c>
      <c r="C38" s="4">
        <f>Tabela14[[#This Row],[Alongamento (mm/mm)]]/$I$2</f>
        <v>1.1520600000000001E-3</v>
      </c>
      <c r="D38" s="1">
        <v>32.658999999999999</v>
      </c>
      <c r="E38" s="4">
        <f>Tabela14[[#This Row],[Força (N)]]/$I$5</f>
        <v>739118.82389151421</v>
      </c>
      <c r="F38" s="4">
        <f>Tabela14[[#This Row],[Tensão (Pa)]]/1000000</f>
        <v>0.73911882389151418</v>
      </c>
    </row>
    <row r="39" spans="1:6" x14ac:dyDescent="0.3">
      <c r="A39" s="4">
        <v>0.8</v>
      </c>
      <c r="B39" s="1">
        <v>5.8906E-2</v>
      </c>
      <c r="C39" s="4">
        <f>Tabela14[[#This Row],[Alongamento (mm/mm)]]/$I$2</f>
        <v>1.1781199999999999E-3</v>
      </c>
      <c r="D39" s="1">
        <v>33.68</v>
      </c>
      <c r="E39" s="4">
        <f>Tabela14[[#This Row],[Força (N)]]/$I$5</f>
        <v>762225.4811435194</v>
      </c>
      <c r="F39" s="4">
        <f>Tabela14[[#This Row],[Tensão (Pa)]]/1000000</f>
        <v>0.7622254811435194</v>
      </c>
    </row>
    <row r="40" spans="1:6" x14ac:dyDescent="0.3">
      <c r="A40" s="4">
        <v>0.81667000000000001</v>
      </c>
      <c r="B40" s="1">
        <v>6.0394999999999997E-2</v>
      </c>
      <c r="C40" s="4">
        <f>Tabela14[[#This Row],[Alongamento (mm/mm)]]/$I$2</f>
        <v>1.2079E-3</v>
      </c>
      <c r="D40" s="1">
        <v>34.53</v>
      </c>
      <c r="E40" s="4">
        <f>Tabela14[[#This Row],[Força (N)]]/$I$5</f>
        <v>781462.16935527686</v>
      </c>
      <c r="F40" s="4">
        <f>Tabela14[[#This Row],[Tensão (Pa)]]/1000000</f>
        <v>0.7814621693552769</v>
      </c>
    </row>
    <row r="41" spans="1:6" x14ac:dyDescent="0.3">
      <c r="A41" s="4">
        <v>0.83333000000000002</v>
      </c>
      <c r="B41" s="1">
        <v>6.1790999999999999E-2</v>
      </c>
      <c r="C41" s="4">
        <f>Tabela14[[#This Row],[Alongamento (mm/mm)]]/$I$2</f>
        <v>1.2358199999999999E-3</v>
      </c>
      <c r="D41" s="1">
        <v>35.551000000000002</v>
      </c>
      <c r="E41" s="4">
        <f>Tabela14[[#This Row],[Força (N)]]/$I$5</f>
        <v>804568.82660728204</v>
      </c>
      <c r="F41" s="4">
        <f>Tabela14[[#This Row],[Tensão (Pa)]]/1000000</f>
        <v>0.80456882660728202</v>
      </c>
    </row>
    <row r="42" spans="1:6" x14ac:dyDescent="0.3">
      <c r="A42" s="4">
        <v>0.85</v>
      </c>
      <c r="B42" s="1">
        <v>6.3092999999999996E-2</v>
      </c>
      <c r="C42" s="4">
        <f>Tabela14[[#This Row],[Alongamento (mm/mm)]]/$I$2</f>
        <v>1.2618599999999998E-3</v>
      </c>
      <c r="D42" s="1">
        <v>36.570999999999998</v>
      </c>
      <c r="E42" s="4">
        <f>Tabela14[[#This Row],[Força (N)]]/$I$5</f>
        <v>827652.8524613909</v>
      </c>
      <c r="F42" s="4">
        <f>Tabela14[[#This Row],[Tensão (Pa)]]/1000000</f>
        <v>0.82765285246139086</v>
      </c>
    </row>
    <row r="43" spans="1:6" x14ac:dyDescent="0.3">
      <c r="A43" s="4">
        <v>0.86667000000000005</v>
      </c>
      <c r="B43" s="1">
        <v>6.4489000000000005E-2</v>
      </c>
      <c r="C43" s="4">
        <f>Tabela14[[#This Row],[Alongamento (mm/mm)]]/$I$2</f>
        <v>1.2897800000000001E-3</v>
      </c>
      <c r="D43" s="1">
        <v>37.421999999999997</v>
      </c>
      <c r="E43" s="4">
        <f>Tabela14[[#This Row],[Força (N)]]/$I$5</f>
        <v>846912.17207104457</v>
      </c>
      <c r="F43" s="4">
        <f>Tabela14[[#This Row],[Tensão (Pa)]]/1000000</f>
        <v>0.84691217207104452</v>
      </c>
    </row>
    <row r="44" spans="1:6" x14ac:dyDescent="0.3">
      <c r="A44" s="4">
        <v>0.88332999999999995</v>
      </c>
      <c r="B44" s="1">
        <v>6.5977999999999995E-2</v>
      </c>
      <c r="C44" s="4">
        <f>Tabela14[[#This Row],[Alongamento (mm/mm)]]/$I$2</f>
        <v>1.31956E-3</v>
      </c>
      <c r="D44" s="1">
        <v>38.442</v>
      </c>
      <c r="E44" s="4">
        <f>Tabela14[[#This Row],[Força (N)]]/$I$5</f>
        <v>869996.19792515354</v>
      </c>
      <c r="F44" s="4">
        <f>Tabela14[[#This Row],[Tensão (Pa)]]/1000000</f>
        <v>0.86999619792515359</v>
      </c>
    </row>
    <row r="45" spans="1:6" x14ac:dyDescent="0.3">
      <c r="A45" s="4">
        <v>0.9</v>
      </c>
      <c r="B45" s="1">
        <v>6.7280999999999994E-2</v>
      </c>
      <c r="C45" s="4">
        <f>Tabela14[[#This Row],[Alongamento (mm/mm)]]/$I$2</f>
        <v>1.3456199999999998E-3</v>
      </c>
      <c r="D45" s="1">
        <v>39.463000000000001</v>
      </c>
      <c r="E45" s="4">
        <f>Tabela14[[#This Row],[Força (N)]]/$I$5</f>
        <v>893102.85517715872</v>
      </c>
      <c r="F45" s="4">
        <f>Tabela14[[#This Row],[Tensão (Pa)]]/1000000</f>
        <v>0.89310285517715871</v>
      </c>
    </row>
    <row r="46" spans="1:6" x14ac:dyDescent="0.3">
      <c r="A46" s="4">
        <v>0.91666999999999998</v>
      </c>
      <c r="B46" s="1">
        <v>6.8677000000000002E-2</v>
      </c>
      <c r="C46" s="4">
        <f>Tabela14[[#This Row],[Alongamento (mm/mm)]]/$I$2</f>
        <v>1.3735400000000001E-3</v>
      </c>
      <c r="D46" s="1">
        <v>40.313000000000002</v>
      </c>
      <c r="E46" s="4">
        <f>Tabela14[[#This Row],[Força (N)]]/$I$5</f>
        <v>912339.54338891618</v>
      </c>
      <c r="F46" s="4">
        <f>Tabela14[[#This Row],[Tensão (Pa)]]/1000000</f>
        <v>0.91233954338891621</v>
      </c>
    </row>
    <row r="47" spans="1:6" x14ac:dyDescent="0.3">
      <c r="A47" s="4">
        <v>0.93332999999999999</v>
      </c>
      <c r="B47" s="1">
        <v>7.0072999999999996E-2</v>
      </c>
      <c r="C47" s="4">
        <f>Tabela14[[#This Row],[Alongamento (mm/mm)]]/$I$2</f>
        <v>1.40146E-3</v>
      </c>
      <c r="D47" s="1">
        <v>41.334000000000003</v>
      </c>
      <c r="E47" s="4">
        <f>Tabela14[[#This Row],[Força (N)]]/$I$5</f>
        <v>935446.20064092136</v>
      </c>
      <c r="F47" s="4">
        <f>Tabela14[[#This Row],[Tensão (Pa)]]/1000000</f>
        <v>0.93544620064092132</v>
      </c>
    </row>
    <row r="48" spans="1:6" x14ac:dyDescent="0.3">
      <c r="A48" s="4">
        <v>0.95</v>
      </c>
      <c r="B48" s="1">
        <v>7.1469000000000005E-2</v>
      </c>
      <c r="C48" s="4">
        <f>Tabela14[[#This Row],[Alongamento (mm/mm)]]/$I$2</f>
        <v>1.4293800000000001E-3</v>
      </c>
      <c r="D48" s="1">
        <v>42.185000000000002</v>
      </c>
      <c r="E48" s="4">
        <f>Tabela14[[#This Row],[Força (N)]]/$I$5</f>
        <v>954705.52025057503</v>
      </c>
      <c r="F48" s="4">
        <f>Tabela14[[#This Row],[Tensão (Pa)]]/1000000</f>
        <v>0.95470552025057498</v>
      </c>
    </row>
    <row r="49" spans="1:6" x14ac:dyDescent="0.3">
      <c r="A49" s="4">
        <v>0.96667000000000003</v>
      </c>
      <c r="B49" s="1">
        <v>7.2863999999999998E-2</v>
      </c>
      <c r="C49" s="4">
        <f>Tabela14[[#This Row],[Alongamento (mm/mm)]]/$I$2</f>
        <v>1.45728E-3</v>
      </c>
      <c r="D49" s="1">
        <v>43.204999999999998</v>
      </c>
      <c r="E49" s="4">
        <f>Tabela14[[#This Row],[Força (N)]]/$I$5</f>
        <v>977789.54610468389</v>
      </c>
      <c r="F49" s="4">
        <f>Tabela14[[#This Row],[Tensão (Pa)]]/1000000</f>
        <v>0.97778954610468394</v>
      </c>
    </row>
    <row r="50" spans="1:6" x14ac:dyDescent="0.3">
      <c r="A50" s="4">
        <v>0.98333000000000004</v>
      </c>
      <c r="B50" s="1">
        <v>7.4166999999999997E-2</v>
      </c>
      <c r="C50" s="4">
        <f>Tabela14[[#This Row],[Alongamento (mm/mm)]]/$I$2</f>
        <v>1.4833399999999999E-3</v>
      </c>
      <c r="D50" s="1">
        <v>44.055999999999997</v>
      </c>
      <c r="E50" s="4">
        <f>Tabela14[[#This Row],[Força (N)]]/$I$5</f>
        <v>997048.86571433756</v>
      </c>
      <c r="F50" s="4">
        <f>Tabela14[[#This Row],[Tensão (Pa)]]/1000000</f>
        <v>0.9970488657143376</v>
      </c>
    </row>
    <row r="51" spans="1:6" x14ac:dyDescent="0.3">
      <c r="A51" s="4">
        <v>10000</v>
      </c>
      <c r="B51" s="1">
        <v>7.5656000000000001E-2</v>
      </c>
      <c r="C51" s="4">
        <f>Tabela14[[#This Row],[Alongamento (mm/mm)]]/$I$2</f>
        <v>1.51312E-3</v>
      </c>
      <c r="D51" s="1">
        <v>45.076000000000001</v>
      </c>
      <c r="E51" s="4">
        <f>Tabela14[[#This Row],[Força (N)]]/$I$5</f>
        <v>1020132.8915684465</v>
      </c>
      <c r="F51" s="4">
        <f>Tabela14[[#This Row],[Tensão (Pa)]]/1000000</f>
        <v>1.0201328915684464</v>
      </c>
    </row>
    <row r="52" spans="1:6" x14ac:dyDescent="0.3">
      <c r="A52" s="4">
        <v>10167</v>
      </c>
      <c r="B52" s="1">
        <v>7.7051999999999995E-2</v>
      </c>
      <c r="C52" s="4">
        <f>Tabela14[[#This Row],[Alongamento (mm/mm)]]/$I$2</f>
        <v>1.5410399999999998E-3</v>
      </c>
      <c r="D52" s="1">
        <v>45.927</v>
      </c>
      <c r="E52" s="4">
        <f>Tabela14[[#This Row],[Força (N)]]/$I$5</f>
        <v>1039392.2111781002</v>
      </c>
      <c r="F52" s="4">
        <f>Tabela14[[#This Row],[Tensão (Pa)]]/1000000</f>
        <v>1.0393922111781002</v>
      </c>
    </row>
    <row r="53" spans="1:6" x14ac:dyDescent="0.3">
      <c r="A53" s="4">
        <v>10333</v>
      </c>
      <c r="B53" s="1">
        <v>7.8448000000000004E-2</v>
      </c>
      <c r="C53" s="4">
        <f>Tabela14[[#This Row],[Alongamento (mm/mm)]]/$I$2</f>
        <v>1.5689600000000001E-3</v>
      </c>
      <c r="D53" s="1">
        <v>46.947000000000003</v>
      </c>
      <c r="E53" s="4">
        <f>Tabela14[[#This Row],[Força (N)]]/$I$5</f>
        <v>1062476.2370322093</v>
      </c>
      <c r="F53" s="4">
        <f>Tabela14[[#This Row],[Tensão (Pa)]]/1000000</f>
        <v>1.0624762370322094</v>
      </c>
    </row>
    <row r="54" spans="1:6" x14ac:dyDescent="0.3">
      <c r="A54" s="4">
        <v>10500</v>
      </c>
      <c r="B54" s="1">
        <v>7.9751000000000002E-2</v>
      </c>
      <c r="C54" s="4">
        <f>Tabela14[[#This Row],[Alongamento (mm/mm)]]/$I$2</f>
        <v>1.5950199999999999E-3</v>
      </c>
      <c r="D54" s="1">
        <v>47.798000000000002</v>
      </c>
      <c r="E54" s="4">
        <f>Tabela14[[#This Row],[Força (N)]]/$I$5</f>
        <v>1081735.5566418627</v>
      </c>
      <c r="F54" s="4">
        <f>Tabela14[[#This Row],[Tensão (Pa)]]/1000000</f>
        <v>1.0817355566418627</v>
      </c>
    </row>
    <row r="55" spans="1:6" x14ac:dyDescent="0.3">
      <c r="A55" s="4">
        <v>10667</v>
      </c>
      <c r="B55" s="1">
        <v>8.1240000000000007E-2</v>
      </c>
      <c r="C55" s="4">
        <f>Tabela14[[#This Row],[Alongamento (mm/mm)]]/$I$2</f>
        <v>1.6248E-3</v>
      </c>
      <c r="D55" s="1">
        <v>48.648000000000003</v>
      </c>
      <c r="E55" s="4">
        <f>Tabela14[[#This Row],[Força (N)]]/$I$5</f>
        <v>1100972.2448536204</v>
      </c>
      <c r="F55" s="4">
        <f>Tabela14[[#This Row],[Tensão (Pa)]]/1000000</f>
        <v>1.1009722448536203</v>
      </c>
    </row>
    <row r="56" spans="1:6" x14ac:dyDescent="0.3">
      <c r="A56" s="4">
        <v>10833</v>
      </c>
      <c r="B56" s="1">
        <v>8.2635E-2</v>
      </c>
      <c r="C56" s="4">
        <f>Tabela14[[#This Row],[Alongamento (mm/mm)]]/$I$2</f>
        <v>1.6527E-3</v>
      </c>
      <c r="D56" s="1">
        <v>49.668999999999997</v>
      </c>
      <c r="E56" s="4">
        <f>Tabela14[[#This Row],[Força (N)]]/$I$5</f>
        <v>1124078.9021056253</v>
      </c>
      <c r="F56" s="4">
        <f>Tabela14[[#This Row],[Tensão (Pa)]]/1000000</f>
        <v>1.1240789021056252</v>
      </c>
    </row>
    <row r="57" spans="1:6" x14ac:dyDescent="0.3">
      <c r="A57" s="4">
        <v>11000</v>
      </c>
      <c r="B57" s="1">
        <v>8.3937999999999999E-2</v>
      </c>
      <c r="C57" s="4">
        <f>Tabela14[[#This Row],[Alongamento (mm/mm)]]/$I$2</f>
        <v>1.6787600000000001E-3</v>
      </c>
      <c r="D57" s="1">
        <v>50.518999999999998</v>
      </c>
      <c r="E57" s="4">
        <f>Tabela14[[#This Row],[Força (N)]]/$I$5</f>
        <v>1143315.5903173829</v>
      </c>
      <c r="F57" s="4">
        <f>Tabela14[[#This Row],[Tensão (Pa)]]/1000000</f>
        <v>1.1433155903173828</v>
      </c>
    </row>
    <row r="58" spans="1:6" x14ac:dyDescent="0.3">
      <c r="A58" s="4">
        <v>11167</v>
      </c>
      <c r="B58" s="1">
        <v>8.5333999999999993E-2</v>
      </c>
      <c r="C58" s="4">
        <f>Tabela14[[#This Row],[Alongamento (mm/mm)]]/$I$2</f>
        <v>1.7066799999999999E-3</v>
      </c>
      <c r="D58" s="1">
        <v>51.37</v>
      </c>
      <c r="E58" s="4">
        <f>Tabela14[[#This Row],[Força (N)]]/$I$5</f>
        <v>1162574.9099270364</v>
      </c>
      <c r="F58" s="4">
        <f>Tabela14[[#This Row],[Tensão (Pa)]]/1000000</f>
        <v>1.1625749099270364</v>
      </c>
    </row>
    <row r="59" spans="1:6" x14ac:dyDescent="0.3">
      <c r="A59" s="4">
        <v>11333</v>
      </c>
      <c r="B59" s="1">
        <v>8.6730000000000002E-2</v>
      </c>
      <c r="C59" s="4">
        <f>Tabela14[[#This Row],[Alongamento (mm/mm)]]/$I$2</f>
        <v>1.7346E-3</v>
      </c>
      <c r="D59" s="1">
        <v>52.39</v>
      </c>
      <c r="E59" s="4">
        <f>Tabela14[[#This Row],[Força (N)]]/$I$5</f>
        <v>1185658.9357811455</v>
      </c>
      <c r="F59" s="4">
        <f>Tabela14[[#This Row],[Tensão (Pa)]]/1000000</f>
        <v>1.1856589357811456</v>
      </c>
    </row>
    <row r="60" spans="1:6" x14ac:dyDescent="0.3">
      <c r="A60" s="4">
        <v>11500</v>
      </c>
      <c r="B60" s="1">
        <v>8.8219000000000006E-2</v>
      </c>
      <c r="C60" s="4">
        <f>Tabela14[[#This Row],[Alongamento (mm/mm)]]/$I$2</f>
        <v>1.7643800000000001E-3</v>
      </c>
      <c r="D60" s="1">
        <v>53.241</v>
      </c>
      <c r="E60" s="4">
        <f>Tabela14[[#This Row],[Força (N)]]/$I$5</f>
        <v>1204918.2553907991</v>
      </c>
      <c r="F60" s="4">
        <f>Tabela14[[#This Row],[Tensão (Pa)]]/1000000</f>
        <v>1.2049182553907991</v>
      </c>
    </row>
    <row r="61" spans="1:6" x14ac:dyDescent="0.3">
      <c r="A61" s="4">
        <v>11667</v>
      </c>
      <c r="B61" s="1">
        <v>8.9522000000000004E-2</v>
      </c>
      <c r="C61" s="4">
        <f>Tabela14[[#This Row],[Alongamento (mm/mm)]]/$I$2</f>
        <v>1.7904400000000001E-3</v>
      </c>
      <c r="D61" s="1">
        <v>54.091000000000001</v>
      </c>
      <c r="E61" s="4">
        <f>Tabela14[[#This Row],[Força (N)]]/$I$5</f>
        <v>1224154.9436025566</v>
      </c>
      <c r="F61" s="4">
        <f>Tabela14[[#This Row],[Tensão (Pa)]]/1000000</f>
        <v>1.2241549436025565</v>
      </c>
    </row>
    <row r="62" spans="1:6" x14ac:dyDescent="0.3">
      <c r="A62" s="4">
        <v>11833</v>
      </c>
      <c r="B62" s="1">
        <v>9.0917999999999999E-2</v>
      </c>
      <c r="C62" s="4">
        <f>Tabela14[[#This Row],[Alongamento (mm/mm)]]/$I$2</f>
        <v>1.81836E-3</v>
      </c>
      <c r="D62" s="1">
        <v>55.112000000000002</v>
      </c>
      <c r="E62" s="4">
        <f>Tabela14[[#This Row],[Força (N)]]/$I$5</f>
        <v>1247261.6008545619</v>
      </c>
      <c r="F62" s="4">
        <f>Tabela14[[#This Row],[Tensão (Pa)]]/1000000</f>
        <v>1.2472616008545618</v>
      </c>
    </row>
    <row r="63" spans="1:6" x14ac:dyDescent="0.3">
      <c r="A63" s="4">
        <v>12000</v>
      </c>
      <c r="B63" s="1">
        <v>9.2313999999999993E-2</v>
      </c>
      <c r="C63" s="4">
        <f>Tabela14[[#This Row],[Alongamento (mm/mm)]]/$I$2</f>
        <v>1.8462799999999998E-3</v>
      </c>
      <c r="D63" s="1">
        <v>55.963000000000001</v>
      </c>
      <c r="E63" s="4">
        <f>Tabela14[[#This Row],[Força (N)]]/$I$5</f>
        <v>1266520.9204642153</v>
      </c>
      <c r="F63" s="4">
        <f>Tabela14[[#This Row],[Tensão (Pa)]]/1000000</f>
        <v>1.2665209204642154</v>
      </c>
    </row>
    <row r="64" spans="1:6" x14ac:dyDescent="0.3">
      <c r="A64" s="4">
        <v>12167</v>
      </c>
      <c r="B64" s="1">
        <v>9.3709000000000001E-2</v>
      </c>
      <c r="C64" s="4">
        <f>Tabela14[[#This Row],[Alongamento (mm/mm)]]/$I$2</f>
        <v>1.87418E-3</v>
      </c>
      <c r="D64" s="1">
        <v>56.813000000000002</v>
      </c>
      <c r="E64" s="4">
        <f>Tabela14[[#This Row],[Força (N)]]/$I$5</f>
        <v>1285757.608675973</v>
      </c>
      <c r="F64" s="4">
        <f>Tabela14[[#This Row],[Tensão (Pa)]]/1000000</f>
        <v>1.285757608675973</v>
      </c>
    </row>
    <row r="65" spans="1:6" x14ac:dyDescent="0.3">
      <c r="A65" s="4">
        <v>12333</v>
      </c>
      <c r="B65" s="1">
        <v>9.5104999999999995E-2</v>
      </c>
      <c r="C65" s="4">
        <f>Tabela14[[#This Row],[Alongamento (mm/mm)]]/$I$2</f>
        <v>1.9020999999999999E-3</v>
      </c>
      <c r="D65" s="1">
        <v>57.662999999999997</v>
      </c>
      <c r="E65" s="4">
        <f>Tabela14[[#This Row],[Força (N)]]/$I$5</f>
        <v>1304994.2968877302</v>
      </c>
      <c r="F65" s="4">
        <f>Tabela14[[#This Row],[Tensão (Pa)]]/1000000</f>
        <v>1.3049942968877302</v>
      </c>
    </row>
    <row r="66" spans="1:6" x14ac:dyDescent="0.3">
      <c r="A66" s="4">
        <v>12500</v>
      </c>
      <c r="B66" s="1">
        <v>9.6501000000000003E-2</v>
      </c>
      <c r="C66" s="4">
        <f>Tabela14[[#This Row],[Alongamento (mm/mm)]]/$I$2</f>
        <v>1.9300200000000002E-3</v>
      </c>
      <c r="D66" s="1">
        <v>58.683999999999997</v>
      </c>
      <c r="E66" s="4">
        <f>Tabela14[[#This Row],[Força (N)]]/$I$5</f>
        <v>1328100.9541397353</v>
      </c>
      <c r="F66" s="4">
        <f>Tabela14[[#This Row],[Tensão (Pa)]]/1000000</f>
        <v>1.3281009541397353</v>
      </c>
    </row>
    <row r="67" spans="1:6" x14ac:dyDescent="0.3">
      <c r="A67" s="4">
        <v>12667</v>
      </c>
      <c r="B67" s="1">
        <v>9.7896999999999998E-2</v>
      </c>
      <c r="C67" s="4">
        <f>Tabela14[[#This Row],[Alongamento (mm/mm)]]/$I$2</f>
        <v>1.95794E-3</v>
      </c>
      <c r="D67" s="1">
        <v>59.534999999999997</v>
      </c>
      <c r="E67" s="4">
        <f>Tabela14[[#This Row],[Força (N)]]/$I$5</f>
        <v>1347360.273749389</v>
      </c>
      <c r="F67" s="4">
        <f>Tabela14[[#This Row],[Tensão (Pa)]]/1000000</f>
        <v>1.347360273749389</v>
      </c>
    </row>
    <row r="68" spans="1:6" x14ac:dyDescent="0.3">
      <c r="A68" s="4">
        <v>12833</v>
      </c>
      <c r="B68" s="1">
        <v>9.9199999999999997E-2</v>
      </c>
      <c r="C68" s="4">
        <f>Tabela14[[#This Row],[Alongamento (mm/mm)]]/$I$2</f>
        <v>1.9840000000000001E-3</v>
      </c>
      <c r="D68" s="1">
        <v>60.384999999999998</v>
      </c>
      <c r="E68" s="4">
        <f>Tabela14[[#This Row],[Força (N)]]/$I$5</f>
        <v>1366596.9619611464</v>
      </c>
      <c r="F68" s="4">
        <f>Tabela14[[#This Row],[Tensão (Pa)]]/1000000</f>
        <v>1.3665969619611464</v>
      </c>
    </row>
    <row r="69" spans="1:6" x14ac:dyDescent="0.3">
      <c r="A69" s="4">
        <v>13000</v>
      </c>
      <c r="B69" s="1">
        <v>0.10059999999999999</v>
      </c>
      <c r="C69" s="4">
        <f>Tabela14[[#This Row],[Alongamento (mm/mm)]]/$I$2</f>
        <v>2.0119999999999999E-3</v>
      </c>
      <c r="D69" s="1">
        <v>61.235999999999997</v>
      </c>
      <c r="E69" s="4">
        <f>Tabela14[[#This Row],[Força (N)]]/$I$5</f>
        <v>1385856.2815708001</v>
      </c>
      <c r="F69" s="4">
        <f>Tabela14[[#This Row],[Tensão (Pa)]]/1000000</f>
        <v>1.3858562815708002</v>
      </c>
    </row>
    <row r="70" spans="1:6" x14ac:dyDescent="0.3">
      <c r="A70" s="4">
        <v>13167</v>
      </c>
      <c r="B70" s="1">
        <v>0.10208</v>
      </c>
      <c r="C70" s="4">
        <f>Tabela14[[#This Row],[Alongamento (mm/mm)]]/$I$2</f>
        <v>2.0416000000000002E-3</v>
      </c>
      <c r="D70" s="1">
        <v>62.256</v>
      </c>
      <c r="E70" s="4">
        <f>Tabela14[[#This Row],[Força (N)]]/$I$5</f>
        <v>1408940.3074249092</v>
      </c>
      <c r="F70" s="4">
        <f>Tabela14[[#This Row],[Tensão (Pa)]]/1000000</f>
        <v>1.4089403074249092</v>
      </c>
    </row>
    <row r="71" spans="1:6" x14ac:dyDescent="0.3">
      <c r="A71" s="4">
        <v>13333</v>
      </c>
      <c r="B71" s="1">
        <v>0.10348</v>
      </c>
      <c r="C71" s="4">
        <f>Tabela14[[#This Row],[Alongamento (mm/mm)]]/$I$2</f>
        <v>2.0696E-3</v>
      </c>
      <c r="D71" s="1">
        <v>63.106999999999999</v>
      </c>
      <c r="E71" s="4">
        <f>Tabela14[[#This Row],[Força (N)]]/$I$5</f>
        <v>1428199.6270345629</v>
      </c>
      <c r="F71" s="4">
        <f>Tabela14[[#This Row],[Tensão (Pa)]]/1000000</f>
        <v>1.4281996270345629</v>
      </c>
    </row>
    <row r="72" spans="1:6" x14ac:dyDescent="0.3">
      <c r="A72" s="4">
        <v>13500</v>
      </c>
      <c r="B72" s="1">
        <v>0.10478</v>
      </c>
      <c r="C72" s="4">
        <f>Tabela14[[#This Row],[Alongamento (mm/mm)]]/$I$2</f>
        <v>2.0956E-3</v>
      </c>
      <c r="D72" s="1">
        <v>63.957000000000001</v>
      </c>
      <c r="E72" s="4">
        <f>Tabela14[[#This Row],[Força (N)]]/$I$5</f>
        <v>1447436.3152463203</v>
      </c>
      <c r="F72" s="4">
        <f>Tabela14[[#This Row],[Tensão (Pa)]]/1000000</f>
        <v>1.4474363152463203</v>
      </c>
    </row>
    <row r="73" spans="1:6" x14ac:dyDescent="0.3">
      <c r="A73" s="4">
        <v>13667</v>
      </c>
      <c r="B73" s="1">
        <v>0.10618</v>
      </c>
      <c r="C73" s="4">
        <f>Tabela14[[#This Row],[Alongamento (mm/mm)]]/$I$2</f>
        <v>2.1235999999999998E-3</v>
      </c>
      <c r="D73" s="1">
        <v>64.808000000000007</v>
      </c>
      <c r="E73" s="4">
        <f>Tabela14[[#This Row],[Força (N)]]/$I$5</f>
        <v>1466695.6348559742</v>
      </c>
      <c r="F73" s="4">
        <f>Tabela14[[#This Row],[Tensão (Pa)]]/1000000</f>
        <v>1.4666956348559743</v>
      </c>
    </row>
    <row r="74" spans="1:6" x14ac:dyDescent="0.3">
      <c r="A74" s="4">
        <v>13833</v>
      </c>
      <c r="B74" s="1">
        <v>0.10758</v>
      </c>
      <c r="C74" s="4">
        <f>Tabela14[[#This Row],[Alongamento (mm/mm)]]/$I$2</f>
        <v>2.1516E-3</v>
      </c>
      <c r="D74" s="1">
        <v>65.658000000000001</v>
      </c>
      <c r="E74" s="4">
        <f>Tabela14[[#This Row],[Força (N)]]/$I$5</f>
        <v>1485932.3230677315</v>
      </c>
      <c r="F74" s="4">
        <f>Tabela14[[#This Row],[Tensão (Pa)]]/1000000</f>
        <v>1.4859323230677315</v>
      </c>
    </row>
    <row r="75" spans="1:6" x14ac:dyDescent="0.3">
      <c r="A75" s="4">
        <v>14000</v>
      </c>
      <c r="B75" s="1">
        <v>0.10897</v>
      </c>
      <c r="C75" s="4">
        <f>Tabela14[[#This Row],[Alongamento (mm/mm)]]/$I$2</f>
        <v>2.1793999999999997E-3</v>
      </c>
      <c r="D75" s="1">
        <v>66.509</v>
      </c>
      <c r="E75" s="4">
        <f>Tabela14[[#This Row],[Força (N)]]/$I$5</f>
        <v>1505191.6426773851</v>
      </c>
      <c r="F75" s="4">
        <f>Tabela14[[#This Row],[Tensão (Pa)]]/1000000</f>
        <v>1.505191642677385</v>
      </c>
    </row>
    <row r="76" spans="1:6" x14ac:dyDescent="0.3">
      <c r="A76" s="4">
        <v>14167</v>
      </c>
      <c r="B76" s="1">
        <v>0.11037</v>
      </c>
      <c r="C76" s="4">
        <f>Tabela14[[#This Row],[Alongamento (mm/mm)]]/$I$2</f>
        <v>2.2074E-3</v>
      </c>
      <c r="D76" s="1">
        <v>67.358999999999995</v>
      </c>
      <c r="E76" s="4">
        <f>Tabela14[[#This Row],[Força (N)]]/$I$5</f>
        <v>1524428.3308891424</v>
      </c>
      <c r="F76" s="4">
        <f>Tabela14[[#This Row],[Tensão (Pa)]]/1000000</f>
        <v>1.5244283308891424</v>
      </c>
    </row>
    <row r="77" spans="1:6" x14ac:dyDescent="0.3">
      <c r="A77" s="4">
        <v>14333</v>
      </c>
      <c r="B77" s="1">
        <v>0.11176</v>
      </c>
      <c r="C77" s="4">
        <f>Tabela14[[#This Row],[Alongamento (mm/mm)]]/$I$2</f>
        <v>2.2352000000000001E-3</v>
      </c>
      <c r="D77" s="1">
        <v>68.38</v>
      </c>
      <c r="E77" s="4">
        <f>Tabela14[[#This Row],[Força (N)]]/$I$5</f>
        <v>1547534.9881411477</v>
      </c>
      <c r="F77" s="4">
        <f>Tabela14[[#This Row],[Tensão (Pa)]]/1000000</f>
        <v>1.5475349881411478</v>
      </c>
    </row>
    <row r="78" spans="1:6" x14ac:dyDescent="0.3">
      <c r="A78" s="4">
        <v>14500</v>
      </c>
      <c r="B78" s="1">
        <v>0.11316</v>
      </c>
      <c r="C78" s="4">
        <f>Tabela14[[#This Row],[Alongamento (mm/mm)]]/$I$2</f>
        <v>2.2631999999999999E-3</v>
      </c>
      <c r="D78" s="1">
        <v>69.23</v>
      </c>
      <c r="E78" s="4">
        <f>Tabela14[[#This Row],[Força (N)]]/$I$5</f>
        <v>1566771.6763529053</v>
      </c>
      <c r="F78" s="4">
        <f>Tabela14[[#This Row],[Tensão (Pa)]]/1000000</f>
        <v>1.5667716763529054</v>
      </c>
    </row>
    <row r="79" spans="1:6" x14ac:dyDescent="0.3">
      <c r="A79" s="4">
        <v>14667</v>
      </c>
      <c r="B79" s="1">
        <v>0.11455</v>
      </c>
      <c r="C79" s="4">
        <f>Tabela14[[#This Row],[Alongamento (mm/mm)]]/$I$2</f>
        <v>2.2910000000000001E-3</v>
      </c>
      <c r="D79" s="1">
        <v>70.081000000000003</v>
      </c>
      <c r="E79" s="4">
        <f>Tabela14[[#This Row],[Força (N)]]/$I$5</f>
        <v>1586030.9959625588</v>
      </c>
      <c r="F79" s="4">
        <f>Tabela14[[#This Row],[Tensão (Pa)]]/1000000</f>
        <v>1.5860309959625587</v>
      </c>
    </row>
    <row r="80" spans="1:6" x14ac:dyDescent="0.3">
      <c r="A80" s="4">
        <v>14833</v>
      </c>
      <c r="B80" s="1">
        <v>0.11586</v>
      </c>
      <c r="C80" s="4">
        <f>Tabela14[[#This Row],[Alongamento (mm/mm)]]/$I$2</f>
        <v>2.3172000000000002E-3</v>
      </c>
      <c r="D80" s="1">
        <v>70.930999999999997</v>
      </c>
      <c r="E80" s="4">
        <f>Tabela14[[#This Row],[Força (N)]]/$I$5</f>
        <v>1605267.6841743162</v>
      </c>
      <c r="F80" s="4">
        <f>Tabela14[[#This Row],[Tensão (Pa)]]/1000000</f>
        <v>1.6052676841743163</v>
      </c>
    </row>
    <row r="81" spans="1:6" x14ac:dyDescent="0.3">
      <c r="A81" s="4">
        <v>15000</v>
      </c>
      <c r="B81" s="1">
        <v>0.11735</v>
      </c>
      <c r="C81" s="4">
        <f>Tabela14[[#This Row],[Alongamento (mm/mm)]]/$I$2</f>
        <v>2.3470000000000001E-3</v>
      </c>
      <c r="D81" s="1">
        <v>71.781999999999996</v>
      </c>
      <c r="E81" s="4">
        <f>Tabela14[[#This Row],[Força (N)]]/$I$5</f>
        <v>1624527.0037839699</v>
      </c>
      <c r="F81" s="4">
        <f>Tabela14[[#This Row],[Tensão (Pa)]]/1000000</f>
        <v>1.6245270037839699</v>
      </c>
    </row>
    <row r="82" spans="1:6" x14ac:dyDescent="0.3">
      <c r="A82" s="4">
        <v>15167</v>
      </c>
      <c r="B82" s="1">
        <v>0.11874</v>
      </c>
      <c r="C82" s="4">
        <f>Tabela14[[#This Row],[Alongamento (mm/mm)]]/$I$2</f>
        <v>2.3747999999999998E-3</v>
      </c>
      <c r="D82" s="1">
        <v>72.632000000000005</v>
      </c>
      <c r="E82" s="4">
        <f>Tabela14[[#This Row],[Força (N)]]/$I$5</f>
        <v>1643763.6919957276</v>
      </c>
      <c r="F82" s="4">
        <f>Tabela14[[#This Row],[Tensão (Pa)]]/1000000</f>
        <v>1.6437636919957277</v>
      </c>
    </row>
    <row r="83" spans="1:6" x14ac:dyDescent="0.3">
      <c r="A83" s="4">
        <v>15333</v>
      </c>
      <c r="B83" s="1">
        <v>0.12003999999999999</v>
      </c>
      <c r="C83" s="4">
        <f>Tabela14[[#This Row],[Alongamento (mm/mm)]]/$I$2</f>
        <v>2.4007999999999998E-3</v>
      </c>
      <c r="D83" s="1">
        <v>73.483000000000004</v>
      </c>
      <c r="E83" s="4">
        <f>Tabela14[[#This Row],[Força (N)]]/$I$5</f>
        <v>1663023.0116053813</v>
      </c>
      <c r="F83" s="4">
        <f>Tabela14[[#This Row],[Tensão (Pa)]]/1000000</f>
        <v>1.6630230116053812</v>
      </c>
    </row>
    <row r="84" spans="1:6" x14ac:dyDescent="0.3">
      <c r="A84" s="4">
        <v>15500</v>
      </c>
      <c r="B84" s="1">
        <v>0.12144000000000001</v>
      </c>
      <c r="C84" s="4">
        <f>Tabela14[[#This Row],[Alongamento (mm/mm)]]/$I$2</f>
        <v>2.4288000000000001E-3</v>
      </c>
      <c r="D84" s="1">
        <v>74.332999999999998</v>
      </c>
      <c r="E84" s="4">
        <f>Tabela14[[#This Row],[Força (N)]]/$I$5</f>
        <v>1682259.6998171385</v>
      </c>
      <c r="F84" s="4">
        <f>Tabela14[[#This Row],[Tensão (Pa)]]/1000000</f>
        <v>1.6822596998171384</v>
      </c>
    </row>
    <row r="85" spans="1:6" x14ac:dyDescent="0.3">
      <c r="A85" s="4">
        <v>15667</v>
      </c>
      <c r="B85" s="1">
        <v>0.12284</v>
      </c>
      <c r="C85" s="4">
        <f>Tabela14[[#This Row],[Alongamento (mm/mm)]]/$I$2</f>
        <v>2.4568000000000003E-3</v>
      </c>
      <c r="D85" s="1">
        <v>75.183999999999997</v>
      </c>
      <c r="E85" s="4">
        <f>Tabela14[[#This Row],[Força (N)]]/$I$5</f>
        <v>1701519.0194267922</v>
      </c>
      <c r="F85" s="4">
        <f>Tabela14[[#This Row],[Tensão (Pa)]]/1000000</f>
        <v>1.7015190194267922</v>
      </c>
    </row>
    <row r="86" spans="1:6" x14ac:dyDescent="0.3">
      <c r="A86" s="4">
        <v>15833</v>
      </c>
      <c r="B86" s="1">
        <v>0.12422999999999999</v>
      </c>
      <c r="C86" s="4">
        <f>Tabela14[[#This Row],[Alongamento (mm/mm)]]/$I$2</f>
        <v>2.4846E-3</v>
      </c>
      <c r="D86" s="1">
        <v>76.034000000000006</v>
      </c>
      <c r="E86" s="4">
        <f>Tabela14[[#This Row],[Força (N)]]/$I$5</f>
        <v>1720755.7076385499</v>
      </c>
      <c r="F86" s="4">
        <f>Tabela14[[#This Row],[Tensão (Pa)]]/1000000</f>
        <v>1.7207557076385498</v>
      </c>
    </row>
    <row r="87" spans="1:6" x14ac:dyDescent="0.3">
      <c r="A87" s="4">
        <v>16000</v>
      </c>
      <c r="B87" s="1">
        <v>0.12562999999999999</v>
      </c>
      <c r="C87" s="4">
        <f>Tabela14[[#This Row],[Alongamento (mm/mm)]]/$I$2</f>
        <v>2.5125999999999998E-3</v>
      </c>
      <c r="D87" s="1">
        <v>76.885000000000005</v>
      </c>
      <c r="E87" s="4">
        <f>Tabela14[[#This Row],[Força (N)]]/$I$5</f>
        <v>1740015.0272482035</v>
      </c>
      <c r="F87" s="4">
        <f>Tabela14[[#This Row],[Tensão (Pa)]]/1000000</f>
        <v>1.7400150272482036</v>
      </c>
    </row>
    <row r="88" spans="1:6" x14ac:dyDescent="0.3">
      <c r="A88" s="4">
        <v>16167</v>
      </c>
      <c r="B88" s="1">
        <v>0.12701999999999999</v>
      </c>
      <c r="C88" s="4">
        <f>Tabela14[[#This Row],[Alongamento (mm/mm)]]/$I$2</f>
        <v>2.5403999999999999E-3</v>
      </c>
      <c r="D88" s="1">
        <v>77.734999999999999</v>
      </c>
      <c r="E88" s="4">
        <f>Tabela14[[#This Row],[Força (N)]]/$I$5</f>
        <v>1759251.7154599607</v>
      </c>
      <c r="F88" s="4">
        <f>Tabela14[[#This Row],[Tensão (Pa)]]/1000000</f>
        <v>1.7592517154599607</v>
      </c>
    </row>
    <row r="89" spans="1:6" x14ac:dyDescent="0.3">
      <c r="A89" s="4">
        <v>16333</v>
      </c>
      <c r="B89" s="1">
        <v>0.12842000000000001</v>
      </c>
      <c r="C89" s="4">
        <f>Tabela14[[#This Row],[Alongamento (mm/mm)]]/$I$2</f>
        <v>2.5684000000000002E-3</v>
      </c>
      <c r="D89" s="1">
        <v>78.756</v>
      </c>
      <c r="E89" s="4">
        <f>Tabela14[[#This Row],[Força (N)]]/$I$5</f>
        <v>1782358.3727119658</v>
      </c>
      <c r="F89" s="4">
        <f>Tabela14[[#This Row],[Tensão (Pa)]]/1000000</f>
        <v>1.7823583727119658</v>
      </c>
    </row>
    <row r="90" spans="1:6" x14ac:dyDescent="0.3">
      <c r="A90" s="4">
        <v>16500</v>
      </c>
      <c r="B90" s="1">
        <v>0.12981999999999999</v>
      </c>
      <c r="C90" s="4">
        <f>Tabela14[[#This Row],[Alongamento (mm/mm)]]/$I$2</f>
        <v>2.5964E-3</v>
      </c>
      <c r="D90" s="1">
        <v>79.436000000000007</v>
      </c>
      <c r="E90" s="4">
        <f>Tabela14[[#This Row],[Força (N)]]/$I$5</f>
        <v>1797747.7232813721</v>
      </c>
      <c r="F90" s="4">
        <f>Tabela14[[#This Row],[Tensão (Pa)]]/1000000</f>
        <v>1.7977477232813721</v>
      </c>
    </row>
    <row r="91" spans="1:6" x14ac:dyDescent="0.3">
      <c r="A91" s="4">
        <v>16667</v>
      </c>
      <c r="B91" s="1">
        <v>0.13111999999999999</v>
      </c>
      <c r="C91" s="4">
        <f>Tabela14[[#This Row],[Alongamento (mm/mm)]]/$I$2</f>
        <v>2.6223999999999996E-3</v>
      </c>
      <c r="D91" s="1">
        <v>80.287000000000006</v>
      </c>
      <c r="E91" s="4">
        <f>Tabela14[[#This Row],[Força (N)]]/$I$5</f>
        <v>1817007.0428910258</v>
      </c>
      <c r="F91" s="4">
        <f>Tabela14[[#This Row],[Tensão (Pa)]]/1000000</f>
        <v>1.8170070428910259</v>
      </c>
    </row>
    <row r="92" spans="1:6" x14ac:dyDescent="0.3">
      <c r="A92" s="4">
        <v>16833</v>
      </c>
      <c r="B92" s="1">
        <v>0.13261000000000001</v>
      </c>
      <c r="C92" s="4">
        <f>Tabela14[[#This Row],[Alongamento (mm/mm)]]/$I$2</f>
        <v>2.6522E-3</v>
      </c>
      <c r="D92" s="1">
        <v>81.307000000000002</v>
      </c>
      <c r="E92" s="4">
        <f>Tabela14[[#This Row],[Força (N)]]/$I$5</f>
        <v>1840091.0687451346</v>
      </c>
      <c r="F92" s="4">
        <f>Tabela14[[#This Row],[Tensão (Pa)]]/1000000</f>
        <v>1.8400910687451346</v>
      </c>
    </row>
    <row r="93" spans="1:6" x14ac:dyDescent="0.3">
      <c r="A93" s="4">
        <v>17000</v>
      </c>
      <c r="B93" s="1">
        <v>0.13400000000000001</v>
      </c>
      <c r="C93" s="4">
        <f>Tabela14[[#This Row],[Alongamento (mm/mm)]]/$I$2</f>
        <v>2.6800000000000001E-3</v>
      </c>
      <c r="D93" s="1">
        <v>82.158000000000001</v>
      </c>
      <c r="E93" s="4">
        <f>Tabela14[[#This Row],[Força (N)]]/$I$5</f>
        <v>1859350.3883547881</v>
      </c>
      <c r="F93" s="4">
        <f>Tabela14[[#This Row],[Tensão (Pa)]]/1000000</f>
        <v>1.8593503883547882</v>
      </c>
    </row>
    <row r="94" spans="1:6" x14ac:dyDescent="0.3">
      <c r="A94" s="4">
        <v>17167</v>
      </c>
      <c r="B94" s="1">
        <v>0.13539999999999999</v>
      </c>
      <c r="C94" s="4">
        <f>Tabela14[[#This Row],[Alongamento (mm/mm)]]/$I$2</f>
        <v>2.7079999999999999E-3</v>
      </c>
      <c r="D94" s="1">
        <v>83.007999999999996</v>
      </c>
      <c r="E94" s="4">
        <f>Tabela14[[#This Row],[Força (N)]]/$I$5</f>
        <v>1878587.0765665455</v>
      </c>
      <c r="F94" s="4">
        <f>Tabela14[[#This Row],[Tensão (Pa)]]/1000000</f>
        <v>1.8785870765665456</v>
      </c>
    </row>
    <row r="95" spans="1:6" x14ac:dyDescent="0.3">
      <c r="A95" s="4">
        <v>17333</v>
      </c>
      <c r="B95" s="1">
        <v>0.13669999999999999</v>
      </c>
      <c r="C95" s="4">
        <f>Tabela14[[#This Row],[Alongamento (mm/mm)]]/$I$2</f>
        <v>2.7339999999999999E-3</v>
      </c>
      <c r="D95" s="1">
        <v>83.858999999999995</v>
      </c>
      <c r="E95" s="4">
        <f>Tabela14[[#This Row],[Força (N)]]/$I$5</f>
        <v>1897846.3961761992</v>
      </c>
      <c r="F95" s="4">
        <f>Tabela14[[#This Row],[Tensão (Pa)]]/1000000</f>
        <v>1.8978463961761991</v>
      </c>
    </row>
    <row r="96" spans="1:6" x14ac:dyDescent="0.3">
      <c r="A96" s="4">
        <v>17500</v>
      </c>
      <c r="B96" s="1">
        <v>0.1381</v>
      </c>
      <c r="C96" s="4">
        <f>Tabela14[[#This Row],[Alongamento (mm/mm)]]/$I$2</f>
        <v>2.7620000000000001E-3</v>
      </c>
      <c r="D96" s="1">
        <v>84.709000000000003</v>
      </c>
      <c r="E96" s="4">
        <f>Tabela14[[#This Row],[Força (N)]]/$I$5</f>
        <v>1917083.0843879569</v>
      </c>
      <c r="F96" s="4">
        <f>Tabela14[[#This Row],[Tensão (Pa)]]/1000000</f>
        <v>1.9170830843879569</v>
      </c>
    </row>
    <row r="97" spans="1:6" x14ac:dyDescent="0.3">
      <c r="A97" s="4">
        <v>17667</v>
      </c>
      <c r="B97" s="1">
        <v>0.13949</v>
      </c>
      <c r="C97" s="4">
        <f>Tabela14[[#This Row],[Alongamento (mm/mm)]]/$I$2</f>
        <v>2.7898000000000003E-3</v>
      </c>
      <c r="D97" s="1">
        <v>85.56</v>
      </c>
      <c r="E97" s="4">
        <f>Tabela14[[#This Row],[Força (N)]]/$I$5</f>
        <v>1936342.4039976103</v>
      </c>
      <c r="F97" s="4">
        <f>Tabela14[[#This Row],[Tensão (Pa)]]/1000000</f>
        <v>1.9363424039976103</v>
      </c>
    </row>
    <row r="98" spans="1:6" x14ac:dyDescent="0.3">
      <c r="A98" s="4">
        <v>17833</v>
      </c>
      <c r="B98" s="1">
        <v>0.14088999999999999</v>
      </c>
      <c r="C98" s="4">
        <f>Tabela14[[#This Row],[Alongamento (mm/mm)]]/$I$2</f>
        <v>2.8177999999999996E-3</v>
      </c>
      <c r="D98" s="1">
        <v>86.41</v>
      </c>
      <c r="E98" s="4">
        <f>Tabela14[[#This Row],[Força (N)]]/$I$5</f>
        <v>1955579.0922093678</v>
      </c>
      <c r="F98" s="4">
        <f>Tabela14[[#This Row],[Tensão (Pa)]]/1000000</f>
        <v>1.9555790922093679</v>
      </c>
    </row>
    <row r="99" spans="1:6" x14ac:dyDescent="0.3">
      <c r="A99" s="4">
        <v>18000</v>
      </c>
      <c r="B99" s="1">
        <v>0.14229</v>
      </c>
      <c r="C99" s="4">
        <f>Tabela14[[#This Row],[Alongamento (mm/mm)]]/$I$2</f>
        <v>2.8457999999999999E-3</v>
      </c>
      <c r="D99" s="1">
        <v>87.260999999999996</v>
      </c>
      <c r="E99" s="4">
        <f>Tabela14[[#This Row],[Força (N)]]/$I$5</f>
        <v>1974838.4118190215</v>
      </c>
      <c r="F99" s="4">
        <f>Tabela14[[#This Row],[Tensão (Pa)]]/1000000</f>
        <v>1.9748384118190214</v>
      </c>
    </row>
    <row r="100" spans="1:6" x14ac:dyDescent="0.3">
      <c r="A100" s="4">
        <v>18167</v>
      </c>
      <c r="B100" s="1">
        <v>0.14377000000000001</v>
      </c>
      <c r="C100" s="4">
        <f>Tabela14[[#This Row],[Alongamento (mm/mm)]]/$I$2</f>
        <v>2.8754000000000002E-3</v>
      </c>
      <c r="D100" s="1">
        <v>88.111000000000004</v>
      </c>
      <c r="E100" s="4">
        <f>Tabela14[[#This Row],[Força (N)]]/$I$5</f>
        <v>1994075.1000307791</v>
      </c>
      <c r="F100" s="4">
        <f>Tabela14[[#This Row],[Tensão (Pa)]]/1000000</f>
        <v>1.994075100030779</v>
      </c>
    </row>
    <row r="101" spans="1:6" x14ac:dyDescent="0.3">
      <c r="A101" s="4">
        <v>18333</v>
      </c>
      <c r="B101" s="1">
        <v>0.14507999999999999</v>
      </c>
      <c r="C101" s="4">
        <f>Tabela14[[#This Row],[Alongamento (mm/mm)]]/$I$2</f>
        <v>2.9015999999999998E-3</v>
      </c>
      <c r="D101" s="1">
        <v>88.962000000000003</v>
      </c>
      <c r="E101" s="4">
        <f>Tabela14[[#This Row],[Força (N)]]/$I$5</f>
        <v>2013334.4196404326</v>
      </c>
      <c r="F101" s="4">
        <f>Tabela14[[#This Row],[Tensão (Pa)]]/1000000</f>
        <v>2.0133344196404326</v>
      </c>
    </row>
    <row r="102" spans="1:6" x14ac:dyDescent="0.3">
      <c r="A102" s="4">
        <v>18500</v>
      </c>
      <c r="B102" s="1">
        <v>0.14638000000000001</v>
      </c>
      <c r="C102" s="4">
        <f>Tabela14[[#This Row],[Alongamento (mm/mm)]]/$I$2</f>
        <v>2.9276000000000003E-3</v>
      </c>
      <c r="D102" s="1">
        <v>89.811999999999998</v>
      </c>
      <c r="E102" s="4">
        <f>Tabela14[[#This Row],[Força (N)]]/$I$5</f>
        <v>2032571.10785219</v>
      </c>
      <c r="F102" s="4">
        <f>Tabela14[[#This Row],[Tensão (Pa)]]/1000000</f>
        <v>2.0325711078521902</v>
      </c>
    </row>
    <row r="103" spans="1:6" x14ac:dyDescent="0.3">
      <c r="A103" s="4">
        <v>18667</v>
      </c>
      <c r="B103" s="1">
        <v>0.14787</v>
      </c>
      <c r="C103" s="4">
        <f>Tabela14[[#This Row],[Alongamento (mm/mm)]]/$I$2</f>
        <v>2.9574000000000002E-3</v>
      </c>
      <c r="D103" s="1">
        <v>90.662999999999997</v>
      </c>
      <c r="E103" s="4">
        <f>Tabela14[[#This Row],[Força (N)]]/$I$5</f>
        <v>2051830.4274618437</v>
      </c>
      <c r="F103" s="4">
        <f>Tabela14[[#This Row],[Tensão (Pa)]]/1000000</f>
        <v>2.0518304274618435</v>
      </c>
    </row>
    <row r="104" spans="1:6" x14ac:dyDescent="0.3">
      <c r="A104" s="4">
        <v>18833</v>
      </c>
      <c r="B104" s="1">
        <v>0.14927000000000001</v>
      </c>
      <c r="C104" s="4">
        <f>Tabela14[[#This Row],[Alongamento (mm/mm)]]/$I$2</f>
        <v>2.9854000000000005E-3</v>
      </c>
      <c r="D104" s="1">
        <v>91.513000000000005</v>
      </c>
      <c r="E104" s="4">
        <f>Tabela14[[#This Row],[Força (N)]]/$I$5</f>
        <v>2071067.1156736014</v>
      </c>
      <c r="F104" s="4">
        <f>Tabela14[[#This Row],[Tensão (Pa)]]/1000000</f>
        <v>2.0710671156736016</v>
      </c>
    </row>
    <row r="105" spans="1:6" x14ac:dyDescent="0.3">
      <c r="A105" s="4">
        <v>19000</v>
      </c>
      <c r="B105" s="1">
        <v>0.15065999999999999</v>
      </c>
      <c r="C105" s="4">
        <f>Tabela14[[#This Row],[Alongamento (mm/mm)]]/$I$2</f>
        <v>3.0131999999999997E-3</v>
      </c>
      <c r="D105" s="1">
        <v>92.194000000000003</v>
      </c>
      <c r="E105" s="4">
        <f>Tabela14[[#This Row],[Força (N)]]/$I$5</f>
        <v>2086479.0976409034</v>
      </c>
      <c r="F105" s="4">
        <f>Tabela14[[#This Row],[Tensão (Pa)]]/1000000</f>
        <v>2.0864790976409036</v>
      </c>
    </row>
    <row r="106" spans="1:6" x14ac:dyDescent="0.3">
      <c r="A106" s="4">
        <v>19167</v>
      </c>
      <c r="B106" s="1">
        <v>0.15196000000000001</v>
      </c>
      <c r="C106" s="4">
        <f>Tabela14[[#This Row],[Alongamento (mm/mm)]]/$I$2</f>
        <v>3.0392000000000001E-3</v>
      </c>
      <c r="D106" s="1">
        <v>93.043999999999997</v>
      </c>
      <c r="E106" s="4">
        <f>Tabela14[[#This Row],[Força (N)]]/$I$5</f>
        <v>2105715.7858526609</v>
      </c>
      <c r="F106" s="4">
        <f>Tabela14[[#This Row],[Tensão (Pa)]]/1000000</f>
        <v>2.1057157858526607</v>
      </c>
    </row>
    <row r="107" spans="1:6" x14ac:dyDescent="0.3">
      <c r="A107" s="4">
        <v>19333</v>
      </c>
      <c r="B107" s="1">
        <v>0.15336</v>
      </c>
      <c r="C107" s="4">
        <f>Tabela14[[#This Row],[Alongamento (mm/mm)]]/$I$2</f>
        <v>3.0672E-3</v>
      </c>
      <c r="D107" s="1">
        <v>93.894999999999996</v>
      </c>
      <c r="E107" s="4">
        <f>Tabela14[[#This Row],[Força (N)]]/$I$5</f>
        <v>2124975.1054623146</v>
      </c>
      <c r="F107" s="4">
        <f>Tabela14[[#This Row],[Tensão (Pa)]]/1000000</f>
        <v>2.1249751054623145</v>
      </c>
    </row>
    <row r="108" spans="1:6" x14ac:dyDescent="0.3">
      <c r="A108" s="4">
        <v>19500</v>
      </c>
      <c r="B108" s="1">
        <v>0.15476000000000001</v>
      </c>
      <c r="C108" s="4">
        <f>Tabela14[[#This Row],[Alongamento (mm/mm)]]/$I$2</f>
        <v>3.0952000000000002E-3</v>
      </c>
      <c r="D108" s="1">
        <v>94.745000000000005</v>
      </c>
      <c r="E108" s="4">
        <f>Tabela14[[#This Row],[Força (N)]]/$I$5</f>
        <v>2144211.7936740723</v>
      </c>
      <c r="F108" s="4">
        <f>Tabela14[[#This Row],[Tensão (Pa)]]/1000000</f>
        <v>2.1442117936740721</v>
      </c>
    </row>
    <row r="109" spans="1:6" x14ac:dyDescent="0.3">
      <c r="A109" s="4">
        <v>19667</v>
      </c>
      <c r="B109" s="1">
        <v>0.15615000000000001</v>
      </c>
      <c r="C109" s="4">
        <f>Tabela14[[#This Row],[Alongamento (mm/mm)]]/$I$2</f>
        <v>3.1230000000000003E-3</v>
      </c>
      <c r="D109" s="1">
        <v>95.596000000000004</v>
      </c>
      <c r="E109" s="4">
        <f>Tabela14[[#This Row],[Força (N)]]/$I$5</f>
        <v>2163471.1132837255</v>
      </c>
      <c r="F109" s="4">
        <f>Tabela14[[#This Row],[Tensão (Pa)]]/1000000</f>
        <v>2.1634711132837254</v>
      </c>
    </row>
    <row r="110" spans="1:6" x14ac:dyDescent="0.3">
      <c r="A110" s="4">
        <v>19833</v>
      </c>
      <c r="B110" s="1">
        <v>0.15755</v>
      </c>
      <c r="C110" s="4">
        <f>Tabela14[[#This Row],[Alongamento (mm/mm)]]/$I$2</f>
        <v>3.1509999999999997E-3</v>
      </c>
      <c r="D110" s="1">
        <v>96.445999999999998</v>
      </c>
      <c r="E110" s="4">
        <f>Tabela14[[#This Row],[Força (N)]]/$I$5</f>
        <v>2182707.8014954831</v>
      </c>
      <c r="F110" s="4">
        <f>Tabela14[[#This Row],[Tensão (Pa)]]/1000000</f>
        <v>2.182707801495483</v>
      </c>
    </row>
    <row r="111" spans="1:6" x14ac:dyDescent="0.3">
      <c r="A111" s="4">
        <v>20000</v>
      </c>
      <c r="B111" s="1">
        <v>0.15903999999999999</v>
      </c>
      <c r="C111" s="4">
        <f>Tabela14[[#This Row],[Alongamento (mm/mm)]]/$I$2</f>
        <v>3.1807999999999997E-3</v>
      </c>
      <c r="D111" s="1">
        <v>97.296999999999997</v>
      </c>
      <c r="E111" s="4">
        <f>Tabela14[[#This Row],[Força (N)]]/$I$5</f>
        <v>2201967.1211051368</v>
      </c>
      <c r="F111" s="4">
        <f>Tabela14[[#This Row],[Tensão (Pa)]]/1000000</f>
        <v>2.2019671211051368</v>
      </c>
    </row>
    <row r="112" spans="1:6" x14ac:dyDescent="0.3">
      <c r="A112" s="4">
        <v>20167</v>
      </c>
      <c r="B112" s="1">
        <v>0.16042999999999999</v>
      </c>
      <c r="C112" s="4">
        <f>Tabela14[[#This Row],[Alongamento (mm/mm)]]/$I$2</f>
        <v>3.2085999999999998E-3</v>
      </c>
      <c r="D112" s="1">
        <v>98.147000000000006</v>
      </c>
      <c r="E112" s="4">
        <f>Tabela14[[#This Row],[Força (N)]]/$I$5</f>
        <v>2221203.8093168945</v>
      </c>
      <c r="F112" s="4">
        <f>Tabela14[[#This Row],[Tensão (Pa)]]/1000000</f>
        <v>2.2212038093168944</v>
      </c>
    </row>
    <row r="113" spans="1:6" x14ac:dyDescent="0.3">
      <c r="A113" s="4">
        <v>20333</v>
      </c>
      <c r="B113" s="1">
        <v>0.16173000000000001</v>
      </c>
      <c r="C113" s="4">
        <f>Tabela14[[#This Row],[Alongamento (mm/mm)]]/$I$2</f>
        <v>3.2346000000000002E-3</v>
      </c>
      <c r="D113" s="1">
        <v>98.998000000000005</v>
      </c>
      <c r="E113" s="4">
        <f>Tabela14[[#This Row],[Força (N)]]/$I$5</f>
        <v>2240463.1289265477</v>
      </c>
      <c r="F113" s="4">
        <f>Tabela14[[#This Row],[Tensão (Pa)]]/1000000</f>
        <v>2.2404631289265478</v>
      </c>
    </row>
    <row r="114" spans="1:6" x14ac:dyDescent="0.3">
      <c r="A114" s="4">
        <v>20500</v>
      </c>
      <c r="B114" s="1">
        <v>0.16313</v>
      </c>
      <c r="C114" s="4">
        <f>Tabela14[[#This Row],[Alongamento (mm/mm)]]/$I$2</f>
        <v>3.2626E-3</v>
      </c>
      <c r="D114" s="1">
        <v>99.847999999999999</v>
      </c>
      <c r="E114" s="4">
        <f>Tabela14[[#This Row],[Força (N)]]/$I$5</f>
        <v>2259699.8171383054</v>
      </c>
      <c r="F114" s="4">
        <f>Tabela14[[#This Row],[Tensão (Pa)]]/1000000</f>
        <v>2.2596998171383054</v>
      </c>
    </row>
    <row r="115" spans="1:6" x14ac:dyDescent="0.3">
      <c r="A115" s="4">
        <v>20667</v>
      </c>
      <c r="B115" s="1">
        <v>0.16453000000000001</v>
      </c>
      <c r="C115" s="4">
        <f>Tabela14[[#This Row],[Alongamento (mm/mm)]]/$I$2</f>
        <v>3.2906000000000003E-3</v>
      </c>
      <c r="D115" s="1">
        <v>100.7</v>
      </c>
      <c r="E115" s="4">
        <f>Tabela14[[#This Row],[Força (N)]]/$I$5</f>
        <v>2278981.7681458551</v>
      </c>
      <c r="F115" s="4">
        <f>Tabela14[[#This Row],[Tensão (Pa)]]/1000000</f>
        <v>2.2789817681458548</v>
      </c>
    </row>
    <row r="116" spans="1:6" x14ac:dyDescent="0.3">
      <c r="A116" s="4">
        <v>20833</v>
      </c>
      <c r="B116" s="1">
        <v>0.16592000000000001</v>
      </c>
      <c r="C116" s="4">
        <f>Tabela14[[#This Row],[Alongamento (mm/mm)]]/$I$2</f>
        <v>3.3184000000000004E-3</v>
      </c>
      <c r="D116" s="1">
        <v>101.55</v>
      </c>
      <c r="E116" s="4">
        <f>Tabela14[[#This Row],[Força (N)]]/$I$5</f>
        <v>2298218.4563576127</v>
      </c>
      <c r="F116" s="4">
        <f>Tabela14[[#This Row],[Tensão (Pa)]]/1000000</f>
        <v>2.2982184563576129</v>
      </c>
    </row>
    <row r="117" spans="1:6" x14ac:dyDescent="0.3">
      <c r="A117" s="4">
        <v>21000</v>
      </c>
      <c r="B117" s="1">
        <v>0.16722999999999999</v>
      </c>
      <c r="C117" s="4">
        <f>Tabela14[[#This Row],[Alongamento (mm/mm)]]/$I$2</f>
        <v>3.3445999999999997E-3</v>
      </c>
      <c r="D117" s="1">
        <v>102.4</v>
      </c>
      <c r="E117" s="4">
        <f>Tabela14[[#This Row],[Força (N)]]/$I$5</f>
        <v>2317455.14456937</v>
      </c>
      <c r="F117" s="4">
        <f>Tabela14[[#This Row],[Tensão (Pa)]]/1000000</f>
        <v>2.3174551445693701</v>
      </c>
    </row>
    <row r="118" spans="1:6" x14ac:dyDescent="0.3">
      <c r="A118" s="4">
        <v>21167</v>
      </c>
      <c r="B118" s="1">
        <v>0.16871</v>
      </c>
      <c r="C118" s="4">
        <f>Tabela14[[#This Row],[Alongamento (mm/mm)]]/$I$2</f>
        <v>3.3741999999999999E-3</v>
      </c>
      <c r="D118" s="1">
        <v>103.25</v>
      </c>
      <c r="E118" s="4">
        <f>Tabela14[[#This Row],[Força (N)]]/$I$5</f>
        <v>2336691.8327811277</v>
      </c>
      <c r="F118" s="4">
        <f>Tabela14[[#This Row],[Tensão (Pa)]]/1000000</f>
        <v>2.3366918327811277</v>
      </c>
    </row>
    <row r="119" spans="1:6" x14ac:dyDescent="0.3">
      <c r="A119" s="4">
        <v>21333</v>
      </c>
      <c r="B119" s="1">
        <v>0.17011000000000001</v>
      </c>
      <c r="C119" s="4">
        <f>Tabela14[[#This Row],[Alongamento (mm/mm)]]/$I$2</f>
        <v>3.4022000000000002E-3</v>
      </c>
      <c r="D119" s="1">
        <v>103.93</v>
      </c>
      <c r="E119" s="4">
        <f>Tabela14[[#This Row],[Força (N)]]/$I$5</f>
        <v>2352081.1833505337</v>
      </c>
      <c r="F119" s="4">
        <f>Tabela14[[#This Row],[Tensão (Pa)]]/1000000</f>
        <v>2.3520811833505335</v>
      </c>
    </row>
    <row r="120" spans="1:6" x14ac:dyDescent="0.3">
      <c r="A120" s="4">
        <v>21500</v>
      </c>
      <c r="B120" s="1">
        <v>0.17151</v>
      </c>
      <c r="C120" s="4">
        <f>Tabela14[[#This Row],[Alongamento (mm/mm)]]/$I$2</f>
        <v>3.4302E-3</v>
      </c>
      <c r="D120" s="1">
        <v>104.78</v>
      </c>
      <c r="E120" s="4">
        <f>Tabela14[[#This Row],[Força (N)]]/$I$5</f>
        <v>2371317.8715622909</v>
      </c>
      <c r="F120" s="4">
        <f>Tabela14[[#This Row],[Tensão (Pa)]]/1000000</f>
        <v>2.3713178715622911</v>
      </c>
    </row>
    <row r="121" spans="1:6" x14ac:dyDescent="0.3">
      <c r="A121" s="4">
        <v>21667</v>
      </c>
      <c r="B121" s="1">
        <v>0.17280999999999999</v>
      </c>
      <c r="C121" s="4">
        <f>Tabela14[[#This Row],[Alongamento (mm/mm)]]/$I$2</f>
        <v>3.4562E-3</v>
      </c>
      <c r="D121" s="1">
        <v>105.63</v>
      </c>
      <c r="E121" s="4">
        <f>Tabela14[[#This Row],[Força (N)]]/$I$5</f>
        <v>2390554.5597740482</v>
      </c>
      <c r="F121" s="4">
        <f>Tabela14[[#This Row],[Tensão (Pa)]]/1000000</f>
        <v>2.3905545597740483</v>
      </c>
    </row>
    <row r="122" spans="1:6" x14ac:dyDescent="0.3">
      <c r="A122" s="4">
        <v>21833</v>
      </c>
      <c r="B122" s="1">
        <v>0.17430000000000001</v>
      </c>
      <c r="C122" s="4">
        <f>Tabela14[[#This Row],[Alongamento (mm/mm)]]/$I$2</f>
        <v>3.4860000000000004E-3</v>
      </c>
      <c r="D122" s="1">
        <v>106.48</v>
      </c>
      <c r="E122" s="4">
        <f>Tabela14[[#This Row],[Força (N)]]/$I$5</f>
        <v>2409791.2479858059</v>
      </c>
      <c r="F122" s="4">
        <f>Tabela14[[#This Row],[Tensão (Pa)]]/1000000</f>
        <v>2.4097912479858059</v>
      </c>
    </row>
    <row r="123" spans="1:6" x14ac:dyDescent="0.3">
      <c r="A123" s="4">
        <v>22000</v>
      </c>
      <c r="B123" s="1">
        <v>0.17569000000000001</v>
      </c>
      <c r="C123" s="4">
        <f>Tabela14[[#This Row],[Alongamento (mm/mm)]]/$I$2</f>
        <v>3.5138000000000001E-3</v>
      </c>
      <c r="D123" s="1">
        <v>107.33</v>
      </c>
      <c r="E123" s="4">
        <f>Tabela14[[#This Row],[Força (N)]]/$I$5</f>
        <v>2429027.9361975635</v>
      </c>
      <c r="F123" s="4">
        <f>Tabela14[[#This Row],[Tensão (Pa)]]/1000000</f>
        <v>2.4290279361975635</v>
      </c>
    </row>
    <row r="124" spans="1:6" x14ac:dyDescent="0.3">
      <c r="A124" s="4">
        <v>22167</v>
      </c>
      <c r="B124" s="1">
        <v>0.17699999999999999</v>
      </c>
      <c r="C124" s="4">
        <f>Tabela14[[#This Row],[Alongamento (mm/mm)]]/$I$2</f>
        <v>3.5399999999999997E-3</v>
      </c>
      <c r="D124" s="1">
        <v>108.18</v>
      </c>
      <c r="E124" s="4">
        <f>Tabela14[[#This Row],[Força (N)]]/$I$5</f>
        <v>2448264.6244093208</v>
      </c>
      <c r="F124" s="4">
        <f>Tabela14[[#This Row],[Tensão (Pa)]]/1000000</f>
        <v>2.4482646244093207</v>
      </c>
    </row>
    <row r="125" spans="1:6" x14ac:dyDescent="0.3">
      <c r="A125" s="4">
        <v>22333</v>
      </c>
      <c r="B125" s="1">
        <v>0.17838999999999999</v>
      </c>
      <c r="C125" s="4">
        <f>Tabela14[[#This Row],[Alongamento (mm/mm)]]/$I$2</f>
        <v>3.5677999999999999E-3</v>
      </c>
      <c r="D125" s="1">
        <v>109.03</v>
      </c>
      <c r="E125" s="4">
        <f>Tabela14[[#This Row],[Força (N)]]/$I$5</f>
        <v>2467501.3126210785</v>
      </c>
      <c r="F125" s="4">
        <f>Tabela14[[#This Row],[Tensão (Pa)]]/1000000</f>
        <v>2.4675013126210783</v>
      </c>
    </row>
    <row r="126" spans="1:6" x14ac:dyDescent="0.3">
      <c r="A126" s="4">
        <v>22500</v>
      </c>
      <c r="B126" s="1">
        <v>0.17979000000000001</v>
      </c>
      <c r="C126" s="4">
        <f>Tabela14[[#This Row],[Alongamento (mm/mm)]]/$I$2</f>
        <v>3.5958000000000001E-3</v>
      </c>
      <c r="D126" s="1">
        <v>109.71</v>
      </c>
      <c r="E126" s="4">
        <f>Tabela14[[#This Row],[Força (N)]]/$I$5</f>
        <v>2482890.663190484</v>
      </c>
      <c r="F126" s="4">
        <f>Tabela14[[#This Row],[Tensão (Pa)]]/1000000</f>
        <v>2.4828906631904841</v>
      </c>
    </row>
    <row r="127" spans="1:6" x14ac:dyDescent="0.3">
      <c r="A127" s="4">
        <v>22667</v>
      </c>
      <c r="B127" s="1">
        <v>0.18128</v>
      </c>
      <c r="C127" s="4">
        <f>Tabela14[[#This Row],[Alongamento (mm/mm)]]/$I$2</f>
        <v>3.6256000000000001E-3</v>
      </c>
      <c r="D127" s="1">
        <v>110.56</v>
      </c>
      <c r="E127" s="4">
        <f>Tabela14[[#This Row],[Força (N)]]/$I$5</f>
        <v>2502127.3514022417</v>
      </c>
      <c r="F127" s="4">
        <f>Tabela14[[#This Row],[Tensão (Pa)]]/1000000</f>
        <v>2.5021273514022417</v>
      </c>
    </row>
    <row r="128" spans="1:6" x14ac:dyDescent="0.3">
      <c r="A128" s="4">
        <v>22833</v>
      </c>
      <c r="B128" s="1">
        <v>0.18257999999999999</v>
      </c>
      <c r="C128" s="4">
        <f>Tabela14[[#This Row],[Alongamento (mm/mm)]]/$I$2</f>
        <v>3.6515999999999996E-3</v>
      </c>
      <c r="D128" s="1">
        <v>111.41</v>
      </c>
      <c r="E128" s="4">
        <f>Tabela14[[#This Row],[Força (N)]]/$I$5</f>
        <v>2521364.039613999</v>
      </c>
      <c r="F128" s="4">
        <f>Tabela14[[#This Row],[Tensão (Pa)]]/1000000</f>
        <v>2.5213640396139989</v>
      </c>
    </row>
    <row r="129" spans="1:6" x14ac:dyDescent="0.3">
      <c r="A129" s="4">
        <v>23000</v>
      </c>
      <c r="B129" s="1">
        <v>0.18398</v>
      </c>
      <c r="C129" s="4">
        <f>Tabela14[[#This Row],[Alongamento (mm/mm)]]/$I$2</f>
        <v>3.6795999999999999E-3</v>
      </c>
      <c r="D129" s="1">
        <v>112.27</v>
      </c>
      <c r="E129" s="4">
        <f>Tabela14[[#This Row],[Força (N)]]/$I$5</f>
        <v>2540827.0418047183</v>
      </c>
      <c r="F129" s="4">
        <f>Tabela14[[#This Row],[Tensão (Pa)]]/1000000</f>
        <v>2.5408270418047185</v>
      </c>
    </row>
    <row r="130" spans="1:6" x14ac:dyDescent="0.3">
      <c r="A130" s="4">
        <v>23167</v>
      </c>
      <c r="B130" s="1">
        <v>0.18537000000000001</v>
      </c>
      <c r="C130" s="4">
        <f>Tabela14[[#This Row],[Alongamento (mm/mm)]]/$I$2</f>
        <v>3.7074E-3</v>
      </c>
      <c r="D130" s="1">
        <v>113.12</v>
      </c>
      <c r="E130" s="4">
        <f>Tabela14[[#This Row],[Força (N)]]/$I$5</f>
        <v>2560063.730016476</v>
      </c>
      <c r="F130" s="4">
        <f>Tabela14[[#This Row],[Tensão (Pa)]]/1000000</f>
        <v>2.5600637300164761</v>
      </c>
    </row>
    <row r="131" spans="1:6" x14ac:dyDescent="0.3">
      <c r="A131" s="4">
        <v>23333</v>
      </c>
      <c r="B131" s="1">
        <v>0.18686</v>
      </c>
      <c r="C131" s="4">
        <f>Tabela14[[#This Row],[Alongamento (mm/mm)]]/$I$2</f>
        <v>3.7372E-3</v>
      </c>
      <c r="D131" s="1">
        <v>113.8</v>
      </c>
      <c r="E131" s="4">
        <f>Tabela14[[#This Row],[Força (N)]]/$I$5</f>
        <v>2575453.0805858821</v>
      </c>
      <c r="F131" s="4">
        <f>Tabela14[[#This Row],[Tensão (Pa)]]/1000000</f>
        <v>2.575453080585882</v>
      </c>
    </row>
    <row r="132" spans="1:6" x14ac:dyDescent="0.3">
      <c r="A132" s="4">
        <v>23500</v>
      </c>
      <c r="B132" s="1">
        <v>0.18815999999999999</v>
      </c>
      <c r="C132" s="4">
        <f>Tabela14[[#This Row],[Alongamento (mm/mm)]]/$I$2</f>
        <v>3.7632E-3</v>
      </c>
      <c r="D132" s="1">
        <v>114.65</v>
      </c>
      <c r="E132" s="4">
        <f>Tabela14[[#This Row],[Força (N)]]/$I$5</f>
        <v>2594689.7687976398</v>
      </c>
      <c r="F132" s="4">
        <f>Tabela14[[#This Row],[Tensão (Pa)]]/1000000</f>
        <v>2.5946897687976396</v>
      </c>
    </row>
    <row r="133" spans="1:6" x14ac:dyDescent="0.3">
      <c r="A133" s="4">
        <v>23667</v>
      </c>
      <c r="B133" s="1">
        <v>0.18956000000000001</v>
      </c>
      <c r="C133" s="4">
        <f>Tabela14[[#This Row],[Alongamento (mm/mm)]]/$I$2</f>
        <v>3.7912000000000002E-3</v>
      </c>
      <c r="D133" s="1">
        <v>115.5</v>
      </c>
      <c r="E133" s="4">
        <f>Tabela14[[#This Row],[Força (N)]]/$I$5</f>
        <v>2613926.457009397</v>
      </c>
      <c r="F133" s="4">
        <f>Tabela14[[#This Row],[Tensão (Pa)]]/1000000</f>
        <v>2.6139264570093972</v>
      </c>
    </row>
    <row r="134" spans="1:6" x14ac:dyDescent="0.3">
      <c r="A134" s="4">
        <v>23833</v>
      </c>
      <c r="B134" s="1">
        <v>0.19095999999999999</v>
      </c>
      <c r="C134" s="4">
        <f>Tabela14[[#This Row],[Alongamento (mm/mm)]]/$I$2</f>
        <v>3.8192E-3</v>
      </c>
      <c r="D134" s="1">
        <v>116.35</v>
      </c>
      <c r="E134" s="4">
        <f>Tabela14[[#This Row],[Força (N)]]/$I$5</f>
        <v>2633163.1452211542</v>
      </c>
      <c r="F134" s="4">
        <f>Tabela14[[#This Row],[Tensão (Pa)]]/1000000</f>
        <v>2.6331631452211544</v>
      </c>
    </row>
    <row r="135" spans="1:6" x14ac:dyDescent="0.3">
      <c r="A135" s="4">
        <v>24000</v>
      </c>
      <c r="B135" s="1">
        <v>0.19234999999999999</v>
      </c>
      <c r="C135" s="4">
        <f>Tabela14[[#This Row],[Alongamento (mm/mm)]]/$I$2</f>
        <v>3.8469999999999997E-3</v>
      </c>
      <c r="D135" s="1">
        <v>117.2</v>
      </c>
      <c r="E135" s="4">
        <f>Tabela14[[#This Row],[Força (N)]]/$I$5</f>
        <v>2652399.8334329119</v>
      </c>
      <c r="F135" s="4">
        <f>Tabela14[[#This Row],[Tensão (Pa)]]/1000000</f>
        <v>2.652399833432912</v>
      </c>
    </row>
    <row r="136" spans="1:6" x14ac:dyDescent="0.3">
      <c r="A136" s="4">
        <v>24167</v>
      </c>
      <c r="B136" s="1">
        <v>0.19364999999999999</v>
      </c>
      <c r="C136" s="4">
        <f>Tabela14[[#This Row],[Alongamento (mm/mm)]]/$I$2</f>
        <v>3.8729999999999997E-3</v>
      </c>
      <c r="D136" s="1">
        <v>117.88</v>
      </c>
      <c r="E136" s="4">
        <f>Tabela14[[#This Row],[Força (N)]]/$I$5</f>
        <v>2667789.1840023175</v>
      </c>
      <c r="F136" s="4">
        <f>Tabela14[[#This Row],[Tensão (Pa)]]/1000000</f>
        <v>2.6677891840023173</v>
      </c>
    </row>
    <row r="137" spans="1:6" x14ac:dyDescent="0.3">
      <c r="A137" s="4">
        <v>24333</v>
      </c>
      <c r="B137" s="1">
        <v>0.19514000000000001</v>
      </c>
      <c r="C137" s="4">
        <f>Tabela14[[#This Row],[Alongamento (mm/mm)]]/$I$2</f>
        <v>3.9028000000000001E-3</v>
      </c>
      <c r="D137" s="1">
        <v>118.73</v>
      </c>
      <c r="E137" s="4">
        <f>Tabela14[[#This Row],[Força (N)]]/$I$5</f>
        <v>2687025.8722140752</v>
      </c>
      <c r="F137" s="4">
        <f>Tabela14[[#This Row],[Tensão (Pa)]]/1000000</f>
        <v>2.687025872214075</v>
      </c>
    </row>
    <row r="138" spans="1:6" x14ac:dyDescent="0.3">
      <c r="A138" s="4">
        <v>24500</v>
      </c>
      <c r="B138" s="1">
        <v>0.19653999999999999</v>
      </c>
      <c r="C138" s="4">
        <f>Tabela14[[#This Row],[Alongamento (mm/mm)]]/$I$2</f>
        <v>3.9307999999999999E-3</v>
      </c>
      <c r="D138" s="1">
        <v>119.58</v>
      </c>
      <c r="E138" s="4">
        <f>Tabela14[[#This Row],[Força (N)]]/$I$5</f>
        <v>2706262.5604258329</v>
      </c>
      <c r="F138" s="4">
        <f>Tabela14[[#This Row],[Tensão (Pa)]]/1000000</f>
        <v>2.706262560425833</v>
      </c>
    </row>
    <row r="139" spans="1:6" x14ac:dyDescent="0.3">
      <c r="A139" s="4">
        <v>24667</v>
      </c>
      <c r="B139" s="1">
        <v>0.19783999999999999</v>
      </c>
      <c r="C139" s="4">
        <f>Tabela14[[#This Row],[Alongamento (mm/mm)]]/$I$2</f>
        <v>3.9567999999999999E-3</v>
      </c>
      <c r="D139" s="1">
        <v>120.43</v>
      </c>
      <c r="E139" s="4">
        <f>Tabela14[[#This Row],[Força (N)]]/$I$5</f>
        <v>2725499.2486375906</v>
      </c>
      <c r="F139" s="4">
        <f>Tabela14[[#This Row],[Tensão (Pa)]]/1000000</f>
        <v>2.7254992486375906</v>
      </c>
    </row>
    <row r="140" spans="1:6" x14ac:dyDescent="0.3">
      <c r="A140" s="4">
        <v>24833</v>
      </c>
      <c r="B140" s="1">
        <v>0.19924</v>
      </c>
      <c r="C140" s="4">
        <f>Tabela14[[#This Row],[Alongamento (mm/mm)]]/$I$2</f>
        <v>3.9848000000000001E-3</v>
      </c>
      <c r="D140" s="1">
        <v>121.11</v>
      </c>
      <c r="E140" s="4">
        <f>Tabela14[[#This Row],[Força (N)]]/$I$5</f>
        <v>2740888.5992069962</v>
      </c>
      <c r="F140" s="4">
        <f>Tabela14[[#This Row],[Tensão (Pa)]]/1000000</f>
        <v>2.740888599206996</v>
      </c>
    </row>
    <row r="141" spans="1:6" x14ac:dyDescent="0.3">
      <c r="A141" s="4">
        <v>25000</v>
      </c>
      <c r="B141" s="1">
        <v>0.20063</v>
      </c>
      <c r="C141" s="4">
        <f>Tabela14[[#This Row],[Alongamento (mm/mm)]]/$I$2</f>
        <v>4.0125999999999998E-3</v>
      </c>
      <c r="D141" s="1">
        <v>121.96</v>
      </c>
      <c r="E141" s="4">
        <f>Tabela14[[#This Row],[Força (N)]]/$I$5</f>
        <v>2760125.2874187534</v>
      </c>
      <c r="F141" s="4">
        <f>Tabela14[[#This Row],[Tensão (Pa)]]/1000000</f>
        <v>2.7601252874187532</v>
      </c>
    </row>
    <row r="142" spans="1:6" x14ac:dyDescent="0.3">
      <c r="A142" s="4">
        <v>25167</v>
      </c>
      <c r="B142" s="1">
        <v>0.20202999999999999</v>
      </c>
      <c r="C142" s="4">
        <f>Tabela14[[#This Row],[Alongamento (mm/mm)]]/$I$2</f>
        <v>4.0406000000000001E-3</v>
      </c>
      <c r="D142" s="1">
        <v>122.81</v>
      </c>
      <c r="E142" s="4">
        <f>Tabela14[[#This Row],[Força (N)]]/$I$5</f>
        <v>2779361.9756305111</v>
      </c>
      <c r="F142" s="4">
        <f>Tabela14[[#This Row],[Tensão (Pa)]]/1000000</f>
        <v>2.7793619756305112</v>
      </c>
    </row>
    <row r="143" spans="1:6" x14ac:dyDescent="0.3">
      <c r="A143" s="4">
        <v>25333</v>
      </c>
      <c r="B143" s="1">
        <v>0.20341999999999999</v>
      </c>
      <c r="C143" s="4">
        <f>Tabela14[[#This Row],[Alongamento (mm/mm)]]/$I$2</f>
        <v>4.0683999999999998E-3</v>
      </c>
      <c r="D143" s="1">
        <v>123.49</v>
      </c>
      <c r="E143" s="4">
        <f>Tabela14[[#This Row],[Força (N)]]/$I$5</f>
        <v>2794751.3261999171</v>
      </c>
      <c r="F143" s="4">
        <f>Tabela14[[#This Row],[Tensão (Pa)]]/1000000</f>
        <v>2.7947513261999171</v>
      </c>
    </row>
    <row r="144" spans="1:6" x14ac:dyDescent="0.3">
      <c r="A144" s="4">
        <v>25500</v>
      </c>
      <c r="B144" s="1">
        <v>0.20482</v>
      </c>
      <c r="C144" s="4">
        <f>Tabela14[[#This Row],[Alongamento (mm/mm)]]/$I$2</f>
        <v>4.0964E-3</v>
      </c>
      <c r="D144" s="1">
        <v>124.34</v>
      </c>
      <c r="E144" s="4">
        <f>Tabela14[[#This Row],[Força (N)]]/$I$5</f>
        <v>2813988.0144116748</v>
      </c>
      <c r="F144" s="4">
        <f>Tabela14[[#This Row],[Tensão (Pa)]]/1000000</f>
        <v>2.8139880144116747</v>
      </c>
    </row>
    <row r="145" spans="1:6" x14ac:dyDescent="0.3">
      <c r="A145" s="4">
        <v>25667</v>
      </c>
      <c r="B145" s="1">
        <v>0.20621999999999999</v>
      </c>
      <c r="C145" s="4">
        <f>Tabela14[[#This Row],[Alongamento (mm/mm)]]/$I$2</f>
        <v>4.1243999999999994E-3</v>
      </c>
      <c r="D145" s="1">
        <v>125.19</v>
      </c>
      <c r="E145" s="4">
        <f>Tabela14[[#This Row],[Força (N)]]/$I$5</f>
        <v>2833224.702623432</v>
      </c>
      <c r="F145" s="4">
        <f>Tabela14[[#This Row],[Tensão (Pa)]]/1000000</f>
        <v>2.8332247026234318</v>
      </c>
    </row>
    <row r="146" spans="1:6" x14ac:dyDescent="0.3">
      <c r="A146" s="4">
        <v>25833</v>
      </c>
      <c r="B146" s="1">
        <v>0.20760999999999999</v>
      </c>
      <c r="C146" s="4">
        <f>Tabela14[[#This Row],[Alongamento (mm/mm)]]/$I$2</f>
        <v>4.1522E-3</v>
      </c>
      <c r="D146" s="1">
        <v>125.87</v>
      </c>
      <c r="E146" s="4">
        <f>Tabela14[[#This Row],[Força (N)]]/$I$5</f>
        <v>2848614.0531928381</v>
      </c>
      <c r="F146" s="4">
        <f>Tabela14[[#This Row],[Tensão (Pa)]]/1000000</f>
        <v>2.8486140531928381</v>
      </c>
    </row>
    <row r="147" spans="1:6" x14ac:dyDescent="0.3">
      <c r="A147" s="4">
        <v>26000</v>
      </c>
      <c r="B147" s="1">
        <v>0.20891999999999999</v>
      </c>
      <c r="C147" s="4">
        <f>Tabela14[[#This Row],[Alongamento (mm/mm)]]/$I$2</f>
        <v>4.1783999999999996E-3</v>
      </c>
      <c r="D147" s="1">
        <v>126.72</v>
      </c>
      <c r="E147" s="4">
        <f>Tabela14[[#This Row],[Força (N)]]/$I$5</f>
        <v>2867850.7414045953</v>
      </c>
      <c r="F147" s="4">
        <f>Tabela14[[#This Row],[Tensão (Pa)]]/1000000</f>
        <v>2.8678507414045953</v>
      </c>
    </row>
    <row r="148" spans="1:6" x14ac:dyDescent="0.3">
      <c r="A148" s="4">
        <v>26167</v>
      </c>
      <c r="B148" s="1">
        <v>0.2104</v>
      </c>
      <c r="C148" s="4">
        <f>Tabela14[[#This Row],[Alongamento (mm/mm)]]/$I$2</f>
        <v>4.2079999999999999E-3</v>
      </c>
      <c r="D148" s="1">
        <v>127.57</v>
      </c>
      <c r="E148" s="4">
        <f>Tabela14[[#This Row],[Força (N)]]/$I$5</f>
        <v>2887087.4296163525</v>
      </c>
      <c r="F148" s="4">
        <f>Tabela14[[#This Row],[Tensão (Pa)]]/1000000</f>
        <v>2.8870874296163525</v>
      </c>
    </row>
    <row r="149" spans="1:6" x14ac:dyDescent="0.3">
      <c r="A149" s="4">
        <v>26333</v>
      </c>
      <c r="B149" s="1">
        <v>0.21179999999999999</v>
      </c>
      <c r="C149" s="4">
        <f>Tabela14[[#This Row],[Alongamento (mm/mm)]]/$I$2</f>
        <v>4.2360000000000002E-3</v>
      </c>
      <c r="D149" s="1">
        <v>128.25</v>
      </c>
      <c r="E149" s="4">
        <f>Tabela14[[#This Row],[Força (N)]]/$I$5</f>
        <v>2902476.7801857591</v>
      </c>
      <c r="F149" s="4">
        <f>Tabela14[[#This Row],[Tensão (Pa)]]/1000000</f>
        <v>2.9024767801857592</v>
      </c>
    </row>
    <row r="150" spans="1:6" x14ac:dyDescent="0.3">
      <c r="A150" s="4">
        <v>26500</v>
      </c>
      <c r="B150" s="1">
        <v>0.21310000000000001</v>
      </c>
      <c r="C150" s="4">
        <f>Tabela14[[#This Row],[Alongamento (mm/mm)]]/$I$2</f>
        <v>4.2620000000000002E-3</v>
      </c>
      <c r="D150" s="1">
        <v>129.1</v>
      </c>
      <c r="E150" s="4">
        <f>Tabela14[[#This Row],[Força (N)]]/$I$5</f>
        <v>2921713.4683975163</v>
      </c>
      <c r="F150" s="4">
        <f>Tabela14[[#This Row],[Tensão (Pa)]]/1000000</f>
        <v>2.9217134683975163</v>
      </c>
    </row>
    <row r="151" spans="1:6" x14ac:dyDescent="0.3">
      <c r="A151" s="4">
        <v>26667</v>
      </c>
      <c r="B151" s="1">
        <v>0.2145</v>
      </c>
      <c r="C151" s="4">
        <f>Tabela14[[#This Row],[Alongamento (mm/mm)]]/$I$2</f>
        <v>4.2899999999999995E-3</v>
      </c>
      <c r="D151" s="1">
        <v>129.96</v>
      </c>
      <c r="E151" s="4">
        <f>Tabela14[[#This Row],[Força (N)]]/$I$5</f>
        <v>2941176.4705882357</v>
      </c>
      <c r="F151" s="4">
        <f>Tabela14[[#This Row],[Tensão (Pa)]]/1000000</f>
        <v>2.9411764705882355</v>
      </c>
    </row>
    <row r="152" spans="1:6" x14ac:dyDescent="0.3">
      <c r="A152" s="4">
        <v>26833</v>
      </c>
      <c r="B152" s="1">
        <v>0.21589</v>
      </c>
      <c r="C152" s="4">
        <f>Tabela14[[#This Row],[Alongamento (mm/mm)]]/$I$2</f>
        <v>4.3178000000000001E-3</v>
      </c>
      <c r="D152" s="1">
        <v>130.63999999999999</v>
      </c>
      <c r="E152" s="4">
        <f>Tabela14[[#This Row],[Força (N)]]/$I$5</f>
        <v>2956565.8211576412</v>
      </c>
      <c r="F152" s="4">
        <f>Tabela14[[#This Row],[Tensão (Pa)]]/1000000</f>
        <v>2.9565658211576413</v>
      </c>
    </row>
    <row r="153" spans="1:6" x14ac:dyDescent="0.3">
      <c r="A153" s="4">
        <v>27167</v>
      </c>
      <c r="B153" s="1">
        <v>0.21869</v>
      </c>
      <c r="C153" s="4">
        <f>Tabela14[[#This Row],[Alongamento (mm/mm)]]/$I$2</f>
        <v>4.3737999999999997E-3</v>
      </c>
      <c r="D153" s="1">
        <v>132.34</v>
      </c>
      <c r="E153" s="4">
        <f>Tabela14[[#This Row],[Força (N)]]/$I$5</f>
        <v>2995039.1975811566</v>
      </c>
      <c r="F153" s="4">
        <f>Tabela14[[#This Row],[Tensão (Pa)]]/1000000</f>
        <v>2.9950391975811566</v>
      </c>
    </row>
    <row r="154" spans="1:6" x14ac:dyDescent="0.3">
      <c r="A154" s="4">
        <v>27500</v>
      </c>
      <c r="B154" s="1">
        <v>0.22148000000000001</v>
      </c>
      <c r="C154" s="4">
        <f>Tabela14[[#This Row],[Alongamento (mm/mm)]]/$I$2</f>
        <v>4.4296000000000006E-3</v>
      </c>
      <c r="D154" s="1">
        <v>133.87</v>
      </c>
      <c r="E154" s="4">
        <f>Tabela14[[#This Row],[Força (N)]]/$I$5</f>
        <v>3029665.2363623199</v>
      </c>
      <c r="F154" s="4">
        <f>Tabela14[[#This Row],[Tensão (Pa)]]/1000000</f>
        <v>3.02966523636232</v>
      </c>
    </row>
    <row r="155" spans="1:6" x14ac:dyDescent="0.3">
      <c r="A155" s="4">
        <v>27833</v>
      </c>
      <c r="B155" s="1">
        <v>0.22417999999999999</v>
      </c>
      <c r="C155" s="4">
        <f>Tabela14[[#This Row],[Alongamento (mm/mm)]]/$I$2</f>
        <v>4.4835999999999999E-3</v>
      </c>
      <c r="D155" s="1">
        <v>135.4</v>
      </c>
      <c r="E155" s="4">
        <f>Tabela14[[#This Row],[Força (N)]]/$I$5</f>
        <v>3064291.2751434837</v>
      </c>
      <c r="F155" s="4">
        <f>Tabela14[[#This Row],[Tensão (Pa)]]/1000000</f>
        <v>3.0642912751434839</v>
      </c>
    </row>
    <row r="156" spans="1:6" x14ac:dyDescent="0.3">
      <c r="A156" s="4">
        <v>28167</v>
      </c>
      <c r="B156" s="1">
        <v>0.22706000000000001</v>
      </c>
      <c r="C156" s="4">
        <f>Tabela14[[#This Row],[Alongamento (mm/mm)]]/$I$2</f>
        <v>4.5412000000000004E-3</v>
      </c>
      <c r="D156" s="1">
        <v>137.1</v>
      </c>
      <c r="E156" s="4">
        <f>Tabela14[[#This Row],[Força (N)]]/$I$5</f>
        <v>3102764.6515669981</v>
      </c>
      <c r="F156" s="4">
        <f>Tabela14[[#This Row],[Tensão (Pa)]]/1000000</f>
        <v>3.1027646515669982</v>
      </c>
    </row>
    <row r="157" spans="1:6" x14ac:dyDescent="0.3">
      <c r="A157" s="4">
        <v>28500</v>
      </c>
      <c r="B157" s="1">
        <v>0.22975999999999999</v>
      </c>
      <c r="C157" s="4">
        <f>Tabela14[[#This Row],[Alongamento (mm/mm)]]/$I$2</f>
        <v>4.5951999999999998E-3</v>
      </c>
      <c r="D157" s="1">
        <v>138.63</v>
      </c>
      <c r="E157" s="4">
        <f>Tabela14[[#This Row],[Força (N)]]/$I$5</f>
        <v>3137390.6903481619</v>
      </c>
      <c r="F157" s="4">
        <f>Tabela14[[#This Row],[Tensão (Pa)]]/1000000</f>
        <v>3.1373906903481616</v>
      </c>
    </row>
    <row r="158" spans="1:6" x14ac:dyDescent="0.3">
      <c r="A158" s="4">
        <v>28833</v>
      </c>
      <c r="B158" s="1">
        <v>0.23255000000000001</v>
      </c>
      <c r="C158" s="4">
        <f>Tabela14[[#This Row],[Alongamento (mm/mm)]]/$I$2</f>
        <v>4.6509999999999998E-3</v>
      </c>
      <c r="D158" s="1">
        <v>140.16</v>
      </c>
      <c r="E158" s="4">
        <f>Tabela14[[#This Row],[Força (N)]]/$I$5</f>
        <v>3172016.7291293251</v>
      </c>
      <c r="F158" s="4">
        <f>Tabela14[[#This Row],[Tensão (Pa)]]/1000000</f>
        <v>3.1720167291293251</v>
      </c>
    </row>
    <row r="159" spans="1:6" x14ac:dyDescent="0.3">
      <c r="A159" s="4">
        <v>29167</v>
      </c>
      <c r="B159" s="1">
        <v>0.23533999999999999</v>
      </c>
      <c r="C159" s="4">
        <f>Tabela14[[#This Row],[Alongamento (mm/mm)]]/$I$2</f>
        <v>4.7067999999999997E-3</v>
      </c>
      <c r="D159" s="1">
        <v>141.69</v>
      </c>
      <c r="E159" s="4">
        <f>Tabela14[[#This Row],[Força (N)]]/$I$5</f>
        <v>3206642.7679104889</v>
      </c>
      <c r="F159" s="4">
        <f>Tabela14[[#This Row],[Tensão (Pa)]]/1000000</f>
        <v>3.206642767910489</v>
      </c>
    </row>
    <row r="160" spans="1:6" x14ac:dyDescent="0.3">
      <c r="A160" s="4">
        <v>29500</v>
      </c>
      <c r="B160" s="1">
        <v>0.23813999999999999</v>
      </c>
      <c r="C160" s="4">
        <f>Tabela14[[#This Row],[Alongamento (mm/mm)]]/$I$2</f>
        <v>4.7628000000000002E-3</v>
      </c>
      <c r="D160" s="1">
        <v>143.22</v>
      </c>
      <c r="E160" s="4">
        <f>Tabela14[[#This Row],[Força (N)]]/$I$5</f>
        <v>3241268.8066916522</v>
      </c>
      <c r="F160" s="4">
        <f>Tabela14[[#This Row],[Tensão (Pa)]]/1000000</f>
        <v>3.241268806691652</v>
      </c>
    </row>
    <row r="161" spans="1:6" x14ac:dyDescent="0.3">
      <c r="A161" s="4">
        <v>29833</v>
      </c>
      <c r="B161" s="1">
        <v>0.24093000000000001</v>
      </c>
      <c r="C161" s="4">
        <f>Tabela14[[#This Row],[Alongamento (mm/mm)]]/$I$2</f>
        <v>4.8186000000000001E-3</v>
      </c>
      <c r="D161" s="1">
        <v>144.91999999999999</v>
      </c>
      <c r="E161" s="4">
        <f>Tabela14[[#This Row],[Força (N)]]/$I$5</f>
        <v>3279742.1831151666</v>
      </c>
      <c r="F161" s="4">
        <f>Tabela14[[#This Row],[Tensão (Pa)]]/1000000</f>
        <v>3.2797421831151667</v>
      </c>
    </row>
    <row r="162" spans="1:6" x14ac:dyDescent="0.3">
      <c r="A162" s="4">
        <v>30167</v>
      </c>
      <c r="B162" s="1">
        <v>0.24371999999999999</v>
      </c>
      <c r="C162" s="4">
        <f>Tabela14[[#This Row],[Alongamento (mm/mm)]]/$I$2</f>
        <v>4.8744000000000001E-3</v>
      </c>
      <c r="D162" s="1">
        <v>146.46</v>
      </c>
      <c r="E162" s="4">
        <f>Tabela14[[#This Row],[Força (N)]]/$I$5</f>
        <v>3314594.5358752925</v>
      </c>
      <c r="F162" s="4">
        <f>Tabela14[[#This Row],[Tensão (Pa)]]/1000000</f>
        <v>3.3145945358752926</v>
      </c>
    </row>
    <row r="163" spans="1:6" x14ac:dyDescent="0.3">
      <c r="A163" s="4">
        <v>30500</v>
      </c>
      <c r="B163" s="1">
        <v>0.24642</v>
      </c>
      <c r="C163" s="4">
        <f>Tabela14[[#This Row],[Alongamento (mm/mm)]]/$I$2</f>
        <v>4.9284000000000003E-3</v>
      </c>
      <c r="D163" s="1">
        <v>147.99</v>
      </c>
      <c r="E163" s="4">
        <f>Tabela14[[#This Row],[Força (N)]]/$I$5</f>
        <v>3349220.5746564562</v>
      </c>
      <c r="F163" s="4">
        <f>Tabela14[[#This Row],[Tensão (Pa)]]/1000000</f>
        <v>3.3492205746564561</v>
      </c>
    </row>
    <row r="164" spans="1:6" x14ac:dyDescent="0.3">
      <c r="A164" s="4">
        <v>30833</v>
      </c>
      <c r="B164" s="1">
        <v>0.24920999999999999</v>
      </c>
      <c r="C164" s="4">
        <f>Tabela14[[#This Row],[Alongamento (mm/mm)]]/$I$2</f>
        <v>4.9841999999999994E-3</v>
      </c>
      <c r="D164" s="1">
        <v>149.52000000000001</v>
      </c>
      <c r="E164" s="4">
        <f>Tabela14[[#This Row],[Força (N)]]/$I$5</f>
        <v>3383846.6134376195</v>
      </c>
      <c r="F164" s="4">
        <f>Tabela14[[#This Row],[Tensão (Pa)]]/1000000</f>
        <v>3.3838466134376195</v>
      </c>
    </row>
    <row r="165" spans="1:6" x14ac:dyDescent="0.3">
      <c r="A165" s="4">
        <v>31167</v>
      </c>
      <c r="B165" s="1">
        <v>0.252</v>
      </c>
      <c r="C165" s="4">
        <f>Tabela14[[#This Row],[Alongamento (mm/mm)]]/$I$2</f>
        <v>5.0400000000000002E-3</v>
      </c>
      <c r="D165" s="1">
        <v>151.05000000000001</v>
      </c>
      <c r="E165" s="4">
        <f>Tabela14[[#This Row],[Força (N)]]/$I$5</f>
        <v>3418472.6522187828</v>
      </c>
      <c r="F165" s="4">
        <f>Tabela14[[#This Row],[Tensão (Pa)]]/1000000</f>
        <v>3.4184726522187829</v>
      </c>
    </row>
    <row r="166" spans="1:6" x14ac:dyDescent="0.3">
      <c r="A166" s="4">
        <v>31500</v>
      </c>
      <c r="B166" s="1">
        <v>0.25469999999999998</v>
      </c>
      <c r="C166" s="4">
        <f>Tabela14[[#This Row],[Alongamento (mm/mm)]]/$I$2</f>
        <v>5.0939999999999996E-3</v>
      </c>
      <c r="D166" s="1">
        <v>152.58000000000001</v>
      </c>
      <c r="E166" s="4">
        <f>Tabela14[[#This Row],[Força (N)]]/$I$5</f>
        <v>3453098.6909999466</v>
      </c>
      <c r="F166" s="4">
        <f>Tabela14[[#This Row],[Tensão (Pa)]]/1000000</f>
        <v>3.4530986909999464</v>
      </c>
    </row>
    <row r="167" spans="1:6" x14ac:dyDescent="0.3">
      <c r="A167" s="4">
        <v>31833</v>
      </c>
      <c r="B167" s="1">
        <v>0.25757999999999998</v>
      </c>
      <c r="C167" s="4">
        <f>Tabela14[[#This Row],[Alongamento (mm/mm)]]/$I$2</f>
        <v>5.1515999999999992E-3</v>
      </c>
      <c r="D167" s="1">
        <v>154.11000000000001</v>
      </c>
      <c r="E167" s="4">
        <f>Tabela14[[#This Row],[Força (N)]]/$I$5</f>
        <v>3487724.7297811098</v>
      </c>
      <c r="F167" s="4">
        <f>Tabela14[[#This Row],[Tensão (Pa)]]/1000000</f>
        <v>3.4877247297811098</v>
      </c>
    </row>
    <row r="168" spans="1:6" x14ac:dyDescent="0.3">
      <c r="A168" s="4">
        <v>32167</v>
      </c>
      <c r="B168" s="1">
        <v>0.26028000000000001</v>
      </c>
      <c r="C168" s="4">
        <f>Tabela14[[#This Row],[Alongamento (mm/mm)]]/$I$2</f>
        <v>5.2056000000000003E-3</v>
      </c>
      <c r="D168" s="1">
        <v>155.63999999999999</v>
      </c>
      <c r="E168" s="4">
        <f>Tabela14[[#This Row],[Força (N)]]/$I$5</f>
        <v>3522350.7685622727</v>
      </c>
      <c r="F168" s="4">
        <f>Tabela14[[#This Row],[Tensão (Pa)]]/1000000</f>
        <v>3.5223507685622728</v>
      </c>
    </row>
    <row r="169" spans="1:6" x14ac:dyDescent="0.3">
      <c r="A169" s="4">
        <v>32500</v>
      </c>
      <c r="B169" s="1">
        <v>0.26317000000000002</v>
      </c>
      <c r="C169" s="4">
        <f>Tabela14[[#This Row],[Alongamento (mm/mm)]]/$I$2</f>
        <v>5.2634000000000005E-3</v>
      </c>
      <c r="D169" s="1">
        <v>157.16999999999999</v>
      </c>
      <c r="E169" s="4">
        <f>Tabela14[[#This Row],[Força (N)]]/$I$5</f>
        <v>3556976.8073434359</v>
      </c>
      <c r="F169" s="4">
        <f>Tabela14[[#This Row],[Tensão (Pa)]]/1000000</f>
        <v>3.5569768073434358</v>
      </c>
    </row>
    <row r="170" spans="1:6" x14ac:dyDescent="0.3">
      <c r="A170" s="4">
        <v>32833</v>
      </c>
      <c r="B170" s="1">
        <v>0.26587</v>
      </c>
      <c r="C170" s="4">
        <f>Tabela14[[#This Row],[Alongamento (mm/mm)]]/$I$2</f>
        <v>5.3173999999999999E-3</v>
      </c>
      <c r="D170" s="1">
        <v>158.69999999999999</v>
      </c>
      <c r="E170" s="4">
        <f>Tabela14[[#This Row],[Força (N)]]/$I$5</f>
        <v>3591602.8461245997</v>
      </c>
      <c r="F170" s="4">
        <f>Tabela14[[#This Row],[Tensão (Pa)]]/1000000</f>
        <v>3.5916028461245997</v>
      </c>
    </row>
    <row r="171" spans="1:6" x14ac:dyDescent="0.3">
      <c r="A171" s="4">
        <v>33167</v>
      </c>
      <c r="B171" s="1">
        <v>0.26874999999999999</v>
      </c>
      <c r="C171" s="4">
        <f>Tabela14[[#This Row],[Alongamento (mm/mm)]]/$I$2</f>
        <v>5.3749999999999996E-3</v>
      </c>
      <c r="D171" s="1">
        <v>160.22999999999999</v>
      </c>
      <c r="E171" s="4">
        <f>Tabela14[[#This Row],[Força (N)]]/$I$5</f>
        <v>3626228.884905763</v>
      </c>
      <c r="F171" s="4">
        <f>Tabela14[[#This Row],[Tensão (Pa)]]/1000000</f>
        <v>3.6262288849057631</v>
      </c>
    </row>
    <row r="172" spans="1:6" x14ac:dyDescent="0.3">
      <c r="A172" s="4">
        <v>33500</v>
      </c>
      <c r="B172" s="1">
        <v>0.27135999999999999</v>
      </c>
      <c r="C172" s="4">
        <f>Tabela14[[#This Row],[Alongamento (mm/mm)]]/$I$2</f>
        <v>5.4272000000000001E-3</v>
      </c>
      <c r="D172" s="1">
        <v>161.59</v>
      </c>
      <c r="E172" s="4">
        <f>Tabela14[[#This Row],[Força (N)]]/$I$5</f>
        <v>3657007.5860445756</v>
      </c>
      <c r="F172" s="4">
        <f>Tabela14[[#This Row],[Tensão (Pa)]]/1000000</f>
        <v>3.6570075860445757</v>
      </c>
    </row>
    <row r="173" spans="1:6" x14ac:dyDescent="0.3">
      <c r="A173" s="4">
        <v>33833</v>
      </c>
      <c r="B173" s="1">
        <v>0.27423999999999998</v>
      </c>
      <c r="C173" s="4">
        <f>Tabela14[[#This Row],[Alongamento (mm/mm)]]/$I$2</f>
        <v>5.4847999999999997E-3</v>
      </c>
      <c r="D173" s="1">
        <v>163.12</v>
      </c>
      <c r="E173" s="4">
        <f>Tabela14[[#This Row],[Força (N)]]/$I$5</f>
        <v>3691633.6248257388</v>
      </c>
      <c r="F173" s="4">
        <f>Tabela14[[#This Row],[Tensão (Pa)]]/1000000</f>
        <v>3.6916336248257386</v>
      </c>
    </row>
    <row r="174" spans="1:6" x14ac:dyDescent="0.3">
      <c r="A174" s="4">
        <v>34167</v>
      </c>
      <c r="B174" s="1">
        <v>0.27694000000000002</v>
      </c>
      <c r="C174" s="4">
        <f>Tabela14[[#This Row],[Alongamento (mm/mm)]]/$I$2</f>
        <v>5.5388E-3</v>
      </c>
      <c r="D174" s="1">
        <v>164.66</v>
      </c>
      <c r="E174" s="4">
        <f>Tabela14[[#This Row],[Força (N)]]/$I$5</f>
        <v>3726485.9775858638</v>
      </c>
      <c r="F174" s="4">
        <f>Tabela14[[#This Row],[Tensão (Pa)]]/1000000</f>
        <v>3.7264859775858636</v>
      </c>
    </row>
    <row r="175" spans="1:6" x14ac:dyDescent="0.3">
      <c r="A175" s="4">
        <v>34500</v>
      </c>
      <c r="B175" s="1">
        <v>0.27983000000000002</v>
      </c>
      <c r="C175" s="4">
        <f>Tabela14[[#This Row],[Alongamento (mm/mm)]]/$I$2</f>
        <v>5.5966000000000002E-3</v>
      </c>
      <c r="D175" s="1">
        <v>166.02</v>
      </c>
      <c r="E175" s="4">
        <f>Tabela14[[#This Row],[Força (N)]]/$I$5</f>
        <v>3757264.6787246764</v>
      </c>
      <c r="F175" s="4">
        <f>Tabela14[[#This Row],[Tensão (Pa)]]/1000000</f>
        <v>3.7572646787246762</v>
      </c>
    </row>
    <row r="176" spans="1:6" x14ac:dyDescent="0.3">
      <c r="A176" s="4">
        <v>34833</v>
      </c>
      <c r="B176" s="1">
        <v>0.28261999999999998</v>
      </c>
      <c r="C176" s="4">
        <f>Tabela14[[#This Row],[Alongamento (mm/mm)]]/$I$2</f>
        <v>5.6523999999999993E-3</v>
      </c>
      <c r="D176" s="1">
        <v>167.55</v>
      </c>
      <c r="E176" s="4">
        <f>Tabela14[[#This Row],[Força (N)]]/$I$5</f>
        <v>3791890.7175058397</v>
      </c>
      <c r="F176" s="4">
        <f>Tabela14[[#This Row],[Tensão (Pa)]]/1000000</f>
        <v>3.7918907175058396</v>
      </c>
    </row>
    <row r="177" spans="1:6" x14ac:dyDescent="0.3">
      <c r="A177" s="4">
        <v>35167</v>
      </c>
      <c r="B177" s="1">
        <v>0.28532000000000002</v>
      </c>
      <c r="C177" s="4">
        <f>Tabela14[[#This Row],[Alongamento (mm/mm)]]/$I$2</f>
        <v>5.7064000000000004E-3</v>
      </c>
      <c r="D177" s="1">
        <v>169.08</v>
      </c>
      <c r="E177" s="4">
        <f>Tabela14[[#This Row],[Força (N)]]/$I$5</f>
        <v>3826516.7562870029</v>
      </c>
      <c r="F177" s="4">
        <f>Tabela14[[#This Row],[Tensão (Pa)]]/1000000</f>
        <v>3.8265167562870031</v>
      </c>
    </row>
    <row r="178" spans="1:6" x14ac:dyDescent="0.3">
      <c r="A178" s="4">
        <v>35500</v>
      </c>
      <c r="B178" s="1">
        <v>0.28820000000000001</v>
      </c>
      <c r="C178" s="4">
        <f>Tabela14[[#This Row],[Alongamento (mm/mm)]]/$I$2</f>
        <v>5.764E-3</v>
      </c>
      <c r="D178" s="1">
        <v>170.44</v>
      </c>
      <c r="E178" s="4">
        <f>Tabela14[[#This Row],[Força (N)]]/$I$5</f>
        <v>3857295.4574258146</v>
      </c>
      <c r="F178" s="4">
        <f>Tabela14[[#This Row],[Tensão (Pa)]]/1000000</f>
        <v>3.8572954574258147</v>
      </c>
    </row>
    <row r="179" spans="1:6" x14ac:dyDescent="0.3">
      <c r="A179" s="4">
        <v>35833</v>
      </c>
      <c r="B179" s="1">
        <v>0.29089999999999999</v>
      </c>
      <c r="C179" s="4">
        <f>Tabela14[[#This Row],[Alongamento (mm/mm)]]/$I$2</f>
        <v>5.8180000000000003E-3</v>
      </c>
      <c r="D179" s="1">
        <v>171.97</v>
      </c>
      <c r="E179" s="4">
        <f>Tabela14[[#This Row],[Força (N)]]/$I$5</f>
        <v>3891921.4962069783</v>
      </c>
      <c r="F179" s="4">
        <f>Tabela14[[#This Row],[Tensão (Pa)]]/1000000</f>
        <v>3.8919214962069781</v>
      </c>
    </row>
    <row r="180" spans="1:6" x14ac:dyDescent="0.3">
      <c r="A180" s="4">
        <v>36167</v>
      </c>
      <c r="B180" s="1">
        <v>0.29369000000000001</v>
      </c>
      <c r="C180" s="4">
        <f>Tabela14[[#This Row],[Alongamento (mm/mm)]]/$I$2</f>
        <v>5.8738000000000002E-3</v>
      </c>
      <c r="D180" s="1">
        <v>173.33</v>
      </c>
      <c r="E180" s="4">
        <f>Tabela14[[#This Row],[Força (N)]]/$I$5</f>
        <v>3922700.1973457905</v>
      </c>
      <c r="F180" s="4">
        <f>Tabela14[[#This Row],[Tensão (Pa)]]/1000000</f>
        <v>3.9227001973457907</v>
      </c>
    </row>
    <row r="181" spans="1:6" x14ac:dyDescent="0.3">
      <c r="A181" s="4">
        <v>36500</v>
      </c>
      <c r="B181" s="1">
        <v>0.29638999999999999</v>
      </c>
      <c r="C181" s="4">
        <f>Tabela14[[#This Row],[Alongamento (mm/mm)]]/$I$2</f>
        <v>5.9277999999999996E-3</v>
      </c>
      <c r="D181" s="1">
        <v>174.86</v>
      </c>
      <c r="E181" s="4">
        <f>Tabela14[[#This Row],[Força (N)]]/$I$5</f>
        <v>3957326.2361269537</v>
      </c>
      <c r="F181" s="4">
        <f>Tabela14[[#This Row],[Tensão (Pa)]]/1000000</f>
        <v>3.9573262361269537</v>
      </c>
    </row>
    <row r="182" spans="1:6" x14ac:dyDescent="0.3">
      <c r="A182" s="4">
        <v>36833</v>
      </c>
      <c r="B182" s="1">
        <v>0.29926999999999998</v>
      </c>
      <c r="C182" s="4">
        <f>Tabela14[[#This Row],[Alongamento (mm/mm)]]/$I$2</f>
        <v>5.9853999999999992E-3</v>
      </c>
      <c r="D182" s="1">
        <v>176.22</v>
      </c>
      <c r="E182" s="4">
        <f>Tabela14[[#This Row],[Força (N)]]/$I$5</f>
        <v>3988104.9372657654</v>
      </c>
      <c r="F182" s="4">
        <f>Tabela14[[#This Row],[Tensão (Pa)]]/1000000</f>
        <v>3.9881049372657653</v>
      </c>
    </row>
    <row r="183" spans="1:6" x14ac:dyDescent="0.3">
      <c r="A183" s="4">
        <v>37167</v>
      </c>
      <c r="B183" s="1">
        <v>0.30197000000000002</v>
      </c>
      <c r="C183" s="4">
        <f>Tabela14[[#This Row],[Alongamento (mm/mm)]]/$I$2</f>
        <v>6.0394000000000003E-3</v>
      </c>
      <c r="D183" s="1">
        <v>177.58</v>
      </c>
      <c r="E183" s="4">
        <f>Tabela14[[#This Row],[Força (N)]]/$I$5</f>
        <v>4018883.638404578</v>
      </c>
      <c r="F183" s="4">
        <f>Tabela14[[#This Row],[Tensão (Pa)]]/1000000</f>
        <v>4.0188836384045779</v>
      </c>
    </row>
    <row r="184" spans="1:6" x14ac:dyDescent="0.3">
      <c r="A184" s="4">
        <v>37500</v>
      </c>
      <c r="B184" s="1">
        <v>0.30486000000000002</v>
      </c>
      <c r="C184" s="4">
        <f>Tabela14[[#This Row],[Alongamento (mm/mm)]]/$I$2</f>
        <v>6.0972000000000005E-3</v>
      </c>
      <c r="D184" s="1">
        <v>179.11</v>
      </c>
      <c r="E184" s="4">
        <f>Tabela14[[#This Row],[Força (N)]]/$I$5</f>
        <v>4053509.6771857413</v>
      </c>
      <c r="F184" s="4">
        <f>Tabela14[[#This Row],[Tensão (Pa)]]/1000000</f>
        <v>4.0535096771857413</v>
      </c>
    </row>
    <row r="185" spans="1:6" x14ac:dyDescent="0.3">
      <c r="A185" s="4">
        <v>37833</v>
      </c>
      <c r="B185" s="1">
        <v>0.30756</v>
      </c>
      <c r="C185" s="4">
        <f>Tabela14[[#This Row],[Alongamento (mm/mm)]]/$I$2</f>
        <v>6.1511999999999999E-3</v>
      </c>
      <c r="D185" s="1">
        <v>180.47</v>
      </c>
      <c r="E185" s="4">
        <f>Tabela14[[#This Row],[Força (N)]]/$I$5</f>
        <v>4084288.3783245529</v>
      </c>
      <c r="F185" s="4">
        <f>Tabela14[[#This Row],[Tensão (Pa)]]/1000000</f>
        <v>4.0842883783245529</v>
      </c>
    </row>
    <row r="186" spans="1:6" x14ac:dyDescent="0.3">
      <c r="A186" s="4">
        <v>38167</v>
      </c>
      <c r="B186" s="1">
        <v>0.31035000000000001</v>
      </c>
      <c r="C186" s="4">
        <f>Tabela14[[#This Row],[Alongamento (mm/mm)]]/$I$2</f>
        <v>6.2070000000000007E-3</v>
      </c>
      <c r="D186" s="1">
        <v>181.84</v>
      </c>
      <c r="E186" s="4">
        <f>Tabela14[[#This Row],[Força (N)]]/$I$5</f>
        <v>4115293.3934423267</v>
      </c>
      <c r="F186" s="4">
        <f>Tabela14[[#This Row],[Tensão (Pa)]]/1000000</f>
        <v>4.115293393442327</v>
      </c>
    </row>
    <row r="187" spans="1:6" x14ac:dyDescent="0.3">
      <c r="A187" s="4">
        <v>38500</v>
      </c>
      <c r="B187" s="1">
        <v>0.31313999999999997</v>
      </c>
      <c r="C187" s="4">
        <f>Tabela14[[#This Row],[Alongamento (mm/mm)]]/$I$2</f>
        <v>6.2627999999999998E-3</v>
      </c>
      <c r="D187" s="1">
        <v>183.2</v>
      </c>
      <c r="E187" s="4">
        <f>Tabela14[[#This Row],[Força (N)]]/$I$5</f>
        <v>4146072.0945811383</v>
      </c>
      <c r="F187" s="4">
        <f>Tabela14[[#This Row],[Tensão (Pa)]]/1000000</f>
        <v>4.1460720945811387</v>
      </c>
    </row>
    <row r="188" spans="1:6" x14ac:dyDescent="0.3">
      <c r="A188" s="4">
        <v>38833</v>
      </c>
      <c r="B188" s="1">
        <v>0.31592999999999999</v>
      </c>
      <c r="C188" s="4">
        <f>Tabela14[[#This Row],[Alongamento (mm/mm)]]/$I$2</f>
        <v>6.3185999999999997E-3</v>
      </c>
      <c r="D188" s="1">
        <v>184.73</v>
      </c>
      <c r="E188" s="4">
        <f>Tabela14[[#This Row],[Força (N)]]/$I$5</f>
        <v>4180698.1333623016</v>
      </c>
      <c r="F188" s="4">
        <f>Tabela14[[#This Row],[Tensão (Pa)]]/1000000</f>
        <v>4.1806981333623012</v>
      </c>
    </row>
    <row r="189" spans="1:6" x14ac:dyDescent="0.3">
      <c r="A189" s="4">
        <v>39167</v>
      </c>
      <c r="B189" s="1">
        <v>0.31863000000000002</v>
      </c>
      <c r="C189" s="4">
        <f>Tabela14[[#This Row],[Alongamento (mm/mm)]]/$I$2</f>
        <v>6.3726000000000008E-3</v>
      </c>
      <c r="D189" s="1">
        <v>186.09</v>
      </c>
      <c r="E189" s="4">
        <f>Tabela14[[#This Row],[Força (N)]]/$I$5</f>
        <v>4211476.8345011137</v>
      </c>
      <c r="F189" s="4">
        <f>Tabela14[[#This Row],[Tensão (Pa)]]/1000000</f>
        <v>4.2114768345011138</v>
      </c>
    </row>
    <row r="190" spans="1:6" x14ac:dyDescent="0.3">
      <c r="A190" s="4">
        <v>39500</v>
      </c>
      <c r="B190" s="1">
        <v>0.32151999999999997</v>
      </c>
      <c r="C190" s="4">
        <f>Tabela14[[#This Row],[Alongamento (mm/mm)]]/$I$2</f>
        <v>6.4303999999999993E-3</v>
      </c>
      <c r="D190" s="1">
        <v>187.45</v>
      </c>
      <c r="E190" s="4">
        <f>Tabela14[[#This Row],[Força (N)]]/$I$5</f>
        <v>4242255.5356399259</v>
      </c>
      <c r="F190" s="4">
        <f>Tabela14[[#This Row],[Tensão (Pa)]]/1000000</f>
        <v>4.2422555356399263</v>
      </c>
    </row>
    <row r="191" spans="1:6" x14ac:dyDescent="0.3">
      <c r="A191" s="4">
        <v>39833</v>
      </c>
      <c r="B191" s="1">
        <v>0.32421</v>
      </c>
      <c r="C191" s="4">
        <f>Tabela14[[#This Row],[Alongamento (mm/mm)]]/$I$2</f>
        <v>6.4841999999999999E-3</v>
      </c>
      <c r="D191" s="1">
        <v>188.81</v>
      </c>
      <c r="E191" s="4">
        <f>Tabela14[[#This Row],[Força (N)]]/$I$5</f>
        <v>4273034.236778738</v>
      </c>
      <c r="F191" s="4">
        <f>Tabela14[[#This Row],[Tensão (Pa)]]/1000000</f>
        <v>4.2730342367787379</v>
      </c>
    </row>
    <row r="192" spans="1:6" x14ac:dyDescent="0.3">
      <c r="A192" s="4">
        <v>40167</v>
      </c>
      <c r="B192" s="1">
        <v>0.32701000000000002</v>
      </c>
      <c r="C192" s="4">
        <f>Tabela14[[#This Row],[Alongamento (mm/mm)]]/$I$2</f>
        <v>6.5402000000000004E-3</v>
      </c>
      <c r="D192" s="1">
        <v>190.17</v>
      </c>
      <c r="E192" s="4">
        <f>Tabela14[[#This Row],[Força (N)]]/$I$5</f>
        <v>4303812.9379175492</v>
      </c>
      <c r="F192" s="4">
        <f>Tabela14[[#This Row],[Tensão (Pa)]]/1000000</f>
        <v>4.3038129379175496</v>
      </c>
    </row>
    <row r="193" spans="1:6" x14ac:dyDescent="0.3">
      <c r="A193" s="4">
        <v>40500</v>
      </c>
      <c r="B193" s="1">
        <v>0.32979999999999998</v>
      </c>
      <c r="C193" s="4">
        <f>Tabela14[[#This Row],[Alongamento (mm/mm)]]/$I$2</f>
        <v>6.5959999999999994E-3</v>
      </c>
      <c r="D193" s="1">
        <v>191.7</v>
      </c>
      <c r="E193" s="4">
        <f>Tabela14[[#This Row],[Força (N)]]/$I$5</f>
        <v>4338438.9766987134</v>
      </c>
      <c r="F193" s="4">
        <f>Tabela14[[#This Row],[Tensão (Pa)]]/1000000</f>
        <v>4.338438976698713</v>
      </c>
    </row>
    <row r="194" spans="1:6" x14ac:dyDescent="0.3">
      <c r="A194" s="4">
        <v>40833</v>
      </c>
      <c r="B194" s="1">
        <v>0.33250000000000002</v>
      </c>
      <c r="C194" s="4">
        <f>Tabela14[[#This Row],[Alongamento (mm/mm)]]/$I$2</f>
        <v>6.6500000000000005E-3</v>
      </c>
      <c r="D194" s="1">
        <v>192.89</v>
      </c>
      <c r="E194" s="4">
        <f>Tabela14[[#This Row],[Força (N)]]/$I$5</f>
        <v>4365370.3401951734</v>
      </c>
      <c r="F194" s="4">
        <f>Tabela14[[#This Row],[Tensão (Pa)]]/1000000</f>
        <v>4.3653703401951738</v>
      </c>
    </row>
    <row r="195" spans="1:6" x14ac:dyDescent="0.3">
      <c r="A195" s="4">
        <v>41167</v>
      </c>
      <c r="B195" s="1">
        <v>0.33538000000000001</v>
      </c>
      <c r="C195" s="4">
        <f>Tabela14[[#This Row],[Alongamento (mm/mm)]]/$I$2</f>
        <v>6.7076000000000002E-3</v>
      </c>
      <c r="D195" s="1">
        <v>194.42</v>
      </c>
      <c r="E195" s="4">
        <f>Tabela14[[#This Row],[Força (N)]]/$I$5</f>
        <v>4399996.3789763367</v>
      </c>
      <c r="F195" s="4">
        <f>Tabela14[[#This Row],[Tensão (Pa)]]/1000000</f>
        <v>4.3999963789763363</v>
      </c>
    </row>
    <row r="196" spans="1:6" x14ac:dyDescent="0.3">
      <c r="A196" s="4">
        <v>41500</v>
      </c>
      <c r="B196" s="1">
        <v>0.33807999999999999</v>
      </c>
      <c r="C196" s="4">
        <f>Tabela14[[#This Row],[Alongamento (mm/mm)]]/$I$2</f>
        <v>6.7615999999999996E-3</v>
      </c>
      <c r="D196" s="1">
        <v>195.78</v>
      </c>
      <c r="E196" s="4">
        <f>Tabela14[[#This Row],[Força (N)]]/$I$5</f>
        <v>4430775.0801151488</v>
      </c>
      <c r="F196" s="4">
        <f>Tabela14[[#This Row],[Tensão (Pa)]]/1000000</f>
        <v>4.4307750801151489</v>
      </c>
    </row>
    <row r="197" spans="1:6" x14ac:dyDescent="0.3">
      <c r="A197" s="4">
        <v>41833</v>
      </c>
      <c r="B197" s="1">
        <v>0.34087000000000001</v>
      </c>
      <c r="C197" s="4">
        <f>Tabela14[[#This Row],[Alongamento (mm/mm)]]/$I$2</f>
        <v>6.8174000000000004E-3</v>
      </c>
      <c r="D197" s="1">
        <v>196.97</v>
      </c>
      <c r="E197" s="4">
        <f>Tabela14[[#This Row],[Força (N)]]/$I$5</f>
        <v>4457706.4436116097</v>
      </c>
      <c r="F197" s="4">
        <f>Tabela14[[#This Row],[Tensão (Pa)]]/1000000</f>
        <v>4.4577064436116096</v>
      </c>
    </row>
    <row r="198" spans="1:6" x14ac:dyDescent="0.3">
      <c r="A198" s="4">
        <v>42167</v>
      </c>
      <c r="B198" s="1">
        <v>0.34366000000000002</v>
      </c>
      <c r="C198" s="4">
        <f>Tabela14[[#This Row],[Alongamento (mm/mm)]]/$I$2</f>
        <v>6.8732000000000003E-3</v>
      </c>
      <c r="D198" s="1">
        <v>198.34</v>
      </c>
      <c r="E198" s="4">
        <f>Tabela14[[#This Row],[Força (N)]]/$I$5</f>
        <v>4488711.4587293835</v>
      </c>
      <c r="F198" s="4">
        <f>Tabela14[[#This Row],[Tensão (Pa)]]/1000000</f>
        <v>4.4887114587293837</v>
      </c>
    </row>
    <row r="199" spans="1:6" x14ac:dyDescent="0.3">
      <c r="A199" s="4">
        <v>42500</v>
      </c>
      <c r="B199" s="1">
        <v>0.34644999999999998</v>
      </c>
      <c r="C199" s="4">
        <f>Tabela14[[#This Row],[Alongamento (mm/mm)]]/$I$2</f>
        <v>6.9289999999999994E-3</v>
      </c>
      <c r="D199" s="1">
        <v>199.7</v>
      </c>
      <c r="E199" s="4">
        <f>Tabela14[[#This Row],[Força (N)]]/$I$5</f>
        <v>4519490.1598681947</v>
      </c>
      <c r="F199" s="4">
        <f>Tabela14[[#This Row],[Tensão (Pa)]]/1000000</f>
        <v>4.5194901598681945</v>
      </c>
    </row>
    <row r="200" spans="1:6" x14ac:dyDescent="0.3">
      <c r="A200" s="4">
        <v>42833</v>
      </c>
      <c r="B200" s="1">
        <v>0.34925</v>
      </c>
      <c r="C200" s="4">
        <f>Tabela14[[#This Row],[Alongamento (mm/mm)]]/$I$2</f>
        <v>6.9849999999999999E-3</v>
      </c>
      <c r="D200" s="1">
        <v>201.06</v>
      </c>
      <c r="E200" s="4">
        <f>Tabela14[[#This Row],[Força (N)]]/$I$5</f>
        <v>4550268.8610070078</v>
      </c>
      <c r="F200" s="4">
        <f>Tabela14[[#This Row],[Tensão (Pa)]]/1000000</f>
        <v>4.5502688610070079</v>
      </c>
    </row>
    <row r="201" spans="1:6" x14ac:dyDescent="0.3">
      <c r="A201" s="4">
        <v>43167</v>
      </c>
      <c r="B201" s="1">
        <v>0.35204000000000002</v>
      </c>
      <c r="C201" s="4">
        <f>Tabela14[[#This Row],[Alongamento (mm/mm)]]/$I$2</f>
        <v>7.0408000000000007E-3</v>
      </c>
      <c r="D201" s="1">
        <v>202.42</v>
      </c>
      <c r="E201" s="4">
        <f>Tabela14[[#This Row],[Força (N)]]/$I$5</f>
        <v>4581047.562145819</v>
      </c>
      <c r="F201" s="4">
        <f>Tabela14[[#This Row],[Tensão (Pa)]]/1000000</f>
        <v>4.5810475621458187</v>
      </c>
    </row>
    <row r="202" spans="1:6" x14ac:dyDescent="0.3">
      <c r="A202" s="4">
        <v>43500</v>
      </c>
      <c r="B202" s="1">
        <v>0.35474</v>
      </c>
      <c r="C202" s="4">
        <f>Tabela14[[#This Row],[Alongamento (mm/mm)]]/$I$2</f>
        <v>7.0948000000000001E-3</v>
      </c>
      <c r="D202" s="1">
        <v>203.78</v>
      </c>
      <c r="E202" s="4">
        <f>Tabela14[[#This Row],[Força (N)]]/$I$5</f>
        <v>4611826.2632846311</v>
      </c>
      <c r="F202" s="4">
        <f>Tabela14[[#This Row],[Tensão (Pa)]]/1000000</f>
        <v>4.6118262632846312</v>
      </c>
    </row>
    <row r="203" spans="1:6" x14ac:dyDescent="0.3">
      <c r="A203" s="4">
        <v>43833</v>
      </c>
      <c r="B203" s="1">
        <v>0.35761999999999999</v>
      </c>
      <c r="C203" s="4">
        <f>Tabela14[[#This Row],[Alongamento (mm/mm)]]/$I$2</f>
        <v>7.1523999999999997E-3</v>
      </c>
      <c r="D203" s="1">
        <v>204.97</v>
      </c>
      <c r="E203" s="4">
        <f>Tabela14[[#This Row],[Força (N)]]/$I$5</f>
        <v>4638757.626781092</v>
      </c>
      <c r="F203" s="4">
        <f>Tabela14[[#This Row],[Tensão (Pa)]]/1000000</f>
        <v>4.6387576267810919</v>
      </c>
    </row>
    <row r="204" spans="1:6" x14ac:dyDescent="0.3">
      <c r="A204" s="4">
        <v>44167</v>
      </c>
      <c r="B204" s="1">
        <v>0.36041000000000001</v>
      </c>
      <c r="C204" s="4">
        <f>Tabela14[[#This Row],[Alongamento (mm/mm)]]/$I$2</f>
        <v>7.2082000000000005E-3</v>
      </c>
      <c r="D204" s="1">
        <v>206.33</v>
      </c>
      <c r="E204" s="4">
        <f>Tabela14[[#This Row],[Força (N)]]/$I$5</f>
        <v>4669536.3279199041</v>
      </c>
      <c r="F204" s="4">
        <f>Tabela14[[#This Row],[Tensão (Pa)]]/1000000</f>
        <v>4.6695363279199045</v>
      </c>
    </row>
    <row r="205" spans="1:6" x14ac:dyDescent="0.3">
      <c r="A205" s="4">
        <v>44667</v>
      </c>
      <c r="B205" s="1">
        <v>0.36442000000000002</v>
      </c>
      <c r="C205" s="4">
        <f>Tabela14[[#This Row],[Alongamento (mm/mm)]]/$I$2</f>
        <v>7.2884000000000004E-3</v>
      </c>
      <c r="D205" s="1">
        <v>208.2</v>
      </c>
      <c r="E205" s="4">
        <f>Tabela14[[#This Row],[Força (N)]]/$I$5</f>
        <v>4711857.0419857698</v>
      </c>
      <c r="F205" s="4">
        <f>Tabela14[[#This Row],[Tensão (Pa)]]/1000000</f>
        <v>4.7118570419857697</v>
      </c>
    </row>
    <row r="206" spans="1:6" x14ac:dyDescent="0.3">
      <c r="A206" s="4">
        <v>45000</v>
      </c>
      <c r="B206" s="1">
        <v>0.36738999999999999</v>
      </c>
      <c r="C206" s="4">
        <f>Tabela14[[#This Row],[Alongamento (mm/mm)]]/$I$2</f>
        <v>7.3477999999999998E-3</v>
      </c>
      <c r="D206" s="1">
        <v>209.56</v>
      </c>
      <c r="E206" s="4">
        <f>Tabela14[[#This Row],[Força (N)]]/$I$5</f>
        <v>4742635.7431245819</v>
      </c>
      <c r="F206" s="4">
        <f>Tabela14[[#This Row],[Tensão (Pa)]]/1000000</f>
        <v>4.7426357431245822</v>
      </c>
    </row>
    <row r="207" spans="1:6" x14ac:dyDescent="0.3">
      <c r="A207" s="4">
        <v>45500</v>
      </c>
      <c r="B207" s="1">
        <v>0.37148999999999999</v>
      </c>
      <c r="C207" s="4">
        <f>Tabela14[[#This Row],[Alongamento (mm/mm)]]/$I$2</f>
        <v>7.4297999999999994E-3</v>
      </c>
      <c r="D207" s="1">
        <v>211.43</v>
      </c>
      <c r="E207" s="4">
        <f>Tabela14[[#This Row],[Força (N)]]/$I$5</f>
        <v>4784956.4571904484</v>
      </c>
      <c r="F207" s="4">
        <f>Tabela14[[#This Row],[Tensão (Pa)]]/1000000</f>
        <v>4.7849564571904484</v>
      </c>
    </row>
    <row r="208" spans="1:6" x14ac:dyDescent="0.3">
      <c r="A208" s="4">
        <v>45833</v>
      </c>
      <c r="B208" s="1">
        <v>0.37428</v>
      </c>
      <c r="C208" s="4">
        <f>Tabela14[[#This Row],[Alongamento (mm/mm)]]/$I$2</f>
        <v>7.4856000000000002E-3</v>
      </c>
      <c r="D208" s="1">
        <v>212.79</v>
      </c>
      <c r="E208" s="4">
        <f>Tabela14[[#This Row],[Força (N)]]/$I$5</f>
        <v>4815735.1583292605</v>
      </c>
      <c r="F208" s="4">
        <f>Tabela14[[#This Row],[Tensão (Pa)]]/1000000</f>
        <v>4.8157351583292609</v>
      </c>
    </row>
    <row r="209" spans="1:6" x14ac:dyDescent="0.3">
      <c r="A209" s="4">
        <v>46333</v>
      </c>
      <c r="B209" s="1">
        <v>0.37836999999999998</v>
      </c>
      <c r="C209" s="4">
        <f>Tabela14[[#This Row],[Alongamento (mm/mm)]]/$I$2</f>
        <v>7.5673999999999993E-3</v>
      </c>
      <c r="D209" s="1">
        <v>214.66</v>
      </c>
      <c r="E209" s="4">
        <f>Tabela14[[#This Row],[Força (N)]]/$I$5</f>
        <v>4858055.8723951271</v>
      </c>
      <c r="F209" s="4">
        <f>Tabela14[[#This Row],[Tensão (Pa)]]/1000000</f>
        <v>4.858055872395127</v>
      </c>
    </row>
    <row r="210" spans="1:6" x14ac:dyDescent="0.3">
      <c r="A210" s="4">
        <v>46667</v>
      </c>
      <c r="B210" s="1">
        <v>0.38125999999999999</v>
      </c>
      <c r="C210" s="4">
        <f>Tabela14[[#This Row],[Alongamento (mm/mm)]]/$I$2</f>
        <v>7.6251999999999995E-3</v>
      </c>
      <c r="D210" s="1">
        <v>215.86</v>
      </c>
      <c r="E210" s="4">
        <f>Tabela14[[#This Row],[Força (N)]]/$I$5</f>
        <v>4885213.5498705497</v>
      </c>
      <c r="F210" s="4">
        <f>Tabela14[[#This Row],[Tensão (Pa)]]/1000000</f>
        <v>4.8852135498705493</v>
      </c>
    </row>
    <row r="211" spans="1:6" x14ac:dyDescent="0.3">
      <c r="A211" s="4">
        <v>47000</v>
      </c>
      <c r="B211" s="1">
        <v>0.38396000000000002</v>
      </c>
      <c r="C211" s="4">
        <f>Tabela14[[#This Row],[Alongamento (mm/mm)]]/$I$2</f>
        <v>7.6792000000000006E-3</v>
      </c>
      <c r="D211" s="1">
        <v>217.22</v>
      </c>
      <c r="E211" s="4">
        <f>Tabela14[[#This Row],[Força (N)]]/$I$5</f>
        <v>4915992.2510093609</v>
      </c>
      <c r="F211" s="4">
        <f>Tabela14[[#This Row],[Tensão (Pa)]]/1000000</f>
        <v>4.915992251009361</v>
      </c>
    </row>
    <row r="212" spans="1:6" x14ac:dyDescent="0.3">
      <c r="A212" s="4">
        <v>47500</v>
      </c>
      <c r="B212" s="1">
        <v>0.38813999999999999</v>
      </c>
      <c r="C212" s="4">
        <f>Tabela14[[#This Row],[Alongamento (mm/mm)]]/$I$2</f>
        <v>7.7627999999999994E-3</v>
      </c>
      <c r="D212" s="1">
        <v>219.09</v>
      </c>
      <c r="E212" s="4">
        <f>Tabela14[[#This Row],[Força (N)]]/$I$5</f>
        <v>4958312.9650752274</v>
      </c>
      <c r="F212" s="4">
        <f>Tabela14[[#This Row],[Tensão (Pa)]]/1000000</f>
        <v>4.9583129650752271</v>
      </c>
    </row>
    <row r="213" spans="1:6" x14ac:dyDescent="0.3">
      <c r="A213" s="4">
        <v>48000</v>
      </c>
      <c r="B213" s="1">
        <v>0.39233000000000001</v>
      </c>
      <c r="C213" s="4">
        <f>Tabela14[[#This Row],[Alongamento (mm/mm)]]/$I$2</f>
        <v>7.8466000000000004E-3</v>
      </c>
      <c r="D213" s="1">
        <v>220.96</v>
      </c>
      <c r="E213" s="4">
        <f>Tabela14[[#This Row],[Força (N)]]/$I$5</f>
        <v>5000633.679141094</v>
      </c>
      <c r="F213" s="4">
        <f>Tabela14[[#This Row],[Tensão (Pa)]]/1000000</f>
        <v>5.0006336791410941</v>
      </c>
    </row>
    <row r="214" spans="1:6" x14ac:dyDescent="0.3">
      <c r="A214" s="4">
        <v>48500</v>
      </c>
      <c r="B214" s="1">
        <v>0.39643</v>
      </c>
      <c r="C214" s="4">
        <f>Tabela14[[#This Row],[Alongamento (mm/mm)]]/$I$2</f>
        <v>7.9286000000000009E-3</v>
      </c>
      <c r="D214" s="1">
        <v>222.83</v>
      </c>
      <c r="E214" s="4">
        <f>Tabela14[[#This Row],[Força (N)]]/$I$5</f>
        <v>5042954.3932069605</v>
      </c>
      <c r="F214" s="4">
        <f>Tabela14[[#This Row],[Tensão (Pa)]]/1000000</f>
        <v>5.0429543932069603</v>
      </c>
    </row>
    <row r="215" spans="1:6" x14ac:dyDescent="0.3">
      <c r="A215" s="4">
        <v>49000</v>
      </c>
      <c r="B215" s="1">
        <v>0.40061000000000002</v>
      </c>
      <c r="C215" s="4">
        <f>Tabela14[[#This Row],[Alongamento (mm/mm)]]/$I$2</f>
        <v>8.0122000000000006E-3</v>
      </c>
      <c r="D215" s="1">
        <v>224.7</v>
      </c>
      <c r="E215" s="4">
        <f>Tabela14[[#This Row],[Força (N)]]/$I$5</f>
        <v>5085275.1072728261</v>
      </c>
      <c r="F215" s="4">
        <f>Tabela14[[#This Row],[Tensão (Pa)]]/1000000</f>
        <v>5.0852751072728264</v>
      </c>
    </row>
    <row r="216" spans="1:6" x14ac:dyDescent="0.3">
      <c r="A216" s="4">
        <v>49500</v>
      </c>
      <c r="B216" s="1">
        <v>0.40479999999999999</v>
      </c>
      <c r="C216" s="4">
        <f>Tabela14[[#This Row],[Alongamento (mm/mm)]]/$I$2</f>
        <v>8.095999999999999E-3</v>
      </c>
      <c r="D216" s="1">
        <v>226.57</v>
      </c>
      <c r="E216" s="4">
        <f>Tabela14[[#This Row],[Força (N)]]/$I$5</f>
        <v>5127595.8213386927</v>
      </c>
      <c r="F216" s="4">
        <f>Tabela14[[#This Row],[Tensão (Pa)]]/1000000</f>
        <v>5.1275958213386925</v>
      </c>
    </row>
    <row r="217" spans="1:6" x14ac:dyDescent="0.3">
      <c r="A217" s="4">
        <v>50000</v>
      </c>
      <c r="B217" s="1">
        <v>0.40899000000000002</v>
      </c>
      <c r="C217" s="4">
        <f>Tabela14[[#This Row],[Alongamento (mm/mm)]]/$I$2</f>
        <v>8.179800000000001E-3</v>
      </c>
      <c r="D217" s="1">
        <v>228.44</v>
      </c>
      <c r="E217" s="4">
        <f>Tabela14[[#This Row],[Força (N)]]/$I$5</f>
        <v>5169916.5354045592</v>
      </c>
      <c r="F217" s="4">
        <f>Tabela14[[#This Row],[Tensão (Pa)]]/1000000</f>
        <v>5.1699165354045595</v>
      </c>
    </row>
    <row r="218" spans="1:6" x14ac:dyDescent="0.3">
      <c r="A218" s="4">
        <v>50500</v>
      </c>
      <c r="B218" s="1">
        <v>0.41317999999999999</v>
      </c>
      <c r="C218" s="4">
        <f>Tabela14[[#This Row],[Alongamento (mm/mm)]]/$I$2</f>
        <v>8.2635999999999994E-3</v>
      </c>
      <c r="D218" s="1">
        <v>230.31</v>
      </c>
      <c r="E218" s="4">
        <f>Tabela14[[#This Row],[Força (N)]]/$I$5</f>
        <v>5212237.2494704258</v>
      </c>
      <c r="F218" s="4">
        <f>Tabela14[[#This Row],[Tensão (Pa)]]/1000000</f>
        <v>5.2122372494704257</v>
      </c>
    </row>
    <row r="219" spans="1:6" x14ac:dyDescent="0.3">
      <c r="A219" s="4">
        <v>51000</v>
      </c>
      <c r="B219" s="1">
        <v>0.41726999999999997</v>
      </c>
      <c r="C219" s="4">
        <f>Tabela14[[#This Row],[Alongamento (mm/mm)]]/$I$2</f>
        <v>8.3453999999999993E-3</v>
      </c>
      <c r="D219" s="1">
        <v>232.18</v>
      </c>
      <c r="E219" s="4">
        <f>Tabela14[[#This Row],[Força (N)]]/$I$5</f>
        <v>5254557.9635362923</v>
      </c>
      <c r="F219" s="4">
        <f>Tabela14[[#This Row],[Tensão (Pa)]]/1000000</f>
        <v>5.2545579635362927</v>
      </c>
    </row>
    <row r="220" spans="1:6" x14ac:dyDescent="0.3">
      <c r="A220" s="4">
        <v>51500</v>
      </c>
      <c r="B220" s="1">
        <v>0.42146</v>
      </c>
      <c r="C220" s="4">
        <f>Tabela14[[#This Row],[Alongamento (mm/mm)]]/$I$2</f>
        <v>8.4291999999999995E-3</v>
      </c>
      <c r="D220" s="1">
        <v>233.89</v>
      </c>
      <c r="E220" s="4">
        <f>Tabela14[[#This Row],[Força (N)]]/$I$5</f>
        <v>5293257.6539387684</v>
      </c>
      <c r="F220" s="4">
        <f>Tabela14[[#This Row],[Tensão (Pa)]]/1000000</f>
        <v>5.2932576539387686</v>
      </c>
    </row>
    <row r="221" spans="1:6" x14ac:dyDescent="0.3">
      <c r="A221" s="4">
        <v>52000</v>
      </c>
      <c r="B221" s="1">
        <v>0.42554999999999998</v>
      </c>
      <c r="C221" s="4">
        <f>Tabela14[[#This Row],[Alongamento (mm/mm)]]/$I$2</f>
        <v>8.5109999999999995E-3</v>
      </c>
      <c r="D221" s="1">
        <v>235.76</v>
      </c>
      <c r="E221" s="4">
        <f>Tabela14[[#This Row],[Força (N)]]/$I$5</f>
        <v>5335578.368004635</v>
      </c>
      <c r="F221" s="4">
        <f>Tabela14[[#This Row],[Tensão (Pa)]]/1000000</f>
        <v>5.3355783680046347</v>
      </c>
    </row>
    <row r="222" spans="1:6" x14ac:dyDescent="0.3">
      <c r="A222" s="4">
        <v>52500</v>
      </c>
      <c r="B222" s="1">
        <v>0.42982999999999999</v>
      </c>
      <c r="C222" s="4">
        <f>Tabela14[[#This Row],[Alongamento (mm/mm)]]/$I$2</f>
        <v>8.5965999999999994E-3</v>
      </c>
      <c r="D222" s="1">
        <v>237.63</v>
      </c>
      <c r="E222" s="4">
        <f>Tabela14[[#This Row],[Força (N)]]/$I$5</f>
        <v>5377899.0820705015</v>
      </c>
      <c r="F222" s="4">
        <f>Tabela14[[#This Row],[Tensão (Pa)]]/1000000</f>
        <v>5.3778990820705017</v>
      </c>
    </row>
    <row r="223" spans="1:6" x14ac:dyDescent="0.3">
      <c r="A223" s="4">
        <v>53000</v>
      </c>
      <c r="B223" s="1">
        <v>0.43392999999999998</v>
      </c>
      <c r="C223" s="4">
        <f>Tabela14[[#This Row],[Alongamento (mm/mm)]]/$I$2</f>
        <v>8.6785999999999999E-3</v>
      </c>
      <c r="D223" s="1">
        <v>239.5</v>
      </c>
      <c r="E223" s="4">
        <f>Tabela14[[#This Row],[Força (N)]]/$I$5</f>
        <v>5420219.7961363681</v>
      </c>
      <c r="F223" s="4">
        <f>Tabela14[[#This Row],[Tensão (Pa)]]/1000000</f>
        <v>5.4202197961363678</v>
      </c>
    </row>
    <row r="224" spans="1:6" x14ac:dyDescent="0.3">
      <c r="A224" s="4">
        <v>53500</v>
      </c>
      <c r="B224" s="1">
        <v>0.43812000000000001</v>
      </c>
      <c r="C224" s="4">
        <f>Tabela14[[#This Row],[Alongamento (mm/mm)]]/$I$2</f>
        <v>8.7624E-3</v>
      </c>
      <c r="D224" s="1">
        <v>241.2</v>
      </c>
      <c r="E224" s="4">
        <f>Tabela14[[#This Row],[Força (N)]]/$I$5</f>
        <v>5458693.1725598834</v>
      </c>
      <c r="F224" s="4">
        <f>Tabela14[[#This Row],[Tensão (Pa)]]/1000000</f>
        <v>5.4586931725598831</v>
      </c>
    </row>
    <row r="225" spans="1:6" x14ac:dyDescent="0.3">
      <c r="A225" s="4">
        <v>54000</v>
      </c>
      <c r="B225" s="1">
        <v>0.44220999999999999</v>
      </c>
      <c r="C225" s="4">
        <f>Tabela14[[#This Row],[Alongamento (mm/mm)]]/$I$2</f>
        <v>8.8442E-3</v>
      </c>
      <c r="D225" s="1">
        <v>243.07</v>
      </c>
      <c r="E225" s="4">
        <f>Tabela14[[#This Row],[Força (N)]]/$I$5</f>
        <v>5501013.88662575</v>
      </c>
      <c r="F225" s="4">
        <f>Tabela14[[#This Row],[Tensão (Pa)]]/1000000</f>
        <v>5.5010138866257501</v>
      </c>
    </row>
    <row r="226" spans="1:6" x14ac:dyDescent="0.3">
      <c r="A226" s="4">
        <v>54500</v>
      </c>
      <c r="B226" s="1">
        <v>0.44640000000000002</v>
      </c>
      <c r="C226" s="4">
        <f>Tabela14[[#This Row],[Alongamento (mm/mm)]]/$I$2</f>
        <v>8.9280000000000002E-3</v>
      </c>
      <c r="D226" s="1">
        <v>244.94</v>
      </c>
      <c r="E226" s="4">
        <f>Tabela14[[#This Row],[Força (N)]]/$I$5</f>
        <v>5543334.6006916165</v>
      </c>
      <c r="F226" s="4">
        <f>Tabela14[[#This Row],[Tensão (Pa)]]/1000000</f>
        <v>5.5433346006916162</v>
      </c>
    </row>
    <row r="227" spans="1:6" x14ac:dyDescent="0.3">
      <c r="A227" s="4">
        <v>55000</v>
      </c>
      <c r="B227" s="1">
        <v>0.45058999999999999</v>
      </c>
      <c r="C227" s="4">
        <f>Tabela14[[#This Row],[Alongamento (mm/mm)]]/$I$2</f>
        <v>9.0118000000000004E-3</v>
      </c>
      <c r="D227" s="1">
        <v>246.81</v>
      </c>
      <c r="E227" s="4">
        <f>Tabela14[[#This Row],[Força (N)]]/$I$5</f>
        <v>5585655.3147574831</v>
      </c>
      <c r="F227" s="4">
        <f>Tabela14[[#This Row],[Tensão (Pa)]]/1000000</f>
        <v>5.5856553147574832</v>
      </c>
    </row>
    <row r="228" spans="1:6" x14ac:dyDescent="0.3">
      <c r="A228" s="4">
        <v>55500</v>
      </c>
      <c r="B228" s="1">
        <v>0.45477000000000001</v>
      </c>
      <c r="C228" s="4">
        <f>Tabela14[[#This Row],[Alongamento (mm/mm)]]/$I$2</f>
        <v>9.0954E-3</v>
      </c>
      <c r="D228" s="1">
        <v>248.68</v>
      </c>
      <c r="E228" s="4">
        <f>Tabela14[[#This Row],[Força (N)]]/$I$5</f>
        <v>5627976.0288233496</v>
      </c>
      <c r="F228" s="4">
        <f>Tabela14[[#This Row],[Tensão (Pa)]]/1000000</f>
        <v>5.6279760288233494</v>
      </c>
    </row>
    <row r="229" spans="1:6" x14ac:dyDescent="0.3">
      <c r="A229" s="4">
        <v>56000</v>
      </c>
      <c r="B229" s="1">
        <v>0.45895999999999998</v>
      </c>
      <c r="C229" s="4">
        <f>Tabela14[[#This Row],[Alongamento (mm/mm)]]/$I$2</f>
        <v>9.1792000000000002E-3</v>
      </c>
      <c r="D229" s="1">
        <v>250.39</v>
      </c>
      <c r="E229" s="4">
        <f>Tabela14[[#This Row],[Força (N)]]/$I$5</f>
        <v>5666675.7192258257</v>
      </c>
      <c r="F229" s="4">
        <f>Tabela14[[#This Row],[Tensão (Pa)]]/1000000</f>
        <v>5.6666757192258261</v>
      </c>
    </row>
    <row r="230" spans="1:6" x14ac:dyDescent="0.3">
      <c r="A230" s="4">
        <v>56500</v>
      </c>
      <c r="B230" s="1">
        <v>0.46306000000000003</v>
      </c>
      <c r="C230" s="4">
        <f>Tabela14[[#This Row],[Alongamento (mm/mm)]]/$I$2</f>
        <v>9.2612000000000007E-3</v>
      </c>
      <c r="D230" s="1">
        <v>252.26</v>
      </c>
      <c r="E230" s="4">
        <f>Tabela14[[#This Row],[Força (N)]]/$I$5</f>
        <v>5708996.4332916923</v>
      </c>
      <c r="F230" s="4">
        <f>Tabela14[[#This Row],[Tensão (Pa)]]/1000000</f>
        <v>5.7089964332916923</v>
      </c>
    </row>
    <row r="231" spans="1:6" x14ac:dyDescent="0.3">
      <c r="A231" s="4">
        <v>57000</v>
      </c>
      <c r="B231" s="1">
        <v>0.46723999999999999</v>
      </c>
      <c r="C231" s="4">
        <f>Tabela14[[#This Row],[Alongamento (mm/mm)]]/$I$2</f>
        <v>9.3448000000000003E-3</v>
      </c>
      <c r="D231" s="1">
        <v>254.13</v>
      </c>
      <c r="E231" s="4">
        <f>Tabela14[[#This Row],[Força (N)]]/$I$5</f>
        <v>5751317.1473575588</v>
      </c>
      <c r="F231" s="4">
        <f>Tabela14[[#This Row],[Tensão (Pa)]]/1000000</f>
        <v>5.7513171473575584</v>
      </c>
    </row>
    <row r="232" spans="1:6" x14ac:dyDescent="0.3">
      <c r="A232" s="4">
        <v>57500</v>
      </c>
      <c r="B232" s="1">
        <v>0.47143000000000002</v>
      </c>
      <c r="C232" s="4">
        <f>Tabela14[[#This Row],[Alongamento (mm/mm)]]/$I$2</f>
        <v>9.4286000000000005E-3</v>
      </c>
      <c r="D232" s="1">
        <v>256</v>
      </c>
      <c r="E232" s="4">
        <f>Tabela14[[#This Row],[Força (N)]]/$I$5</f>
        <v>5793637.8614234254</v>
      </c>
      <c r="F232" s="4">
        <f>Tabela14[[#This Row],[Tensão (Pa)]]/1000000</f>
        <v>5.7936378614234254</v>
      </c>
    </row>
    <row r="233" spans="1:6" x14ac:dyDescent="0.3">
      <c r="A233" s="4">
        <v>58000</v>
      </c>
      <c r="B233" s="1">
        <v>0.47561999999999999</v>
      </c>
      <c r="C233" s="4">
        <f>Tabela14[[#This Row],[Alongamento (mm/mm)]]/$I$2</f>
        <v>9.512399999999999E-3</v>
      </c>
      <c r="D233" s="1">
        <v>257.87</v>
      </c>
      <c r="E233" s="4">
        <f>Tabela14[[#This Row],[Força (N)]]/$I$5</f>
        <v>5835958.5754892919</v>
      </c>
      <c r="F233" s="4">
        <f>Tabela14[[#This Row],[Tensão (Pa)]]/1000000</f>
        <v>5.8359585754892915</v>
      </c>
    </row>
    <row r="234" spans="1:6" x14ac:dyDescent="0.3">
      <c r="A234" s="4">
        <v>58500</v>
      </c>
      <c r="B234" s="1">
        <v>0.47981000000000001</v>
      </c>
      <c r="C234" s="4">
        <f>Tabela14[[#This Row],[Alongamento (mm/mm)]]/$I$2</f>
        <v>9.5962000000000009E-3</v>
      </c>
      <c r="D234" s="1">
        <v>259.74</v>
      </c>
      <c r="E234" s="4">
        <f>Tabela14[[#This Row],[Força (N)]]/$I$5</f>
        <v>5878279.2895551585</v>
      </c>
      <c r="F234" s="4">
        <f>Tabela14[[#This Row],[Tensão (Pa)]]/1000000</f>
        <v>5.8782792895551585</v>
      </c>
    </row>
    <row r="235" spans="1:6" x14ac:dyDescent="0.3">
      <c r="A235" s="4">
        <v>59000</v>
      </c>
      <c r="B235" s="1">
        <v>0.48398999999999998</v>
      </c>
      <c r="C235" s="4">
        <f>Tabela14[[#This Row],[Alongamento (mm/mm)]]/$I$2</f>
        <v>9.6797999999999988E-3</v>
      </c>
      <c r="D235" s="1">
        <v>261.61</v>
      </c>
      <c r="E235" s="4">
        <f>Tabela14[[#This Row],[Força (N)]]/$I$5</f>
        <v>5920600.003621025</v>
      </c>
      <c r="F235" s="4">
        <f>Tabela14[[#This Row],[Tensão (Pa)]]/1000000</f>
        <v>5.9206000036210247</v>
      </c>
    </row>
    <row r="236" spans="1:6" x14ac:dyDescent="0.3">
      <c r="A236" s="4">
        <v>59500</v>
      </c>
      <c r="B236" s="1">
        <v>0.48809000000000002</v>
      </c>
      <c r="C236" s="4">
        <f>Tabela14[[#This Row],[Alongamento (mm/mm)]]/$I$2</f>
        <v>9.761800000000001E-3</v>
      </c>
      <c r="D236" s="1">
        <v>263.31</v>
      </c>
      <c r="E236" s="4">
        <f>Tabela14[[#This Row],[Força (N)]]/$I$5</f>
        <v>5959073.3800445395</v>
      </c>
      <c r="F236" s="4">
        <f>Tabela14[[#This Row],[Tensão (Pa)]]/1000000</f>
        <v>5.9590733800445399</v>
      </c>
    </row>
    <row r="237" spans="1:6" x14ac:dyDescent="0.3">
      <c r="A237" s="4">
        <v>60000</v>
      </c>
      <c r="B237" s="1">
        <v>0.49228</v>
      </c>
      <c r="C237" s="4">
        <f>Tabela14[[#This Row],[Alongamento (mm/mm)]]/$I$2</f>
        <v>9.8455999999999995E-3</v>
      </c>
      <c r="D237" s="1">
        <v>265.18</v>
      </c>
      <c r="E237" s="4">
        <f>Tabela14[[#This Row],[Força (N)]]/$I$5</f>
        <v>6001394.094110406</v>
      </c>
      <c r="F237" s="4">
        <f>Tabela14[[#This Row],[Tensão (Pa)]]/1000000</f>
        <v>6.001394094110406</v>
      </c>
    </row>
    <row r="238" spans="1:6" x14ac:dyDescent="0.3">
      <c r="A238" s="4">
        <v>60500</v>
      </c>
      <c r="B238" s="1">
        <v>0.49646000000000001</v>
      </c>
      <c r="C238" s="4">
        <f>Tabela14[[#This Row],[Alongamento (mm/mm)]]/$I$2</f>
        <v>9.9292000000000009E-3</v>
      </c>
      <c r="D238" s="1">
        <v>267.06</v>
      </c>
      <c r="E238" s="4">
        <f>Tabela14[[#This Row],[Força (N)]]/$I$5</f>
        <v>6043941.1221552342</v>
      </c>
      <c r="F238" s="4">
        <f>Tabela14[[#This Row],[Tensão (Pa)]]/1000000</f>
        <v>6.0439411221552346</v>
      </c>
    </row>
    <row r="239" spans="1:6" x14ac:dyDescent="0.3">
      <c r="A239" s="4">
        <v>61000</v>
      </c>
      <c r="B239" s="1">
        <v>0.50065000000000004</v>
      </c>
      <c r="C239" s="4">
        <f>Tabela14[[#This Row],[Alongamento (mm/mm)]]/$I$2</f>
        <v>1.0013000000000001E-2</v>
      </c>
      <c r="D239" s="1">
        <v>268.93</v>
      </c>
      <c r="E239" s="4">
        <f>Tabela14[[#This Row],[Força (N)]]/$I$5</f>
        <v>6086261.8362211008</v>
      </c>
      <c r="F239" s="4">
        <f>Tabela14[[#This Row],[Tensão (Pa)]]/1000000</f>
        <v>6.0862618362211007</v>
      </c>
    </row>
    <row r="240" spans="1:6" x14ac:dyDescent="0.3">
      <c r="A240" s="4">
        <v>61500</v>
      </c>
      <c r="B240" s="1">
        <v>0.50475000000000003</v>
      </c>
      <c r="C240" s="4">
        <f>Tabela14[[#This Row],[Alongamento (mm/mm)]]/$I$2</f>
        <v>1.0095E-2</v>
      </c>
      <c r="D240" s="1">
        <v>270.8</v>
      </c>
      <c r="E240" s="4">
        <f>Tabela14[[#This Row],[Força (N)]]/$I$5</f>
        <v>6128582.5502869673</v>
      </c>
      <c r="F240" s="4">
        <f>Tabela14[[#This Row],[Tensão (Pa)]]/1000000</f>
        <v>6.1285825502869677</v>
      </c>
    </row>
    <row r="241" spans="1:6" x14ac:dyDescent="0.3">
      <c r="A241" s="4">
        <v>62000</v>
      </c>
      <c r="B241" s="1">
        <v>0.50892999999999999</v>
      </c>
      <c r="C241" s="4">
        <f>Tabela14[[#This Row],[Alongamento (mm/mm)]]/$I$2</f>
        <v>1.0178599999999999E-2</v>
      </c>
      <c r="D241" s="1">
        <v>272.67</v>
      </c>
      <c r="E241" s="4">
        <f>Tabela14[[#This Row],[Força (N)]]/$I$5</f>
        <v>6170903.2643528339</v>
      </c>
      <c r="F241" s="4">
        <f>Tabela14[[#This Row],[Tensão (Pa)]]/1000000</f>
        <v>6.1709032643528339</v>
      </c>
    </row>
    <row r="242" spans="1:6" x14ac:dyDescent="0.3">
      <c r="A242" s="4">
        <v>62500</v>
      </c>
      <c r="B242" s="1">
        <v>0.51312000000000002</v>
      </c>
      <c r="C242" s="4">
        <f>Tabela14[[#This Row],[Alongamento (mm/mm)]]/$I$2</f>
        <v>1.02624E-2</v>
      </c>
      <c r="D242" s="1">
        <v>274.54000000000002</v>
      </c>
      <c r="E242" s="4">
        <f>Tabela14[[#This Row],[Força (N)]]/$I$5</f>
        <v>6213223.9784187004</v>
      </c>
      <c r="F242" s="4">
        <f>Tabela14[[#This Row],[Tensão (Pa)]]/1000000</f>
        <v>6.2132239784187</v>
      </c>
    </row>
    <row r="243" spans="1:6" x14ac:dyDescent="0.3">
      <c r="A243" s="4">
        <v>63000</v>
      </c>
      <c r="B243" s="1">
        <v>0.51731000000000005</v>
      </c>
      <c r="C243" s="4">
        <f>Tabela14[[#This Row],[Alongamento (mm/mm)]]/$I$2</f>
        <v>1.0346200000000002E-2</v>
      </c>
      <c r="D243" s="1">
        <v>276.41000000000003</v>
      </c>
      <c r="E243" s="4">
        <f>Tabela14[[#This Row],[Força (N)]]/$I$5</f>
        <v>6255544.6924845669</v>
      </c>
      <c r="F243" s="4">
        <f>Tabela14[[#This Row],[Tensão (Pa)]]/1000000</f>
        <v>6.255544692484567</v>
      </c>
    </row>
    <row r="244" spans="1:6" x14ac:dyDescent="0.3">
      <c r="A244" s="4">
        <v>63500</v>
      </c>
      <c r="B244" s="1">
        <v>0.52149999999999996</v>
      </c>
      <c r="C244" s="4">
        <f>Tabela14[[#This Row],[Alongamento (mm/mm)]]/$I$2</f>
        <v>1.043E-2</v>
      </c>
      <c r="D244" s="1">
        <v>278.27999999999997</v>
      </c>
      <c r="E244" s="4">
        <f>Tabela14[[#This Row],[Força (N)]]/$I$5</f>
        <v>6297865.4065504316</v>
      </c>
      <c r="F244" s="4">
        <f>Tabela14[[#This Row],[Tensão (Pa)]]/1000000</f>
        <v>6.2978654065504314</v>
      </c>
    </row>
    <row r="245" spans="1:6" x14ac:dyDescent="0.3">
      <c r="A245" s="4">
        <v>64000</v>
      </c>
      <c r="B245" s="1">
        <v>0.52559</v>
      </c>
      <c r="C245" s="4">
        <f>Tabela14[[#This Row],[Alongamento (mm/mm)]]/$I$2</f>
        <v>1.05118E-2</v>
      </c>
      <c r="D245" s="1">
        <v>280.14999999999998</v>
      </c>
      <c r="E245" s="4">
        <f>Tabela14[[#This Row],[Força (N)]]/$I$5</f>
        <v>6340186.1206162982</v>
      </c>
      <c r="F245" s="4">
        <f>Tabela14[[#This Row],[Tensão (Pa)]]/1000000</f>
        <v>6.3401861206162984</v>
      </c>
    </row>
    <row r="246" spans="1:6" x14ac:dyDescent="0.3">
      <c r="A246" s="4">
        <v>64500</v>
      </c>
      <c r="B246" s="1">
        <v>0.52978000000000003</v>
      </c>
      <c r="C246" s="4">
        <f>Tabela14[[#This Row],[Alongamento (mm/mm)]]/$I$2</f>
        <v>1.05956E-2</v>
      </c>
      <c r="D246" s="1">
        <v>282.02</v>
      </c>
      <c r="E246" s="4">
        <f>Tabela14[[#This Row],[Força (N)]]/$I$5</f>
        <v>6382506.8346821647</v>
      </c>
      <c r="F246" s="4">
        <f>Tabela14[[#This Row],[Tensão (Pa)]]/1000000</f>
        <v>6.3825068346821645</v>
      </c>
    </row>
    <row r="247" spans="1:6" x14ac:dyDescent="0.3">
      <c r="A247" s="4">
        <v>65000</v>
      </c>
      <c r="B247" s="1">
        <v>0.53386999999999996</v>
      </c>
      <c r="C247" s="4">
        <f>Tabela14[[#This Row],[Alongamento (mm/mm)]]/$I$2</f>
        <v>1.0677399999999998E-2</v>
      </c>
      <c r="D247" s="1">
        <v>283.89</v>
      </c>
      <c r="E247" s="4">
        <f>Tabela14[[#This Row],[Força (N)]]/$I$5</f>
        <v>6424827.5487480313</v>
      </c>
      <c r="F247" s="4">
        <f>Tabela14[[#This Row],[Tensão (Pa)]]/1000000</f>
        <v>6.4248275487480315</v>
      </c>
    </row>
    <row r="248" spans="1:6" x14ac:dyDescent="0.3">
      <c r="A248" s="4">
        <v>65500</v>
      </c>
      <c r="B248" s="1">
        <v>0.53815000000000002</v>
      </c>
      <c r="C248" s="4">
        <f>Tabela14[[#This Row],[Alongamento (mm/mm)]]/$I$2</f>
        <v>1.0763E-2</v>
      </c>
      <c r="D248" s="1">
        <v>285.77</v>
      </c>
      <c r="E248" s="4">
        <f>Tabela14[[#This Row],[Força (N)]]/$I$5</f>
        <v>6467374.5767928595</v>
      </c>
      <c r="F248" s="4">
        <f>Tabela14[[#This Row],[Tensão (Pa)]]/1000000</f>
        <v>6.4673745767928592</v>
      </c>
    </row>
    <row r="249" spans="1:6" x14ac:dyDescent="0.3">
      <c r="A249" s="4">
        <v>66167</v>
      </c>
      <c r="B249" s="1">
        <v>0.54374</v>
      </c>
      <c r="C249" s="4">
        <f>Tabela14[[#This Row],[Alongamento (mm/mm)]]/$I$2</f>
        <v>1.08748E-2</v>
      </c>
      <c r="D249" s="1">
        <v>288.32</v>
      </c>
      <c r="E249" s="4">
        <f>Tabela14[[#This Row],[Força (N)]]/$I$5</f>
        <v>6525084.6414281325</v>
      </c>
      <c r="F249" s="4">
        <f>Tabela14[[#This Row],[Tensão (Pa)]]/1000000</f>
        <v>6.5250846414281325</v>
      </c>
    </row>
    <row r="250" spans="1:6" x14ac:dyDescent="0.3">
      <c r="A250" s="4">
        <v>66833</v>
      </c>
      <c r="B250" s="1">
        <v>0.54923</v>
      </c>
      <c r="C250" s="4">
        <f>Tabela14[[#This Row],[Alongamento (mm/mm)]]/$I$2</f>
        <v>1.0984600000000001E-2</v>
      </c>
      <c r="D250" s="1">
        <v>290.87</v>
      </c>
      <c r="E250" s="4">
        <f>Tabela14[[#This Row],[Força (N)]]/$I$5</f>
        <v>6582794.7060634047</v>
      </c>
      <c r="F250" s="4">
        <f>Tabela14[[#This Row],[Tensão (Pa)]]/1000000</f>
        <v>6.5827947060634049</v>
      </c>
    </row>
    <row r="251" spans="1:6" x14ac:dyDescent="0.3">
      <c r="A251" s="4">
        <v>67500</v>
      </c>
      <c r="B251" s="1">
        <v>0.55481000000000003</v>
      </c>
      <c r="C251" s="4">
        <f>Tabela14[[#This Row],[Alongamento (mm/mm)]]/$I$2</f>
        <v>1.1096200000000001E-2</v>
      </c>
      <c r="D251" s="1">
        <v>293.42</v>
      </c>
      <c r="E251" s="4">
        <f>Tabela14[[#This Row],[Força (N)]]/$I$5</f>
        <v>6640504.7706986777</v>
      </c>
      <c r="F251" s="4">
        <f>Tabela14[[#This Row],[Tensão (Pa)]]/1000000</f>
        <v>6.6405047706986782</v>
      </c>
    </row>
    <row r="252" spans="1:6" x14ac:dyDescent="0.3">
      <c r="A252" s="4">
        <v>68167</v>
      </c>
      <c r="B252" s="1">
        <v>0.56040000000000001</v>
      </c>
      <c r="C252" s="4">
        <f>Tabela14[[#This Row],[Alongamento (mm/mm)]]/$I$2</f>
        <v>1.1208000000000001E-2</v>
      </c>
      <c r="D252" s="1">
        <v>295.97000000000003</v>
      </c>
      <c r="E252" s="4">
        <f>Tabela14[[#This Row],[Força (N)]]/$I$5</f>
        <v>6698214.8353339508</v>
      </c>
      <c r="F252" s="4">
        <f>Tabela14[[#This Row],[Tensão (Pa)]]/1000000</f>
        <v>6.6982148353339506</v>
      </c>
    </row>
    <row r="253" spans="1:6" x14ac:dyDescent="0.3">
      <c r="A253" s="4">
        <v>68833</v>
      </c>
      <c r="B253" s="1">
        <v>0.56589</v>
      </c>
      <c r="C253" s="4">
        <f>Tabela14[[#This Row],[Alongamento (mm/mm)]]/$I$2</f>
        <v>1.1317799999999999E-2</v>
      </c>
      <c r="D253" s="1">
        <v>298.52</v>
      </c>
      <c r="E253" s="4">
        <f>Tabela14[[#This Row],[Força (N)]]/$I$5</f>
        <v>6755924.899969222</v>
      </c>
      <c r="F253" s="4">
        <f>Tabela14[[#This Row],[Tensão (Pa)]]/1000000</f>
        <v>6.7559248999692221</v>
      </c>
    </row>
    <row r="254" spans="1:6" x14ac:dyDescent="0.3">
      <c r="A254" s="4">
        <v>69500</v>
      </c>
      <c r="B254" s="1">
        <v>0.57147000000000003</v>
      </c>
      <c r="C254" s="4">
        <f>Tabela14[[#This Row],[Alongamento (mm/mm)]]/$I$2</f>
        <v>1.1429400000000001E-2</v>
      </c>
      <c r="D254" s="1">
        <v>301.07</v>
      </c>
      <c r="E254" s="4">
        <f>Tabela14[[#This Row],[Força (N)]]/$I$5</f>
        <v>6813634.9646044942</v>
      </c>
      <c r="F254" s="4">
        <f>Tabela14[[#This Row],[Tensão (Pa)]]/1000000</f>
        <v>6.8136349646044945</v>
      </c>
    </row>
    <row r="255" spans="1:6" x14ac:dyDescent="0.3">
      <c r="A255" s="4">
        <v>70167</v>
      </c>
      <c r="B255" s="1">
        <v>0.57704999999999995</v>
      </c>
      <c r="C255" s="4">
        <f>Tabela14[[#This Row],[Alongamento (mm/mm)]]/$I$2</f>
        <v>1.1540999999999999E-2</v>
      </c>
      <c r="D255" s="1">
        <v>303.63</v>
      </c>
      <c r="E255" s="4">
        <f>Tabela14[[#This Row],[Força (N)]]/$I$5</f>
        <v>6871571.3432187289</v>
      </c>
      <c r="F255" s="4">
        <f>Tabela14[[#This Row],[Tensão (Pa)]]/1000000</f>
        <v>6.8715713432187293</v>
      </c>
    </row>
    <row r="256" spans="1:6" x14ac:dyDescent="0.3">
      <c r="A256" s="4">
        <v>70833</v>
      </c>
      <c r="B256" s="1">
        <v>0.58253999999999995</v>
      </c>
      <c r="C256" s="4">
        <f>Tabela14[[#This Row],[Alongamento (mm/mm)]]/$I$2</f>
        <v>1.1650799999999999E-2</v>
      </c>
      <c r="D256" s="1">
        <v>306.18</v>
      </c>
      <c r="E256" s="4">
        <f>Tabela14[[#This Row],[Força (N)]]/$I$5</f>
        <v>6929281.407854001</v>
      </c>
      <c r="F256" s="4">
        <f>Tabela14[[#This Row],[Tensão (Pa)]]/1000000</f>
        <v>6.9292814078540008</v>
      </c>
    </row>
    <row r="257" spans="1:6" x14ac:dyDescent="0.3">
      <c r="A257" s="4">
        <v>71500</v>
      </c>
      <c r="B257" s="1">
        <v>0.58813000000000004</v>
      </c>
      <c r="C257" s="4">
        <f>Tabela14[[#This Row],[Alongamento (mm/mm)]]/$I$2</f>
        <v>1.1762600000000002E-2</v>
      </c>
      <c r="D257" s="1">
        <v>308.73</v>
      </c>
      <c r="E257" s="4">
        <f>Tabela14[[#This Row],[Força (N)]]/$I$5</f>
        <v>6986991.4724892741</v>
      </c>
      <c r="F257" s="4">
        <f>Tabela14[[#This Row],[Tensão (Pa)]]/1000000</f>
        <v>6.9869914724892741</v>
      </c>
    </row>
    <row r="258" spans="1:6" x14ac:dyDescent="0.3">
      <c r="A258" s="4">
        <v>72167</v>
      </c>
      <c r="B258" s="1">
        <v>0.59370999999999996</v>
      </c>
      <c r="C258" s="4">
        <f>Tabela14[[#This Row],[Alongamento (mm/mm)]]/$I$2</f>
        <v>1.18742E-2</v>
      </c>
      <c r="D258" s="1">
        <v>311.27999999999997</v>
      </c>
      <c r="E258" s="4">
        <f>Tabela14[[#This Row],[Força (N)]]/$I$5</f>
        <v>7044701.5371245453</v>
      </c>
      <c r="F258" s="4">
        <f>Tabela14[[#This Row],[Tensão (Pa)]]/1000000</f>
        <v>7.0447015371245456</v>
      </c>
    </row>
    <row r="259" spans="1:6" x14ac:dyDescent="0.3">
      <c r="A259" s="4">
        <v>72833</v>
      </c>
      <c r="B259" s="1">
        <v>0.59928999999999999</v>
      </c>
      <c r="C259" s="4">
        <f>Tabela14[[#This Row],[Alongamento (mm/mm)]]/$I$2</f>
        <v>1.19858E-2</v>
      </c>
      <c r="D259" s="1">
        <v>313.83</v>
      </c>
      <c r="E259" s="4">
        <f>Tabela14[[#This Row],[Força (N)]]/$I$5</f>
        <v>7102411.6017598184</v>
      </c>
      <c r="F259" s="4">
        <f>Tabela14[[#This Row],[Tensão (Pa)]]/1000000</f>
        <v>7.102411601759818</v>
      </c>
    </row>
    <row r="260" spans="1:6" x14ac:dyDescent="0.3">
      <c r="A260" s="4">
        <v>73500</v>
      </c>
      <c r="B260" s="1">
        <v>0.60477999999999998</v>
      </c>
      <c r="C260" s="4">
        <f>Tabela14[[#This Row],[Alongamento (mm/mm)]]/$I$2</f>
        <v>1.20956E-2</v>
      </c>
      <c r="D260" s="1">
        <v>316.20999999999998</v>
      </c>
      <c r="E260" s="4">
        <f>Tabela14[[#This Row],[Força (N)]]/$I$5</f>
        <v>7156274.3287527384</v>
      </c>
      <c r="F260" s="4">
        <f>Tabela14[[#This Row],[Tensão (Pa)]]/1000000</f>
        <v>7.1562743287527386</v>
      </c>
    </row>
    <row r="261" spans="1:6" x14ac:dyDescent="0.3">
      <c r="A261" s="4">
        <v>74167</v>
      </c>
      <c r="B261" s="1">
        <v>0.61036999999999997</v>
      </c>
      <c r="C261" s="4">
        <f>Tabela14[[#This Row],[Alongamento (mm/mm)]]/$I$2</f>
        <v>1.22074E-2</v>
      </c>
      <c r="D261" s="1">
        <v>318.77</v>
      </c>
      <c r="E261" s="4">
        <f>Tabela14[[#This Row],[Força (N)]]/$I$5</f>
        <v>7214210.7073669732</v>
      </c>
      <c r="F261" s="4">
        <f>Tabela14[[#This Row],[Tensão (Pa)]]/1000000</f>
        <v>7.2142107073669735</v>
      </c>
    </row>
    <row r="262" spans="1:6" x14ac:dyDescent="0.3">
      <c r="A262" s="4">
        <v>74833</v>
      </c>
      <c r="B262" s="1">
        <v>0.61595</v>
      </c>
      <c r="C262" s="4">
        <f>Tabela14[[#This Row],[Alongamento (mm/mm)]]/$I$2</f>
        <v>1.2319E-2</v>
      </c>
      <c r="D262" s="1">
        <v>321.49</v>
      </c>
      <c r="E262" s="4">
        <f>Tabela14[[#This Row],[Força (N)]]/$I$5</f>
        <v>7275768.1096445974</v>
      </c>
      <c r="F262" s="4">
        <f>Tabela14[[#This Row],[Tensão (Pa)]]/1000000</f>
        <v>7.2757681096445976</v>
      </c>
    </row>
    <row r="263" spans="1:6" x14ac:dyDescent="0.3">
      <c r="A263" s="4">
        <v>75500</v>
      </c>
      <c r="B263" s="1">
        <v>0.62143999999999999</v>
      </c>
      <c r="C263" s="4">
        <f>Tabela14[[#This Row],[Alongamento (mm/mm)]]/$I$2</f>
        <v>1.24288E-2</v>
      </c>
      <c r="D263" s="1">
        <v>323.87</v>
      </c>
      <c r="E263" s="4">
        <f>Tabela14[[#This Row],[Força (N)]]/$I$5</f>
        <v>7329630.8366375184</v>
      </c>
      <c r="F263" s="4">
        <f>Tabela14[[#This Row],[Tensão (Pa)]]/1000000</f>
        <v>7.3296308366375182</v>
      </c>
    </row>
    <row r="264" spans="1:6" x14ac:dyDescent="0.3">
      <c r="A264" s="4">
        <v>76167</v>
      </c>
      <c r="B264" s="1">
        <v>0.62692999999999999</v>
      </c>
      <c r="C264" s="4">
        <f>Tabela14[[#This Row],[Alongamento (mm/mm)]]/$I$2</f>
        <v>1.25386E-2</v>
      </c>
      <c r="D264" s="1">
        <v>326.42</v>
      </c>
      <c r="E264" s="4">
        <f>Tabela14[[#This Row],[Força (N)]]/$I$5</f>
        <v>7387340.9012727914</v>
      </c>
      <c r="F264" s="4">
        <f>Tabela14[[#This Row],[Tensão (Pa)]]/1000000</f>
        <v>7.3873409012727915</v>
      </c>
    </row>
    <row r="265" spans="1:6" x14ac:dyDescent="0.3">
      <c r="A265" s="4">
        <v>76833</v>
      </c>
      <c r="B265" s="1">
        <v>0.63251999999999997</v>
      </c>
      <c r="C265" s="4">
        <f>Tabela14[[#This Row],[Alongamento (mm/mm)]]/$I$2</f>
        <v>1.2650399999999999E-2</v>
      </c>
      <c r="D265" s="1">
        <v>329.14</v>
      </c>
      <c r="E265" s="4">
        <f>Tabela14[[#This Row],[Força (N)]]/$I$5</f>
        <v>7448898.3035504147</v>
      </c>
      <c r="F265" s="4">
        <f>Tabela14[[#This Row],[Tensão (Pa)]]/1000000</f>
        <v>7.4488983035504148</v>
      </c>
    </row>
    <row r="266" spans="1:6" x14ac:dyDescent="0.3">
      <c r="A266" s="4">
        <v>77500</v>
      </c>
      <c r="B266" s="1">
        <v>0.6381</v>
      </c>
      <c r="C266" s="4">
        <f>Tabela14[[#This Row],[Alongamento (mm/mm)]]/$I$2</f>
        <v>1.2762000000000001E-2</v>
      </c>
      <c r="D266" s="1">
        <v>331.69</v>
      </c>
      <c r="E266" s="4">
        <f>Tabela14[[#This Row],[Força (N)]]/$I$5</f>
        <v>7506608.3681856869</v>
      </c>
      <c r="F266" s="4">
        <f>Tabela14[[#This Row],[Tensão (Pa)]]/1000000</f>
        <v>7.5066083681856872</v>
      </c>
    </row>
    <row r="267" spans="1:6" x14ac:dyDescent="0.3">
      <c r="A267" s="4">
        <v>78167</v>
      </c>
      <c r="B267" s="1">
        <v>0.64359</v>
      </c>
      <c r="C267" s="4">
        <f>Tabela14[[#This Row],[Alongamento (mm/mm)]]/$I$2</f>
        <v>1.2871799999999999E-2</v>
      </c>
      <c r="D267" s="1">
        <v>334.24</v>
      </c>
      <c r="E267" s="4">
        <f>Tabela14[[#This Row],[Força (N)]]/$I$5</f>
        <v>7564318.4328209599</v>
      </c>
      <c r="F267" s="4">
        <f>Tabela14[[#This Row],[Tensão (Pa)]]/1000000</f>
        <v>7.5643184328209596</v>
      </c>
    </row>
    <row r="268" spans="1:6" x14ac:dyDescent="0.3">
      <c r="A268" s="4">
        <v>78833</v>
      </c>
      <c r="B268" s="1">
        <v>0.64917000000000002</v>
      </c>
      <c r="C268" s="4">
        <f>Tabela14[[#This Row],[Alongamento (mm/mm)]]/$I$2</f>
        <v>1.2983400000000001E-2</v>
      </c>
      <c r="D268" s="1">
        <v>336.8</v>
      </c>
      <c r="E268" s="4">
        <f>Tabela14[[#This Row],[Força (N)]]/$I$5</f>
        <v>7622254.8114351938</v>
      </c>
      <c r="F268" s="4">
        <f>Tabela14[[#This Row],[Tensão (Pa)]]/1000000</f>
        <v>7.6222548114351936</v>
      </c>
    </row>
    <row r="269" spans="1:6" x14ac:dyDescent="0.3">
      <c r="A269" s="4">
        <v>79500</v>
      </c>
      <c r="B269" s="1">
        <v>0.65485000000000004</v>
      </c>
      <c r="C269" s="4">
        <f>Tabela14[[#This Row],[Alongamento (mm/mm)]]/$I$2</f>
        <v>1.3097000000000001E-2</v>
      </c>
      <c r="D269" s="1">
        <v>339.52</v>
      </c>
      <c r="E269" s="4">
        <f>Tabela14[[#This Row],[Força (N)]]/$I$5</f>
        <v>7683812.2137128171</v>
      </c>
      <c r="F269" s="4">
        <f>Tabela14[[#This Row],[Tensão (Pa)]]/1000000</f>
        <v>7.6838122137128169</v>
      </c>
    </row>
    <row r="270" spans="1:6" x14ac:dyDescent="0.3">
      <c r="A270" s="4">
        <v>80167</v>
      </c>
      <c r="B270" s="1">
        <v>0.66034000000000004</v>
      </c>
      <c r="C270" s="4">
        <f>Tabela14[[#This Row],[Alongamento (mm/mm)]]/$I$2</f>
        <v>1.3206800000000001E-2</v>
      </c>
      <c r="D270" s="1">
        <v>342.07</v>
      </c>
      <c r="E270" s="4">
        <f>Tabela14[[#This Row],[Força (N)]]/$I$5</f>
        <v>7741522.2783480901</v>
      </c>
      <c r="F270" s="4">
        <f>Tabela14[[#This Row],[Tensão (Pa)]]/1000000</f>
        <v>7.7415222783480901</v>
      </c>
    </row>
    <row r="271" spans="1:6" x14ac:dyDescent="0.3">
      <c r="A271" s="4">
        <v>80833</v>
      </c>
      <c r="B271" s="1">
        <v>0.66591999999999996</v>
      </c>
      <c r="C271" s="4">
        <f>Tabela14[[#This Row],[Alongamento (mm/mm)]]/$I$2</f>
        <v>1.3318399999999999E-2</v>
      </c>
      <c r="D271" s="1">
        <v>344.62</v>
      </c>
      <c r="E271" s="4">
        <f>Tabela14[[#This Row],[Força (N)]]/$I$5</f>
        <v>7799232.3429833623</v>
      </c>
      <c r="F271" s="4">
        <f>Tabela14[[#This Row],[Tensão (Pa)]]/1000000</f>
        <v>7.7992323429833625</v>
      </c>
    </row>
    <row r="272" spans="1:6" x14ac:dyDescent="0.3">
      <c r="A272" s="4">
        <v>81500</v>
      </c>
      <c r="B272" s="1">
        <v>0.67151000000000005</v>
      </c>
      <c r="C272" s="4">
        <f>Tabela14[[#This Row],[Alongamento (mm/mm)]]/$I$2</f>
        <v>1.3430200000000002E-2</v>
      </c>
      <c r="D272" s="1">
        <v>347.34</v>
      </c>
      <c r="E272" s="4">
        <f>Tabela14[[#This Row],[Força (N)]]/$I$5</f>
        <v>7860789.7452609856</v>
      </c>
      <c r="F272" s="4">
        <f>Tabela14[[#This Row],[Tensão (Pa)]]/1000000</f>
        <v>7.8607897452609858</v>
      </c>
    </row>
    <row r="273" spans="1:6" x14ac:dyDescent="0.3">
      <c r="A273" s="4">
        <v>82167</v>
      </c>
      <c r="B273" s="1">
        <v>0.67708999999999997</v>
      </c>
      <c r="C273" s="4">
        <f>Tabela14[[#This Row],[Alongamento (mm/mm)]]/$I$2</f>
        <v>1.35418E-2</v>
      </c>
      <c r="D273" s="1">
        <v>349.89</v>
      </c>
      <c r="E273" s="4">
        <f>Tabela14[[#This Row],[Força (N)]]/$I$5</f>
        <v>7918499.8098962586</v>
      </c>
      <c r="F273" s="4">
        <f>Tabela14[[#This Row],[Tensão (Pa)]]/1000000</f>
        <v>7.9184998098962582</v>
      </c>
    </row>
    <row r="274" spans="1:6" x14ac:dyDescent="0.3">
      <c r="A274" s="4">
        <v>82833</v>
      </c>
      <c r="B274" s="1">
        <v>0.68257999999999996</v>
      </c>
      <c r="C274" s="4">
        <f>Tabela14[[#This Row],[Alongamento (mm/mm)]]/$I$2</f>
        <v>1.36516E-2</v>
      </c>
      <c r="D274" s="1">
        <v>352.44</v>
      </c>
      <c r="E274" s="4">
        <f>Tabela14[[#This Row],[Força (N)]]/$I$5</f>
        <v>7976209.8745315308</v>
      </c>
      <c r="F274" s="4">
        <f>Tabela14[[#This Row],[Tensão (Pa)]]/1000000</f>
        <v>7.9762098745315306</v>
      </c>
    </row>
    <row r="275" spans="1:6" x14ac:dyDescent="0.3">
      <c r="A275" s="4">
        <v>83500</v>
      </c>
      <c r="B275" s="1">
        <v>0.68815999999999999</v>
      </c>
      <c r="C275" s="4">
        <f>Tabela14[[#This Row],[Alongamento (mm/mm)]]/$I$2</f>
        <v>1.37632E-2</v>
      </c>
      <c r="D275" s="1">
        <v>355</v>
      </c>
      <c r="E275" s="4">
        <f>Tabela14[[#This Row],[Força (N)]]/$I$5</f>
        <v>8034146.2531457655</v>
      </c>
      <c r="F275" s="4">
        <f>Tabela14[[#This Row],[Tensão (Pa)]]/1000000</f>
        <v>8.0341462531457655</v>
      </c>
    </row>
    <row r="276" spans="1:6" x14ac:dyDescent="0.3">
      <c r="A276" s="4">
        <v>84167</v>
      </c>
      <c r="B276" s="1">
        <v>0.69364999999999999</v>
      </c>
      <c r="C276" s="4">
        <f>Tabela14[[#This Row],[Alongamento (mm/mm)]]/$I$2</f>
        <v>1.3873E-2</v>
      </c>
      <c r="D276" s="1">
        <v>357.72</v>
      </c>
      <c r="E276" s="4">
        <f>Tabela14[[#This Row],[Força (N)]]/$I$5</f>
        <v>8095703.6554233897</v>
      </c>
      <c r="F276" s="4">
        <f>Tabela14[[#This Row],[Tensão (Pa)]]/1000000</f>
        <v>8.0957036554233905</v>
      </c>
    </row>
    <row r="277" spans="1:6" x14ac:dyDescent="0.3">
      <c r="A277" s="4">
        <v>84833</v>
      </c>
      <c r="B277" s="1">
        <v>0.69923999999999997</v>
      </c>
      <c r="C277" s="4">
        <f>Tabela14[[#This Row],[Alongamento (mm/mm)]]/$I$2</f>
        <v>1.3984799999999999E-2</v>
      </c>
      <c r="D277" s="1">
        <v>360.44</v>
      </c>
      <c r="E277" s="4">
        <f>Tabela14[[#This Row],[Força (N)]]/$I$5</f>
        <v>8157261.0577010131</v>
      </c>
      <c r="F277" s="4">
        <f>Tabela14[[#This Row],[Tensão (Pa)]]/1000000</f>
        <v>8.1572610577010138</v>
      </c>
    </row>
    <row r="278" spans="1:6" x14ac:dyDescent="0.3">
      <c r="A278" s="4">
        <v>85500</v>
      </c>
      <c r="B278" s="1">
        <v>0.70472999999999997</v>
      </c>
      <c r="C278" s="4">
        <f>Tabela14[[#This Row],[Alongamento (mm/mm)]]/$I$2</f>
        <v>1.4094599999999999E-2</v>
      </c>
      <c r="D278" s="1">
        <v>362.99</v>
      </c>
      <c r="E278" s="4">
        <f>Tabela14[[#This Row],[Força (N)]]/$I$5</f>
        <v>8214971.1223362861</v>
      </c>
      <c r="F278" s="4">
        <f>Tabela14[[#This Row],[Tensão (Pa)]]/1000000</f>
        <v>8.2149711223362853</v>
      </c>
    </row>
    <row r="279" spans="1:6" x14ac:dyDescent="0.3">
      <c r="A279" s="4">
        <v>86167</v>
      </c>
      <c r="B279" s="1">
        <v>0.71031</v>
      </c>
      <c r="C279" s="4">
        <f>Tabela14[[#This Row],[Alongamento (mm/mm)]]/$I$2</f>
        <v>1.42062E-2</v>
      </c>
      <c r="D279" s="1">
        <v>365.54</v>
      </c>
      <c r="E279" s="4">
        <f>Tabela14[[#This Row],[Força (N)]]/$I$5</f>
        <v>8272681.1869715583</v>
      </c>
      <c r="F279" s="4">
        <f>Tabela14[[#This Row],[Tensão (Pa)]]/1000000</f>
        <v>8.2726811869715586</v>
      </c>
    </row>
    <row r="280" spans="1:6" x14ac:dyDescent="0.3">
      <c r="A280" s="4">
        <v>86833</v>
      </c>
      <c r="B280" s="1">
        <v>0.71589999999999998</v>
      </c>
      <c r="C280" s="4">
        <f>Tabela14[[#This Row],[Alongamento (mm/mm)]]/$I$2</f>
        <v>1.4317999999999999E-2</v>
      </c>
      <c r="D280" s="1">
        <v>368.26</v>
      </c>
      <c r="E280" s="4">
        <f>Tabela14[[#This Row],[Força (N)]]/$I$5</f>
        <v>8334238.5892491816</v>
      </c>
      <c r="F280" s="4">
        <f>Tabela14[[#This Row],[Tensão (Pa)]]/1000000</f>
        <v>8.3342385892491819</v>
      </c>
    </row>
    <row r="281" spans="1:6" x14ac:dyDescent="0.3">
      <c r="A281" s="4">
        <v>87667</v>
      </c>
      <c r="B281" s="1">
        <v>0.72287000000000001</v>
      </c>
      <c r="C281" s="4">
        <f>Tabela14[[#This Row],[Alongamento (mm/mm)]]/$I$2</f>
        <v>1.44574E-2</v>
      </c>
      <c r="D281" s="1">
        <v>371.5</v>
      </c>
      <c r="E281" s="4">
        <f>Tabela14[[#This Row],[Força (N)]]/$I$5</f>
        <v>8407564.3184328228</v>
      </c>
      <c r="F281" s="4">
        <f>Tabela14[[#This Row],[Tensão (Pa)]]/1000000</f>
        <v>8.4075643184328221</v>
      </c>
    </row>
    <row r="282" spans="1:6" x14ac:dyDescent="0.3">
      <c r="A282" s="4">
        <v>88333</v>
      </c>
      <c r="B282" s="1">
        <v>0.72836000000000001</v>
      </c>
      <c r="C282" s="4">
        <f>Tabela14[[#This Row],[Alongamento (mm/mm)]]/$I$2</f>
        <v>1.4567200000000001E-2</v>
      </c>
      <c r="D282" s="1">
        <v>374.22</v>
      </c>
      <c r="E282" s="4">
        <f>Tabela14[[#This Row],[Força (N)]]/$I$5</f>
        <v>8469121.7207104471</v>
      </c>
      <c r="F282" s="4">
        <f>Tabela14[[#This Row],[Tensão (Pa)]]/1000000</f>
        <v>8.4691217207104472</v>
      </c>
    </row>
    <row r="283" spans="1:6" x14ac:dyDescent="0.3">
      <c r="A283" s="4">
        <v>89000</v>
      </c>
      <c r="B283" s="1">
        <v>0.73404000000000003</v>
      </c>
      <c r="C283" s="4">
        <f>Tabela14[[#This Row],[Alongamento (mm/mm)]]/$I$2</f>
        <v>1.4680800000000001E-2</v>
      </c>
      <c r="D283" s="1">
        <v>376.77</v>
      </c>
      <c r="E283" s="4">
        <f>Tabela14[[#This Row],[Força (N)]]/$I$5</f>
        <v>8526831.7853457183</v>
      </c>
      <c r="F283" s="4">
        <f>Tabela14[[#This Row],[Tensão (Pa)]]/1000000</f>
        <v>8.5268317853457187</v>
      </c>
    </row>
    <row r="284" spans="1:6" x14ac:dyDescent="0.3">
      <c r="A284" s="4">
        <v>89667</v>
      </c>
      <c r="B284" s="1">
        <v>0.73962000000000006</v>
      </c>
      <c r="C284" s="4">
        <f>Tabela14[[#This Row],[Alongamento (mm/mm)]]/$I$2</f>
        <v>1.4792400000000001E-2</v>
      </c>
      <c r="D284" s="1">
        <v>379.49</v>
      </c>
      <c r="E284" s="4">
        <f>Tabela14[[#This Row],[Força (N)]]/$I$5</f>
        <v>8588389.1876233425</v>
      </c>
      <c r="F284" s="4">
        <f>Tabela14[[#This Row],[Tensão (Pa)]]/1000000</f>
        <v>8.588389187623342</v>
      </c>
    </row>
    <row r="285" spans="1:6" x14ac:dyDescent="0.3">
      <c r="A285" s="4">
        <v>90333</v>
      </c>
      <c r="B285" s="1">
        <v>0.74512</v>
      </c>
      <c r="C285" s="4">
        <f>Tabela14[[#This Row],[Alongamento (mm/mm)]]/$I$2</f>
        <v>1.49024E-2</v>
      </c>
      <c r="D285" s="1">
        <v>382.21</v>
      </c>
      <c r="E285" s="4">
        <f>Tabela14[[#This Row],[Força (N)]]/$I$5</f>
        <v>8649946.5899009649</v>
      </c>
      <c r="F285" s="4">
        <f>Tabela14[[#This Row],[Tensão (Pa)]]/1000000</f>
        <v>8.6499465899009653</v>
      </c>
    </row>
    <row r="286" spans="1:6" x14ac:dyDescent="0.3">
      <c r="A286" s="4">
        <v>91000</v>
      </c>
      <c r="B286" s="1">
        <v>0.75061</v>
      </c>
      <c r="C286" s="4">
        <f>Tabela14[[#This Row],[Alongamento (mm/mm)]]/$I$2</f>
        <v>1.50122E-2</v>
      </c>
      <c r="D286" s="1">
        <v>384.93</v>
      </c>
      <c r="E286" s="4">
        <f>Tabela14[[#This Row],[Força (N)]]/$I$5</f>
        <v>8711503.992178591</v>
      </c>
      <c r="F286" s="4">
        <f>Tabela14[[#This Row],[Tensão (Pa)]]/1000000</f>
        <v>8.7115039921785904</v>
      </c>
    </row>
    <row r="287" spans="1:6" x14ac:dyDescent="0.3">
      <c r="A287" s="4">
        <v>91833</v>
      </c>
      <c r="B287" s="1">
        <v>0.75758999999999999</v>
      </c>
      <c r="C287" s="4">
        <f>Tabela14[[#This Row],[Alongamento (mm/mm)]]/$I$2</f>
        <v>1.51518E-2</v>
      </c>
      <c r="D287" s="1">
        <v>388.17</v>
      </c>
      <c r="E287" s="4">
        <f>Tabela14[[#This Row],[Força (N)]]/$I$5</f>
        <v>8784829.7213622313</v>
      </c>
      <c r="F287" s="4">
        <f>Tabela14[[#This Row],[Tensão (Pa)]]/1000000</f>
        <v>8.7848297213622306</v>
      </c>
    </row>
    <row r="288" spans="1:6" x14ac:dyDescent="0.3">
      <c r="A288" s="4">
        <v>92500</v>
      </c>
      <c r="B288" s="1">
        <v>0.76307999999999998</v>
      </c>
      <c r="C288" s="4">
        <f>Tabela14[[#This Row],[Alongamento (mm/mm)]]/$I$2</f>
        <v>1.52616E-2</v>
      </c>
      <c r="D288" s="1">
        <v>390.89</v>
      </c>
      <c r="E288" s="4">
        <f>Tabela14[[#This Row],[Força (N)]]/$I$5</f>
        <v>8846387.1236398537</v>
      </c>
      <c r="F288" s="4">
        <f>Tabela14[[#This Row],[Tensão (Pa)]]/1000000</f>
        <v>8.8463871236398539</v>
      </c>
    </row>
    <row r="289" spans="1:6" x14ac:dyDescent="0.3">
      <c r="A289" s="4">
        <v>93333</v>
      </c>
      <c r="B289" s="1">
        <v>0.77015</v>
      </c>
      <c r="C289" s="4">
        <f>Tabela14[[#This Row],[Alongamento (mm/mm)]]/$I$2</f>
        <v>1.5403E-2</v>
      </c>
      <c r="D289" s="1">
        <v>394.12</v>
      </c>
      <c r="E289" s="4">
        <f>Tabela14[[#This Row],[Força (N)]]/$I$5</f>
        <v>8919486.5388445333</v>
      </c>
      <c r="F289" s="4">
        <f>Tabela14[[#This Row],[Tensão (Pa)]]/1000000</f>
        <v>8.9194865388445326</v>
      </c>
    </row>
    <row r="290" spans="1:6" x14ac:dyDescent="0.3">
      <c r="A290" s="4">
        <v>94167</v>
      </c>
      <c r="B290" s="1">
        <v>0.77703</v>
      </c>
      <c r="C290" s="4">
        <f>Tabela14[[#This Row],[Alongamento (mm/mm)]]/$I$2</f>
        <v>1.55406E-2</v>
      </c>
      <c r="D290" s="1">
        <v>397.52</v>
      </c>
      <c r="E290" s="4">
        <f>Tabela14[[#This Row],[Força (N)]]/$I$5</f>
        <v>8996433.2916915622</v>
      </c>
      <c r="F290" s="4">
        <f>Tabela14[[#This Row],[Tensão (Pa)]]/1000000</f>
        <v>8.996433291691563</v>
      </c>
    </row>
    <row r="291" spans="1:6" x14ac:dyDescent="0.3">
      <c r="A291" s="4">
        <v>95000</v>
      </c>
      <c r="B291" s="1">
        <v>0.78391999999999995</v>
      </c>
      <c r="C291" s="4">
        <f>Tabela14[[#This Row],[Alongamento (mm/mm)]]/$I$2</f>
        <v>1.5678399999999999E-2</v>
      </c>
      <c r="D291" s="1">
        <v>400.75</v>
      </c>
      <c r="E291" s="4">
        <f>Tabela14[[#This Row],[Força (N)]]/$I$5</f>
        <v>9069532.7068962399</v>
      </c>
      <c r="F291" s="4">
        <f>Tabela14[[#This Row],[Tensão (Pa)]]/1000000</f>
        <v>9.0695327068962399</v>
      </c>
    </row>
    <row r="292" spans="1:6" x14ac:dyDescent="0.3">
      <c r="A292" s="4">
        <v>95833</v>
      </c>
      <c r="B292" s="1">
        <v>0.79090000000000005</v>
      </c>
      <c r="C292" s="4">
        <f>Tabela14[[#This Row],[Alongamento (mm/mm)]]/$I$2</f>
        <v>1.5818000000000002E-2</v>
      </c>
      <c r="D292" s="1">
        <v>404.15</v>
      </c>
      <c r="E292" s="4">
        <f>Tabela14[[#This Row],[Força (N)]]/$I$5</f>
        <v>9146479.4597432707</v>
      </c>
      <c r="F292" s="4">
        <f>Tabela14[[#This Row],[Tensão (Pa)]]/1000000</f>
        <v>9.1464794597432704</v>
      </c>
    </row>
    <row r="293" spans="1:6" x14ac:dyDescent="0.3">
      <c r="A293" s="4">
        <v>96667</v>
      </c>
      <c r="B293" s="1">
        <v>0.79779</v>
      </c>
      <c r="C293" s="4">
        <f>Tabela14[[#This Row],[Alongamento (mm/mm)]]/$I$2</f>
        <v>1.5955799999999999E-2</v>
      </c>
      <c r="D293" s="1">
        <v>407.56</v>
      </c>
      <c r="E293" s="4">
        <f>Tabela14[[#This Row],[Força (N)]]/$I$5</f>
        <v>9223652.5265692621</v>
      </c>
      <c r="F293" s="4">
        <f>Tabela14[[#This Row],[Tensão (Pa)]]/1000000</f>
        <v>9.2236525265692624</v>
      </c>
    </row>
    <row r="294" spans="1:6" x14ac:dyDescent="0.3">
      <c r="A294" s="4">
        <v>97500</v>
      </c>
      <c r="B294" s="1">
        <v>0.80476999999999999</v>
      </c>
      <c r="C294" s="4">
        <f>Tabela14[[#This Row],[Alongamento (mm/mm)]]/$I$2</f>
        <v>1.6095399999999999E-2</v>
      </c>
      <c r="D294" s="1">
        <v>410.96</v>
      </c>
      <c r="E294" s="4">
        <f>Tabela14[[#This Row],[Força (N)]]/$I$5</f>
        <v>9300599.279416291</v>
      </c>
      <c r="F294" s="4">
        <f>Tabela14[[#This Row],[Tensão (Pa)]]/1000000</f>
        <v>9.3005992794162911</v>
      </c>
    </row>
    <row r="295" spans="1:6" x14ac:dyDescent="0.3">
      <c r="A295" s="4">
        <v>98333</v>
      </c>
      <c r="B295" s="1">
        <v>0.81174000000000002</v>
      </c>
      <c r="C295" s="4">
        <f>Tabela14[[#This Row],[Alongamento (mm/mm)]]/$I$2</f>
        <v>1.6234800000000001E-2</v>
      </c>
      <c r="D295" s="1">
        <v>414.36</v>
      </c>
      <c r="E295" s="4">
        <f>Tabela14[[#This Row],[Força (N)]]/$I$5</f>
        <v>9377546.0322633218</v>
      </c>
      <c r="F295" s="4">
        <f>Tabela14[[#This Row],[Tensão (Pa)]]/1000000</f>
        <v>9.3775460322633215</v>
      </c>
    </row>
    <row r="296" spans="1:6" x14ac:dyDescent="0.3">
      <c r="A296" s="4">
        <v>99167</v>
      </c>
      <c r="B296" s="1">
        <v>0.81862999999999997</v>
      </c>
      <c r="C296" s="4">
        <f>Tabela14[[#This Row],[Alongamento (mm/mm)]]/$I$2</f>
        <v>1.6372600000000001E-2</v>
      </c>
      <c r="D296" s="1">
        <v>417.76</v>
      </c>
      <c r="E296" s="4">
        <f>Tabela14[[#This Row],[Força (N)]]/$I$5</f>
        <v>9454492.7851103526</v>
      </c>
      <c r="F296" s="4">
        <f>Tabela14[[#This Row],[Tensão (Pa)]]/1000000</f>
        <v>9.454492785110352</v>
      </c>
    </row>
    <row r="297" spans="1:6" x14ac:dyDescent="0.3">
      <c r="A297" s="4">
        <v>10000</v>
      </c>
      <c r="B297" s="1">
        <v>0.82560999999999996</v>
      </c>
      <c r="C297" s="4">
        <f>Tabela14[[#This Row],[Alongamento (mm/mm)]]/$I$2</f>
        <v>1.6512199999999998E-2</v>
      </c>
      <c r="D297" s="1">
        <v>421.16</v>
      </c>
      <c r="E297" s="4">
        <f>Tabela14[[#This Row],[Força (N)]]/$I$5</f>
        <v>9531439.5379573815</v>
      </c>
      <c r="F297" s="4">
        <f>Tabela14[[#This Row],[Tensão (Pa)]]/1000000</f>
        <v>9.5314395379573806</v>
      </c>
    </row>
    <row r="298" spans="1:6" x14ac:dyDescent="0.3">
      <c r="A298" s="4">
        <v>10083</v>
      </c>
      <c r="B298" s="1">
        <v>0.83259000000000005</v>
      </c>
      <c r="C298" s="4">
        <f>Tabela14[[#This Row],[Alongamento (mm/mm)]]/$I$2</f>
        <v>1.6651800000000001E-2</v>
      </c>
      <c r="D298" s="1">
        <v>424.57</v>
      </c>
      <c r="E298" s="4">
        <f>Tabela14[[#This Row],[Força (N)]]/$I$5</f>
        <v>9608612.604783373</v>
      </c>
      <c r="F298" s="4">
        <f>Tabela14[[#This Row],[Tensão (Pa)]]/1000000</f>
        <v>9.6086126047833726</v>
      </c>
    </row>
    <row r="299" spans="1:6" x14ac:dyDescent="0.3">
      <c r="A299" s="4">
        <v>10167</v>
      </c>
      <c r="B299" s="1">
        <v>0.83948</v>
      </c>
      <c r="C299" s="4">
        <f>Tabela14[[#This Row],[Alongamento (mm/mm)]]/$I$2</f>
        <v>1.6789600000000002E-2</v>
      </c>
      <c r="D299" s="1">
        <v>427.97</v>
      </c>
      <c r="E299" s="4">
        <f>Tabela14[[#This Row],[Força (N)]]/$I$5</f>
        <v>9685559.3576304037</v>
      </c>
      <c r="F299" s="4">
        <f>Tabela14[[#This Row],[Tensão (Pa)]]/1000000</f>
        <v>9.6855593576304031</v>
      </c>
    </row>
    <row r="300" spans="1:6" x14ac:dyDescent="0.3">
      <c r="A300" s="4">
        <v>10250</v>
      </c>
      <c r="B300" s="1">
        <v>0.84645999999999999</v>
      </c>
      <c r="C300" s="4">
        <f>Tabela14[[#This Row],[Alongamento (mm/mm)]]/$I$2</f>
        <v>1.6929199999999998E-2</v>
      </c>
      <c r="D300" s="1">
        <v>431.54</v>
      </c>
      <c r="E300" s="4">
        <f>Tabela14[[#This Row],[Força (N)]]/$I$5</f>
        <v>9766353.4481197856</v>
      </c>
      <c r="F300" s="4">
        <f>Tabela14[[#This Row],[Tensão (Pa)]]/1000000</f>
        <v>9.7663534481197853</v>
      </c>
    </row>
    <row r="301" spans="1:6" x14ac:dyDescent="0.3">
      <c r="A301" s="4">
        <v>10317</v>
      </c>
      <c r="B301" s="1">
        <v>0.85204000000000002</v>
      </c>
      <c r="C301" s="4">
        <f>Tabela14[[#This Row],[Alongamento (mm/mm)]]/$I$2</f>
        <v>1.7040800000000002E-2</v>
      </c>
      <c r="D301" s="1">
        <v>434.6</v>
      </c>
      <c r="E301" s="4">
        <f>Tabela14[[#This Row],[Força (N)]]/$I$5</f>
        <v>9835605.5256821122</v>
      </c>
      <c r="F301" s="4">
        <f>Tabela14[[#This Row],[Tensão (Pa)]]/1000000</f>
        <v>9.8356055256821122</v>
      </c>
    </row>
    <row r="302" spans="1:6" x14ac:dyDescent="0.3">
      <c r="A302" s="4">
        <v>10400</v>
      </c>
      <c r="B302" s="1">
        <v>0.85892999999999997</v>
      </c>
      <c r="C302" s="4">
        <f>Tabela14[[#This Row],[Alongamento (mm/mm)]]/$I$2</f>
        <v>1.7178599999999999E-2</v>
      </c>
      <c r="D302" s="1">
        <v>438.17</v>
      </c>
      <c r="E302" s="4">
        <f>Tabela14[[#This Row],[Força (N)]]/$I$5</f>
        <v>9916399.6161714941</v>
      </c>
      <c r="F302" s="4">
        <f>Tabela14[[#This Row],[Tensão (Pa)]]/1000000</f>
        <v>9.9163996161714945</v>
      </c>
    </row>
    <row r="303" spans="1:6" x14ac:dyDescent="0.3">
      <c r="A303" s="4">
        <v>10483</v>
      </c>
      <c r="B303" s="1">
        <v>0.8659</v>
      </c>
      <c r="C303" s="4">
        <f>Tabela14[[#This Row],[Alongamento (mm/mm)]]/$I$2</f>
        <v>1.7318E-2</v>
      </c>
      <c r="D303" s="1">
        <v>441.58</v>
      </c>
      <c r="E303" s="4">
        <f>Tabela14[[#This Row],[Força (N)]]/$I$5</f>
        <v>9993572.6829974838</v>
      </c>
      <c r="F303" s="4">
        <f>Tabela14[[#This Row],[Tensão (Pa)]]/1000000</f>
        <v>9.9935726829974829</v>
      </c>
    </row>
    <row r="304" spans="1:6" x14ac:dyDescent="0.3">
      <c r="A304" s="4">
        <v>10567</v>
      </c>
      <c r="B304" s="1">
        <v>0.87287999999999999</v>
      </c>
      <c r="C304" s="4">
        <f>Tabela14[[#This Row],[Alongamento (mm/mm)]]/$I$2</f>
        <v>1.74576E-2</v>
      </c>
      <c r="D304" s="1">
        <v>445.15</v>
      </c>
      <c r="E304" s="4">
        <f>Tabela14[[#This Row],[Força (N)]]/$I$5</f>
        <v>10074366.773486866</v>
      </c>
      <c r="F304" s="4">
        <f>Tabela14[[#This Row],[Tensão (Pa)]]/1000000</f>
        <v>10.074366773486865</v>
      </c>
    </row>
    <row r="305" spans="1:6" x14ac:dyDescent="0.3">
      <c r="A305" s="4">
        <v>10650</v>
      </c>
      <c r="B305" s="1">
        <v>0.87977000000000005</v>
      </c>
      <c r="C305" s="4">
        <f>Tabela14[[#This Row],[Alongamento (mm/mm)]]/$I$2</f>
        <v>1.7595400000000001E-2</v>
      </c>
      <c r="D305" s="1">
        <v>448.89</v>
      </c>
      <c r="E305" s="4">
        <f>Tabela14[[#This Row],[Força (N)]]/$I$5</f>
        <v>10159008.201618599</v>
      </c>
      <c r="F305" s="4">
        <f>Tabela14[[#This Row],[Tensão (Pa)]]/1000000</f>
        <v>10.159008201618599</v>
      </c>
    </row>
    <row r="306" spans="1:6" x14ac:dyDescent="0.3">
      <c r="A306" s="4">
        <v>10733</v>
      </c>
      <c r="B306" s="1">
        <v>0.88675000000000004</v>
      </c>
      <c r="C306" s="4">
        <f>Tabela14[[#This Row],[Alongamento (mm/mm)]]/$I$2</f>
        <v>1.7735000000000001E-2</v>
      </c>
      <c r="D306" s="1">
        <v>452.46</v>
      </c>
      <c r="E306" s="4">
        <f>Tabela14[[#This Row],[Força (N)]]/$I$5</f>
        <v>10239802.292107981</v>
      </c>
      <c r="F306" s="4">
        <f>Tabela14[[#This Row],[Tensão (Pa)]]/1000000</f>
        <v>10.239802292107981</v>
      </c>
    </row>
    <row r="307" spans="1:6" x14ac:dyDescent="0.3">
      <c r="A307" s="4">
        <v>10817</v>
      </c>
      <c r="B307" s="1">
        <v>0.89373000000000002</v>
      </c>
      <c r="C307" s="4">
        <f>Tabela14[[#This Row],[Alongamento (mm/mm)]]/$I$2</f>
        <v>1.7874600000000001E-2</v>
      </c>
      <c r="D307" s="1">
        <v>456.03</v>
      </c>
      <c r="E307" s="4">
        <f>Tabela14[[#This Row],[Força (N)]]/$I$5</f>
        <v>10320596.382597361</v>
      </c>
      <c r="F307" s="4">
        <f>Tabela14[[#This Row],[Tensão (Pa)]]/1000000</f>
        <v>10.32059638259736</v>
      </c>
    </row>
    <row r="308" spans="1:6" x14ac:dyDescent="0.3">
      <c r="A308" s="4">
        <v>10900</v>
      </c>
      <c r="B308" s="1">
        <v>0.90061999999999998</v>
      </c>
      <c r="C308" s="4">
        <f>Tabela14[[#This Row],[Alongamento (mm/mm)]]/$I$2</f>
        <v>1.8012399999999998E-2</v>
      </c>
      <c r="D308" s="1">
        <v>459.61</v>
      </c>
      <c r="E308" s="4">
        <f>Tabela14[[#This Row],[Força (N)]]/$I$5</f>
        <v>10401616.787065705</v>
      </c>
      <c r="F308" s="4">
        <f>Tabela14[[#This Row],[Tensão (Pa)]]/1000000</f>
        <v>10.401616787065706</v>
      </c>
    </row>
    <row r="309" spans="1:6" x14ac:dyDescent="0.3">
      <c r="A309" s="4">
        <v>10983</v>
      </c>
      <c r="B309" s="1">
        <v>0.90749999999999997</v>
      </c>
      <c r="C309" s="4">
        <f>Tabela14[[#This Row],[Alongamento (mm/mm)]]/$I$2</f>
        <v>1.8149999999999999E-2</v>
      </c>
      <c r="D309" s="1">
        <v>463.18</v>
      </c>
      <c r="E309" s="4">
        <f>Tabela14[[#This Row],[Força (N)]]/$I$5</f>
        <v>10482410.877555087</v>
      </c>
      <c r="F309" s="4">
        <f>Tabela14[[#This Row],[Tensão (Pa)]]/1000000</f>
        <v>10.482410877555088</v>
      </c>
    </row>
    <row r="310" spans="1:6" x14ac:dyDescent="0.3">
      <c r="A310" s="4">
        <v>11067</v>
      </c>
      <c r="B310" s="1">
        <v>0.91447999999999996</v>
      </c>
      <c r="C310" s="4">
        <f>Tabela14[[#This Row],[Alongamento (mm/mm)]]/$I$2</f>
        <v>1.82896E-2</v>
      </c>
      <c r="D310" s="1">
        <v>466.75</v>
      </c>
      <c r="E310" s="4">
        <f>Tabela14[[#This Row],[Força (N)]]/$I$5</f>
        <v>10563204.968044467</v>
      </c>
      <c r="F310" s="4">
        <f>Tabela14[[#This Row],[Tensão (Pa)]]/1000000</f>
        <v>10.563204968044467</v>
      </c>
    </row>
    <row r="311" spans="1:6" x14ac:dyDescent="0.3">
      <c r="A311" s="4">
        <v>11150</v>
      </c>
      <c r="B311" s="1">
        <v>0.92145999999999995</v>
      </c>
      <c r="C311" s="4">
        <f>Tabela14[[#This Row],[Alongamento (mm/mm)]]/$I$2</f>
        <v>1.84292E-2</v>
      </c>
      <c r="D311" s="1">
        <v>470.32</v>
      </c>
      <c r="E311" s="4">
        <f>Tabela14[[#This Row],[Força (N)]]/$I$5</f>
        <v>10643999.058533849</v>
      </c>
      <c r="F311" s="4">
        <f>Tabela14[[#This Row],[Tensão (Pa)]]/1000000</f>
        <v>10.643999058533849</v>
      </c>
    </row>
    <row r="312" spans="1:6" x14ac:dyDescent="0.3">
      <c r="A312" s="4">
        <v>11233</v>
      </c>
      <c r="B312" s="1">
        <v>0.92844000000000004</v>
      </c>
      <c r="C312" s="4">
        <f>Tabela14[[#This Row],[Alongamento (mm/mm)]]/$I$2</f>
        <v>1.85688E-2</v>
      </c>
      <c r="D312" s="1">
        <v>474.07</v>
      </c>
      <c r="E312" s="4">
        <f>Tabela14[[#This Row],[Força (N)]]/$I$5</f>
        <v>10728866.800644543</v>
      </c>
      <c r="F312" s="4">
        <f>Tabela14[[#This Row],[Tensão (Pa)]]/1000000</f>
        <v>10.728866800644543</v>
      </c>
    </row>
    <row r="313" spans="1:6" x14ac:dyDescent="0.3">
      <c r="A313" s="4">
        <v>11317</v>
      </c>
      <c r="B313" s="1">
        <v>0.93542000000000003</v>
      </c>
      <c r="C313" s="4">
        <f>Tabela14[[#This Row],[Alongamento (mm/mm)]]/$I$2</f>
        <v>1.87084E-2</v>
      </c>
      <c r="D313" s="1">
        <v>477.64</v>
      </c>
      <c r="E313" s="4">
        <f>Tabela14[[#This Row],[Força (N)]]/$I$5</f>
        <v>10809660.891133925</v>
      </c>
      <c r="F313" s="4">
        <f>Tabela14[[#This Row],[Tensão (Pa)]]/1000000</f>
        <v>10.809660891133925</v>
      </c>
    </row>
    <row r="314" spans="1:6" x14ac:dyDescent="0.3">
      <c r="A314" s="4">
        <v>11400</v>
      </c>
      <c r="B314" s="1">
        <v>0.94230999999999998</v>
      </c>
      <c r="C314" s="4">
        <f>Tabela14[[#This Row],[Alongamento (mm/mm)]]/$I$2</f>
        <v>1.88462E-2</v>
      </c>
      <c r="D314" s="1">
        <v>481.21</v>
      </c>
      <c r="E314" s="4">
        <f>Tabela14[[#This Row],[Força (N)]]/$I$5</f>
        <v>10890454.981623305</v>
      </c>
      <c r="F314" s="4">
        <f>Tabela14[[#This Row],[Tensão (Pa)]]/1000000</f>
        <v>10.890454981623305</v>
      </c>
    </row>
    <row r="315" spans="1:6" x14ac:dyDescent="0.3">
      <c r="A315" s="4">
        <v>11500</v>
      </c>
      <c r="B315" s="1">
        <v>0.95059000000000005</v>
      </c>
      <c r="C315" s="4">
        <f>Tabela14[[#This Row],[Alongamento (mm/mm)]]/$I$2</f>
        <v>1.9011800000000002E-2</v>
      </c>
      <c r="D315" s="1">
        <v>485.46</v>
      </c>
      <c r="E315" s="4">
        <f>Tabela14[[#This Row],[Força (N)]]/$I$5</f>
        <v>10986638.422682093</v>
      </c>
      <c r="F315" s="4">
        <f>Tabela14[[#This Row],[Tensão (Pa)]]/1000000</f>
        <v>10.986638422682093</v>
      </c>
    </row>
    <row r="316" spans="1:6" x14ac:dyDescent="0.3">
      <c r="A316" s="4">
        <v>11600</v>
      </c>
      <c r="B316" s="1">
        <v>0.95896000000000003</v>
      </c>
      <c r="C316" s="4">
        <f>Tabela14[[#This Row],[Alongamento (mm/mm)]]/$I$2</f>
        <v>1.91792E-2</v>
      </c>
      <c r="D316" s="1">
        <v>489.88</v>
      </c>
      <c r="E316" s="4">
        <f>Tabela14[[#This Row],[Força (N)]]/$I$5</f>
        <v>11086669.201383233</v>
      </c>
      <c r="F316" s="4">
        <f>Tabela14[[#This Row],[Tensão (Pa)]]/1000000</f>
        <v>11.086669201383232</v>
      </c>
    </row>
    <row r="317" spans="1:6" x14ac:dyDescent="0.3">
      <c r="A317" s="4">
        <v>11700</v>
      </c>
      <c r="B317" s="1">
        <v>0.96733999999999998</v>
      </c>
      <c r="C317" s="4">
        <f>Tabela14[[#This Row],[Alongamento (mm/mm)]]/$I$2</f>
        <v>1.9346800000000001E-2</v>
      </c>
      <c r="D317" s="1">
        <v>494.14</v>
      </c>
      <c r="E317" s="4">
        <f>Tabela14[[#This Row],[Força (N)]]/$I$5</f>
        <v>11183078.956420982</v>
      </c>
      <c r="F317" s="4">
        <f>Tabela14[[#This Row],[Tensão (Pa)]]/1000000</f>
        <v>11.183078956420982</v>
      </c>
    </row>
    <row r="318" spans="1:6" x14ac:dyDescent="0.3">
      <c r="A318" s="4">
        <v>11783</v>
      </c>
      <c r="B318" s="1">
        <v>0.97421999999999997</v>
      </c>
      <c r="C318" s="4">
        <f>Tabela14[[#This Row],[Alongamento (mm/mm)]]/$I$2</f>
        <v>1.9484399999999999E-2</v>
      </c>
      <c r="D318" s="1">
        <v>497.88</v>
      </c>
      <c r="E318" s="4">
        <f>Tabela14[[#This Row],[Força (N)]]/$I$5</f>
        <v>11267720.384552715</v>
      </c>
      <c r="F318" s="4">
        <f>Tabela14[[#This Row],[Tensão (Pa)]]/1000000</f>
        <v>11.267720384552716</v>
      </c>
    </row>
    <row r="319" spans="1:6" x14ac:dyDescent="0.3">
      <c r="A319" s="4">
        <v>11883</v>
      </c>
      <c r="B319" s="1">
        <v>0.98260000000000003</v>
      </c>
      <c r="C319" s="4">
        <f>Tabela14[[#This Row],[Alongamento (mm/mm)]]/$I$2</f>
        <v>1.9651999999999999E-2</v>
      </c>
      <c r="D319" s="1">
        <v>502.13</v>
      </c>
      <c r="E319" s="4">
        <f>Tabela14[[#This Row],[Força (N)]]/$I$5</f>
        <v>11363903.825611502</v>
      </c>
      <c r="F319" s="4">
        <f>Tabela14[[#This Row],[Tensão (Pa)]]/1000000</f>
        <v>11.363903825611501</v>
      </c>
    </row>
    <row r="320" spans="1:6" x14ac:dyDescent="0.3">
      <c r="A320" s="4">
        <v>11967</v>
      </c>
      <c r="B320" s="1">
        <v>0.98948999999999998</v>
      </c>
      <c r="C320" s="4">
        <f>Tabela14[[#This Row],[Alongamento (mm/mm)]]/$I$2</f>
        <v>1.97898E-2</v>
      </c>
      <c r="D320" s="1">
        <v>505.87</v>
      </c>
      <c r="E320" s="4">
        <f>Tabela14[[#This Row],[Força (N)]]/$I$5</f>
        <v>11448545.253743235</v>
      </c>
      <c r="F320" s="4">
        <f>Tabela14[[#This Row],[Tensão (Pa)]]/1000000</f>
        <v>11.448545253743236</v>
      </c>
    </row>
    <row r="321" spans="1:6" x14ac:dyDescent="0.3">
      <c r="A321" s="4">
        <v>12067</v>
      </c>
      <c r="B321" s="1">
        <v>0.99785999999999997</v>
      </c>
      <c r="C321" s="4">
        <f>Tabela14[[#This Row],[Alongamento (mm/mm)]]/$I$2</f>
        <v>1.9957199999999998E-2</v>
      </c>
      <c r="D321" s="1">
        <v>510.3</v>
      </c>
      <c r="E321" s="4">
        <f>Tabela14[[#This Row],[Força (N)]]/$I$5</f>
        <v>11548802.346423335</v>
      </c>
      <c r="F321" s="4">
        <f>Tabela14[[#This Row],[Tensão (Pa)]]/1000000</f>
        <v>11.548802346423335</v>
      </c>
    </row>
    <row r="322" spans="1:6" x14ac:dyDescent="0.3">
      <c r="A322" s="4">
        <v>12167</v>
      </c>
      <c r="B322" s="1">
        <v>1.0061</v>
      </c>
      <c r="C322" s="4">
        <f>Tabela14[[#This Row],[Alongamento (mm/mm)]]/$I$2</f>
        <v>2.0122000000000001E-2</v>
      </c>
      <c r="D322" s="1">
        <v>514.54999999999995</v>
      </c>
      <c r="E322" s="4">
        <f>Tabela14[[#This Row],[Força (N)]]/$I$5</f>
        <v>11644985.787482122</v>
      </c>
      <c r="F322" s="4">
        <f>Tabela14[[#This Row],[Tensão (Pa)]]/1000000</f>
        <v>11.644985787482122</v>
      </c>
    </row>
    <row r="323" spans="1:6" x14ac:dyDescent="0.3">
      <c r="A323" s="4">
        <v>12250</v>
      </c>
      <c r="B323" s="1">
        <v>1.0130999999999999</v>
      </c>
      <c r="C323" s="4">
        <f>Tabela14[[#This Row],[Alongamento (mm/mm)]]/$I$2</f>
        <v>2.0261999999999999E-2</v>
      </c>
      <c r="D323" s="1">
        <v>518.29</v>
      </c>
      <c r="E323" s="4">
        <f>Tabela14[[#This Row],[Força (N)]]/$I$5</f>
        <v>11729627.215613855</v>
      </c>
      <c r="F323" s="4">
        <f>Tabela14[[#This Row],[Tensão (Pa)]]/1000000</f>
        <v>11.729627215613855</v>
      </c>
    </row>
    <row r="324" spans="1:6" x14ac:dyDescent="0.3">
      <c r="A324" s="4">
        <v>12350</v>
      </c>
      <c r="B324" s="1">
        <v>1.0214000000000001</v>
      </c>
      <c r="C324" s="4">
        <f>Tabela14[[#This Row],[Alongamento (mm/mm)]]/$I$2</f>
        <v>2.0428000000000002E-2</v>
      </c>
      <c r="D324" s="1">
        <v>522.71</v>
      </c>
      <c r="E324" s="4">
        <f>Tabela14[[#This Row],[Força (N)]]/$I$5</f>
        <v>11829657.994314995</v>
      </c>
      <c r="F324" s="4">
        <f>Tabela14[[#This Row],[Tensão (Pa)]]/1000000</f>
        <v>11.829657994314994</v>
      </c>
    </row>
    <row r="325" spans="1:6" x14ac:dyDescent="0.3">
      <c r="A325" s="4">
        <v>12450</v>
      </c>
      <c r="B325" s="1">
        <v>1.0298</v>
      </c>
      <c r="C325" s="4">
        <f>Tabela14[[#This Row],[Alongamento (mm/mm)]]/$I$2</f>
        <v>2.0596E-2</v>
      </c>
      <c r="D325" s="1">
        <v>527.14</v>
      </c>
      <c r="E325" s="4">
        <f>Tabela14[[#This Row],[Força (N)]]/$I$5</f>
        <v>11929915.086995095</v>
      </c>
      <c r="F325" s="4">
        <f>Tabela14[[#This Row],[Tensão (Pa)]]/1000000</f>
        <v>11.929915086995095</v>
      </c>
    </row>
    <row r="326" spans="1:6" x14ac:dyDescent="0.3">
      <c r="A326" s="4">
        <v>12550</v>
      </c>
      <c r="B326" s="1">
        <v>1.0382</v>
      </c>
      <c r="C326" s="4">
        <f>Tabela14[[#This Row],[Alongamento (mm/mm)]]/$I$2</f>
        <v>2.0764000000000001E-2</v>
      </c>
      <c r="D326" s="1">
        <v>531.55999999999995</v>
      </c>
      <c r="E326" s="4">
        <f>Tabela14[[#This Row],[Força (N)]]/$I$5</f>
        <v>12029945.865696233</v>
      </c>
      <c r="F326" s="4">
        <f>Tabela14[[#This Row],[Tensão (Pa)]]/1000000</f>
        <v>12.029945865696233</v>
      </c>
    </row>
    <row r="327" spans="1:6" x14ac:dyDescent="0.3">
      <c r="A327" s="4">
        <v>12650</v>
      </c>
      <c r="B327" s="1">
        <v>1.0463</v>
      </c>
      <c r="C327" s="4">
        <f>Tabela14[[#This Row],[Alongamento (mm/mm)]]/$I$2</f>
        <v>2.0926E-2</v>
      </c>
      <c r="D327" s="1">
        <v>535.80999999999995</v>
      </c>
      <c r="E327" s="4">
        <f>Tabela14[[#This Row],[Força (N)]]/$I$5</f>
        <v>12126129.306755019</v>
      </c>
      <c r="F327" s="4">
        <f>Tabela14[[#This Row],[Tensão (Pa)]]/1000000</f>
        <v>12.12612930675502</v>
      </c>
    </row>
    <row r="328" spans="1:6" x14ac:dyDescent="0.3">
      <c r="A328" s="4">
        <v>12750</v>
      </c>
      <c r="B328" s="1">
        <v>1.0548</v>
      </c>
      <c r="C328" s="4">
        <f>Tabela14[[#This Row],[Alongamento (mm/mm)]]/$I$2</f>
        <v>2.1096E-2</v>
      </c>
      <c r="D328" s="1">
        <v>540.23</v>
      </c>
      <c r="E328" s="4">
        <f>Tabela14[[#This Row],[Força (N)]]/$I$5</f>
        <v>12226160.085456161</v>
      </c>
      <c r="F328" s="4">
        <f>Tabela14[[#This Row],[Tensão (Pa)]]/1000000</f>
        <v>12.226160085456161</v>
      </c>
    </row>
    <row r="329" spans="1:6" x14ac:dyDescent="0.3">
      <c r="A329" s="4">
        <v>12850</v>
      </c>
      <c r="B329" s="1">
        <v>1.0630999999999999</v>
      </c>
      <c r="C329" s="4">
        <f>Tabela14[[#This Row],[Alongamento (mm/mm)]]/$I$2</f>
        <v>2.1262E-2</v>
      </c>
      <c r="D329" s="1">
        <v>544.66</v>
      </c>
      <c r="E329" s="4">
        <f>Tabela14[[#This Row],[Força (N)]]/$I$5</f>
        <v>12326417.178136259</v>
      </c>
      <c r="F329" s="4">
        <f>Tabela14[[#This Row],[Tensão (Pa)]]/1000000</f>
        <v>12.326417178136259</v>
      </c>
    </row>
    <row r="330" spans="1:6" x14ac:dyDescent="0.3">
      <c r="A330" s="4">
        <v>12950</v>
      </c>
      <c r="B330" s="1">
        <v>1.0714999999999999</v>
      </c>
      <c r="C330" s="4">
        <f>Tabela14[[#This Row],[Alongamento (mm/mm)]]/$I$2</f>
        <v>2.1429999999999998E-2</v>
      </c>
      <c r="D330" s="1">
        <v>549.08000000000004</v>
      </c>
      <c r="E330" s="4">
        <f>Tabela14[[#This Row],[Força (N)]]/$I$5</f>
        <v>12426447.956837401</v>
      </c>
      <c r="F330" s="4">
        <f>Tabela14[[#This Row],[Tensão (Pa)]]/1000000</f>
        <v>12.4264479568374</v>
      </c>
    </row>
    <row r="331" spans="1:6" x14ac:dyDescent="0.3">
      <c r="A331" s="4">
        <v>13050</v>
      </c>
      <c r="B331" s="1">
        <v>1.0798000000000001</v>
      </c>
      <c r="C331" s="4">
        <f>Tabela14[[#This Row],[Alongamento (mm/mm)]]/$I$2</f>
        <v>2.1596000000000001E-2</v>
      </c>
      <c r="D331" s="1">
        <v>553.5</v>
      </c>
      <c r="E331" s="4">
        <f>Tabela14[[#This Row],[Força (N)]]/$I$5</f>
        <v>12526478.735538539</v>
      </c>
      <c r="F331" s="4">
        <f>Tabela14[[#This Row],[Tensão (Pa)]]/1000000</f>
        <v>12.526478735538539</v>
      </c>
    </row>
    <row r="332" spans="1:6" x14ac:dyDescent="0.3">
      <c r="A332" s="4">
        <v>13150</v>
      </c>
      <c r="B332" s="1">
        <v>1.0881000000000001</v>
      </c>
      <c r="C332" s="4">
        <f>Tabela14[[#This Row],[Alongamento (mm/mm)]]/$I$2</f>
        <v>2.1762E-2</v>
      </c>
      <c r="D332" s="1">
        <v>557.91999999999996</v>
      </c>
      <c r="E332" s="4">
        <f>Tabela14[[#This Row],[Força (N)]]/$I$5</f>
        <v>12626509.514239676</v>
      </c>
      <c r="F332" s="4">
        <f>Tabela14[[#This Row],[Tensão (Pa)]]/1000000</f>
        <v>12.626509514239677</v>
      </c>
    </row>
    <row r="333" spans="1:6" x14ac:dyDescent="0.3">
      <c r="A333" s="4">
        <v>13250</v>
      </c>
      <c r="B333" s="1">
        <v>1.0965</v>
      </c>
      <c r="C333" s="4">
        <f>Tabela14[[#This Row],[Alongamento (mm/mm)]]/$I$2</f>
        <v>2.1930000000000002E-2</v>
      </c>
      <c r="D333" s="1">
        <v>562.35</v>
      </c>
      <c r="E333" s="4">
        <f>Tabela14[[#This Row],[Força (N)]]/$I$5</f>
        <v>12726766.606919779</v>
      </c>
      <c r="F333" s="4">
        <f>Tabela14[[#This Row],[Tensão (Pa)]]/1000000</f>
        <v>12.726766606919778</v>
      </c>
    </row>
    <row r="334" spans="1:6" x14ac:dyDescent="0.3">
      <c r="A334" s="4">
        <v>13350</v>
      </c>
      <c r="B334" s="1">
        <v>1.1048</v>
      </c>
      <c r="C334" s="4">
        <f>Tabela14[[#This Row],[Alongamento (mm/mm)]]/$I$2</f>
        <v>2.2096000000000001E-2</v>
      </c>
      <c r="D334" s="1">
        <v>566.77</v>
      </c>
      <c r="E334" s="4">
        <f>Tabela14[[#This Row],[Força (N)]]/$I$5</f>
        <v>12826797.385620916</v>
      </c>
      <c r="F334" s="4">
        <f>Tabela14[[#This Row],[Tensão (Pa)]]/1000000</f>
        <v>12.826797385620916</v>
      </c>
    </row>
    <row r="335" spans="1:6" x14ac:dyDescent="0.3">
      <c r="A335" s="4">
        <v>13467</v>
      </c>
      <c r="B335" s="1">
        <v>1.1146</v>
      </c>
      <c r="C335" s="4">
        <f>Tabela14[[#This Row],[Alongamento (mm/mm)]]/$I$2</f>
        <v>2.2291999999999999E-2</v>
      </c>
      <c r="D335" s="1">
        <v>571.87</v>
      </c>
      <c r="E335" s="4">
        <f>Tabela14[[#This Row],[Força (N)]]/$I$5</f>
        <v>12942217.514891462</v>
      </c>
      <c r="F335" s="4">
        <f>Tabela14[[#This Row],[Tensão (Pa)]]/1000000</f>
        <v>12.942217514891462</v>
      </c>
    </row>
    <row r="336" spans="1:6" x14ac:dyDescent="0.3">
      <c r="A336" s="4">
        <v>13567</v>
      </c>
      <c r="B336" s="1">
        <v>1.1228</v>
      </c>
      <c r="C336" s="4">
        <f>Tabela14[[#This Row],[Alongamento (mm/mm)]]/$I$2</f>
        <v>2.2456E-2</v>
      </c>
      <c r="D336" s="1">
        <v>576.29</v>
      </c>
      <c r="E336" s="4">
        <f>Tabela14[[#This Row],[Força (N)]]/$I$5</f>
        <v>13042248.2935926</v>
      </c>
      <c r="F336" s="4">
        <f>Tabela14[[#This Row],[Tensão (Pa)]]/1000000</f>
        <v>13.0422482935926</v>
      </c>
    </row>
    <row r="337" spans="1:6" x14ac:dyDescent="0.3">
      <c r="A337" s="4">
        <v>13667</v>
      </c>
      <c r="B337" s="1">
        <v>1.1312</v>
      </c>
      <c r="C337" s="4">
        <f>Tabela14[[#This Row],[Alongamento (mm/mm)]]/$I$2</f>
        <v>2.2623999999999998E-2</v>
      </c>
      <c r="D337" s="1">
        <v>580.72</v>
      </c>
      <c r="E337" s="4">
        <f>Tabela14[[#This Row],[Força (N)]]/$I$5</f>
        <v>13142505.386272702</v>
      </c>
      <c r="F337" s="4">
        <f>Tabela14[[#This Row],[Tensão (Pa)]]/1000000</f>
        <v>13.142505386272703</v>
      </c>
    </row>
    <row r="338" spans="1:6" x14ac:dyDescent="0.3">
      <c r="A338" s="4">
        <v>13767</v>
      </c>
      <c r="B338" s="1">
        <v>1.1394</v>
      </c>
      <c r="C338" s="4">
        <f>Tabela14[[#This Row],[Alongamento (mm/mm)]]/$I$2</f>
        <v>2.2787999999999999E-2</v>
      </c>
      <c r="D338" s="1">
        <v>585.14</v>
      </c>
      <c r="E338" s="4">
        <f>Tabela14[[#This Row],[Força (N)]]/$I$5</f>
        <v>13242536.16497384</v>
      </c>
      <c r="F338" s="4">
        <f>Tabela14[[#This Row],[Tensão (Pa)]]/1000000</f>
        <v>13.24253616497384</v>
      </c>
    </row>
    <row r="339" spans="1:6" x14ac:dyDescent="0.3">
      <c r="A339" s="4">
        <v>13867</v>
      </c>
      <c r="B339" s="1">
        <v>1.1478999999999999</v>
      </c>
      <c r="C339" s="4">
        <f>Tabela14[[#This Row],[Alongamento (mm/mm)]]/$I$2</f>
        <v>2.2957999999999999E-2</v>
      </c>
      <c r="D339" s="1">
        <v>589.55999999999995</v>
      </c>
      <c r="E339" s="4">
        <f>Tabela14[[#This Row],[Força (N)]]/$I$5</f>
        <v>13342566.943674978</v>
      </c>
      <c r="F339" s="4">
        <f>Tabela14[[#This Row],[Tensão (Pa)]]/1000000</f>
        <v>13.342566943674978</v>
      </c>
    </row>
    <row r="340" spans="1:6" x14ac:dyDescent="0.3">
      <c r="A340" s="4">
        <v>13967</v>
      </c>
      <c r="B340" s="1">
        <v>1.1561999999999999</v>
      </c>
      <c r="C340" s="4">
        <f>Tabela14[[#This Row],[Alongamento (mm/mm)]]/$I$2</f>
        <v>2.3123999999999999E-2</v>
      </c>
      <c r="D340" s="1">
        <v>593.99</v>
      </c>
      <c r="E340" s="4">
        <f>Tabela14[[#This Row],[Força (N)]]/$I$5</f>
        <v>13442824.03635508</v>
      </c>
      <c r="F340" s="4">
        <f>Tabela14[[#This Row],[Tensão (Pa)]]/1000000</f>
        <v>13.442824036355081</v>
      </c>
    </row>
    <row r="341" spans="1:6" x14ac:dyDescent="0.3">
      <c r="A341" s="4">
        <v>14067</v>
      </c>
      <c r="B341" s="1">
        <v>1.1645000000000001</v>
      </c>
      <c r="C341" s="4">
        <f>Tabela14[[#This Row],[Alongamento (mm/mm)]]/$I$2</f>
        <v>2.3290000000000002E-2</v>
      </c>
      <c r="D341" s="1">
        <v>598.41</v>
      </c>
      <c r="E341" s="4">
        <f>Tabela14[[#This Row],[Força (N)]]/$I$5</f>
        <v>13542854.815056218</v>
      </c>
      <c r="F341" s="4">
        <f>Tabela14[[#This Row],[Tensão (Pa)]]/1000000</f>
        <v>13.542854815056218</v>
      </c>
    </row>
    <row r="342" spans="1:6" x14ac:dyDescent="0.3">
      <c r="A342" s="4">
        <v>14167</v>
      </c>
      <c r="B342" s="1">
        <v>1.1729000000000001</v>
      </c>
      <c r="C342" s="4">
        <f>Tabela14[[#This Row],[Alongamento (mm/mm)]]/$I$2</f>
        <v>2.3458E-2</v>
      </c>
      <c r="D342" s="1">
        <v>602.83000000000004</v>
      </c>
      <c r="E342" s="4">
        <f>Tabela14[[#This Row],[Força (N)]]/$I$5</f>
        <v>13642885.593757357</v>
      </c>
      <c r="F342" s="4">
        <f>Tabela14[[#This Row],[Tensão (Pa)]]/1000000</f>
        <v>13.642885593757358</v>
      </c>
    </row>
    <row r="343" spans="1:6" x14ac:dyDescent="0.3">
      <c r="A343" s="4">
        <v>14267</v>
      </c>
      <c r="B343" s="1">
        <v>1.1812</v>
      </c>
      <c r="C343" s="4">
        <f>Tabela14[[#This Row],[Alongamento (mm/mm)]]/$I$2</f>
        <v>2.3623999999999999E-2</v>
      </c>
      <c r="D343" s="1">
        <v>607.25</v>
      </c>
      <c r="E343" s="4">
        <f>Tabela14[[#This Row],[Força (N)]]/$I$5</f>
        <v>13742916.372458495</v>
      </c>
      <c r="F343" s="4">
        <f>Tabela14[[#This Row],[Tensão (Pa)]]/1000000</f>
        <v>13.742916372458495</v>
      </c>
    </row>
    <row r="344" spans="1:6" x14ac:dyDescent="0.3">
      <c r="A344" s="4">
        <v>14367</v>
      </c>
      <c r="B344" s="1">
        <v>1.1896</v>
      </c>
      <c r="C344" s="4">
        <f>Tabela14[[#This Row],[Alongamento (mm/mm)]]/$I$2</f>
        <v>2.3792000000000001E-2</v>
      </c>
      <c r="D344" s="1">
        <v>611.67999999999995</v>
      </c>
      <c r="E344" s="4">
        <f>Tabela14[[#This Row],[Força (N)]]/$I$5</f>
        <v>13843173.465138596</v>
      </c>
      <c r="F344" s="4">
        <f>Tabela14[[#This Row],[Tensão (Pa)]]/1000000</f>
        <v>13.843173465138596</v>
      </c>
    </row>
    <row r="345" spans="1:6" x14ac:dyDescent="0.3">
      <c r="A345" s="4">
        <v>14483</v>
      </c>
      <c r="B345" s="1">
        <v>1.1992</v>
      </c>
      <c r="C345" s="4">
        <f>Tabela14[[#This Row],[Alongamento (mm/mm)]]/$I$2</f>
        <v>2.3984000000000002E-2</v>
      </c>
      <c r="D345" s="1">
        <v>616.78</v>
      </c>
      <c r="E345" s="4">
        <f>Tabela14[[#This Row],[Força (N)]]/$I$5</f>
        <v>13958593.59440914</v>
      </c>
      <c r="F345" s="4">
        <f>Tabela14[[#This Row],[Tensão (Pa)]]/1000000</f>
        <v>13.958593594409139</v>
      </c>
    </row>
    <row r="346" spans="1:6" x14ac:dyDescent="0.3">
      <c r="A346" s="4">
        <v>14600</v>
      </c>
      <c r="B346" s="1">
        <v>1.2090000000000001</v>
      </c>
      <c r="C346" s="4">
        <f>Tabela14[[#This Row],[Alongamento (mm/mm)]]/$I$2</f>
        <v>2.418E-2</v>
      </c>
      <c r="D346" s="1">
        <v>622.04999999999995</v>
      </c>
      <c r="E346" s="4">
        <f>Tabela14[[#This Row],[Força (N)]]/$I$5</f>
        <v>14077861.061322037</v>
      </c>
      <c r="F346" s="4">
        <f>Tabela14[[#This Row],[Tensão (Pa)]]/1000000</f>
        <v>14.077861061322038</v>
      </c>
    </row>
    <row r="347" spans="1:6" x14ac:dyDescent="0.3">
      <c r="A347" s="4">
        <v>14717</v>
      </c>
      <c r="B347" s="1">
        <v>1.2186999999999999</v>
      </c>
      <c r="C347" s="4">
        <f>Tabela14[[#This Row],[Alongamento (mm/mm)]]/$I$2</f>
        <v>2.4373999999999996E-2</v>
      </c>
      <c r="D347" s="1">
        <v>627.15</v>
      </c>
      <c r="E347" s="4">
        <f>Tabela14[[#This Row],[Força (N)]]/$I$5</f>
        <v>14193281.190592581</v>
      </c>
      <c r="F347" s="4">
        <f>Tabela14[[#This Row],[Tensão (Pa)]]/1000000</f>
        <v>14.193281190592581</v>
      </c>
    </row>
    <row r="348" spans="1:6" x14ac:dyDescent="0.3">
      <c r="A348" s="4">
        <v>14833</v>
      </c>
      <c r="B348" s="1">
        <v>1.2283999999999999</v>
      </c>
      <c r="C348" s="4">
        <f>Tabela14[[#This Row],[Alongamento (mm/mm)]]/$I$2</f>
        <v>2.4568E-2</v>
      </c>
      <c r="D348" s="1">
        <v>632.26</v>
      </c>
      <c r="E348" s="4">
        <f>Tabela14[[#This Row],[Força (N)]]/$I$5</f>
        <v>14308927.633842088</v>
      </c>
      <c r="F348" s="4">
        <f>Tabela14[[#This Row],[Tensão (Pa)]]/1000000</f>
        <v>14.308927633842089</v>
      </c>
    </row>
    <row r="349" spans="1:6" x14ac:dyDescent="0.3">
      <c r="A349" s="4">
        <v>14950</v>
      </c>
      <c r="B349" s="1">
        <v>1.238</v>
      </c>
      <c r="C349" s="4">
        <f>Tabela14[[#This Row],[Alongamento (mm/mm)]]/$I$2</f>
        <v>2.4760000000000001E-2</v>
      </c>
      <c r="D349" s="1">
        <v>637.36</v>
      </c>
      <c r="E349" s="4">
        <f>Tabela14[[#This Row],[Força (N)]]/$I$5</f>
        <v>14424347.763112634</v>
      </c>
      <c r="F349" s="4">
        <f>Tabela14[[#This Row],[Tensão (Pa)]]/1000000</f>
        <v>14.424347763112634</v>
      </c>
    </row>
    <row r="350" spans="1:6" x14ac:dyDescent="0.3">
      <c r="A350" s="4">
        <v>15067</v>
      </c>
      <c r="B350" s="1">
        <v>1.2478</v>
      </c>
      <c r="C350" s="4">
        <f>Tabela14[[#This Row],[Alongamento (mm/mm)]]/$I$2</f>
        <v>2.4955999999999999E-2</v>
      </c>
      <c r="D350" s="1">
        <v>642.63</v>
      </c>
      <c r="E350" s="4">
        <f>Tabela14[[#This Row],[Força (N)]]/$I$5</f>
        <v>14543615.23002553</v>
      </c>
      <c r="F350" s="4">
        <f>Tabela14[[#This Row],[Tensão (Pa)]]/1000000</f>
        <v>14.54361523002553</v>
      </c>
    </row>
    <row r="351" spans="1:6" x14ac:dyDescent="0.3">
      <c r="A351" s="4">
        <v>15183</v>
      </c>
      <c r="B351" s="1">
        <v>1.2576000000000001</v>
      </c>
      <c r="C351" s="4">
        <f>Tabela14[[#This Row],[Alongamento (mm/mm)]]/$I$2</f>
        <v>2.5152000000000001E-2</v>
      </c>
      <c r="D351" s="1">
        <v>647.74</v>
      </c>
      <c r="E351" s="4">
        <f>Tabela14[[#This Row],[Força (N)]]/$I$5</f>
        <v>14659261.673275037</v>
      </c>
      <c r="F351" s="4">
        <f>Tabela14[[#This Row],[Tensão (Pa)]]/1000000</f>
        <v>14.659261673275036</v>
      </c>
    </row>
    <row r="352" spans="1:6" x14ac:dyDescent="0.3">
      <c r="A352" s="4">
        <v>15300</v>
      </c>
      <c r="B352" s="1">
        <v>1.2674000000000001</v>
      </c>
      <c r="C352" s="4">
        <f>Tabela14[[#This Row],[Alongamento (mm/mm)]]/$I$2</f>
        <v>2.5348000000000002E-2</v>
      </c>
      <c r="D352" s="1">
        <v>653.01</v>
      </c>
      <c r="E352" s="4">
        <f>Tabela14[[#This Row],[Força (N)]]/$I$5</f>
        <v>14778529.140187932</v>
      </c>
      <c r="F352" s="4">
        <f>Tabela14[[#This Row],[Tensão (Pa)]]/1000000</f>
        <v>14.778529140187931</v>
      </c>
    </row>
    <row r="353" spans="1:6" x14ac:dyDescent="0.3">
      <c r="A353" s="4">
        <v>15417</v>
      </c>
      <c r="B353" s="1">
        <v>1.2769999999999999</v>
      </c>
      <c r="C353" s="4">
        <f>Tabela14[[#This Row],[Alongamento (mm/mm)]]/$I$2</f>
        <v>2.5539999999999997E-2</v>
      </c>
      <c r="D353" s="1">
        <v>658.11</v>
      </c>
      <c r="E353" s="4">
        <f>Tabela14[[#This Row],[Força (N)]]/$I$5</f>
        <v>14893949.269458478</v>
      </c>
      <c r="F353" s="4">
        <f>Tabela14[[#This Row],[Tensão (Pa)]]/1000000</f>
        <v>14.893949269458478</v>
      </c>
    </row>
    <row r="354" spans="1:6" x14ac:dyDescent="0.3">
      <c r="A354" s="4">
        <v>15533</v>
      </c>
      <c r="B354" s="1">
        <v>1.2867</v>
      </c>
      <c r="C354" s="4">
        <f>Tabela14[[#This Row],[Alongamento (mm/mm)]]/$I$2</f>
        <v>2.5734E-2</v>
      </c>
      <c r="D354" s="1">
        <v>663.39</v>
      </c>
      <c r="E354" s="4">
        <f>Tabela14[[#This Row],[Força (N)]]/$I$5</f>
        <v>15013443.050350336</v>
      </c>
      <c r="F354" s="4">
        <f>Tabela14[[#This Row],[Tensão (Pa)]]/1000000</f>
        <v>15.013443050350336</v>
      </c>
    </row>
    <row r="355" spans="1:6" x14ac:dyDescent="0.3">
      <c r="A355" s="4">
        <v>15650</v>
      </c>
      <c r="B355" s="1">
        <v>1.2965</v>
      </c>
      <c r="C355" s="4">
        <f>Tabela14[[#This Row],[Alongamento (mm/mm)]]/$I$2</f>
        <v>2.5929999999999998E-2</v>
      </c>
      <c r="D355" s="1">
        <v>668.49</v>
      </c>
      <c r="E355" s="4">
        <f>Tabela14[[#This Row],[Força (N)]]/$I$5</f>
        <v>15128863.179620881</v>
      </c>
      <c r="F355" s="4">
        <f>Tabela14[[#This Row],[Tensão (Pa)]]/1000000</f>
        <v>15.128863179620881</v>
      </c>
    </row>
    <row r="356" spans="1:6" x14ac:dyDescent="0.3">
      <c r="A356" s="4">
        <v>15767</v>
      </c>
      <c r="B356" s="1">
        <v>1.3063</v>
      </c>
      <c r="C356" s="4">
        <f>Tabela14[[#This Row],[Alongamento (mm/mm)]]/$I$2</f>
        <v>2.6126E-2</v>
      </c>
      <c r="D356" s="1">
        <v>673.59</v>
      </c>
      <c r="E356" s="4">
        <f>Tabela14[[#This Row],[Força (N)]]/$I$5</f>
        <v>15244283.308891427</v>
      </c>
      <c r="F356" s="4">
        <f>Tabela14[[#This Row],[Tensão (Pa)]]/1000000</f>
        <v>15.244283308891427</v>
      </c>
    </row>
    <row r="357" spans="1:6" x14ac:dyDescent="0.3">
      <c r="A357" s="4">
        <v>15883</v>
      </c>
      <c r="B357" s="1">
        <v>1.3158000000000001</v>
      </c>
      <c r="C357" s="4">
        <f>Tabela14[[#This Row],[Alongamento (mm/mm)]]/$I$2</f>
        <v>2.6316000000000003E-2</v>
      </c>
      <c r="D357" s="1">
        <v>678.86</v>
      </c>
      <c r="E357" s="4">
        <f>Tabela14[[#This Row],[Força (N)]]/$I$5</f>
        <v>15363550.775804322</v>
      </c>
      <c r="F357" s="4">
        <f>Tabela14[[#This Row],[Tensão (Pa)]]/1000000</f>
        <v>15.363550775804322</v>
      </c>
    </row>
    <row r="358" spans="1:6" x14ac:dyDescent="0.3">
      <c r="A358" s="4">
        <v>16000</v>
      </c>
      <c r="B358" s="1">
        <v>1.3254999999999999</v>
      </c>
      <c r="C358" s="4">
        <f>Tabela14[[#This Row],[Alongamento (mm/mm)]]/$I$2</f>
        <v>2.6509999999999999E-2</v>
      </c>
      <c r="D358" s="1">
        <v>683.97</v>
      </c>
      <c r="E358" s="4">
        <f>Tabela14[[#This Row],[Força (N)]]/$I$5</f>
        <v>15479197.219053829</v>
      </c>
      <c r="F358" s="4">
        <f>Tabela14[[#This Row],[Tensão (Pa)]]/1000000</f>
        <v>15.479197219053829</v>
      </c>
    </row>
    <row r="359" spans="1:6" x14ac:dyDescent="0.3">
      <c r="A359" s="4">
        <v>16117</v>
      </c>
      <c r="B359" s="1">
        <v>1.3352999999999999</v>
      </c>
      <c r="C359" s="4">
        <f>Tabela14[[#This Row],[Alongamento (mm/mm)]]/$I$2</f>
        <v>2.6705999999999997E-2</v>
      </c>
      <c r="D359" s="1">
        <v>689.24</v>
      </c>
      <c r="E359" s="4">
        <f>Tabela14[[#This Row],[Força (N)]]/$I$5</f>
        <v>15598464.685966725</v>
      </c>
      <c r="F359" s="4">
        <f>Tabela14[[#This Row],[Tensão (Pa)]]/1000000</f>
        <v>15.598464685966725</v>
      </c>
    </row>
    <row r="360" spans="1:6" x14ac:dyDescent="0.3">
      <c r="A360" s="4">
        <v>16233</v>
      </c>
      <c r="B360" s="1">
        <v>1.3451</v>
      </c>
      <c r="C360" s="4">
        <f>Tabela14[[#This Row],[Alongamento (mm/mm)]]/$I$2</f>
        <v>2.6901999999999999E-2</v>
      </c>
      <c r="D360" s="1">
        <v>694.34</v>
      </c>
      <c r="E360" s="4">
        <f>Tabela14[[#This Row],[Força (N)]]/$I$5</f>
        <v>15713884.815237271</v>
      </c>
      <c r="F360" s="4">
        <f>Tabela14[[#This Row],[Tensão (Pa)]]/1000000</f>
        <v>15.71388481523727</v>
      </c>
    </row>
    <row r="361" spans="1:6" x14ac:dyDescent="0.3">
      <c r="A361" s="4">
        <v>16350</v>
      </c>
      <c r="B361" s="1">
        <v>1.3548</v>
      </c>
      <c r="C361" s="4">
        <f>Tabela14[[#This Row],[Alongamento (mm/mm)]]/$I$2</f>
        <v>2.7095999999999999E-2</v>
      </c>
      <c r="D361" s="1">
        <v>699.62</v>
      </c>
      <c r="E361" s="4">
        <f>Tabela14[[#This Row],[Força (N)]]/$I$5</f>
        <v>15833378.596129129</v>
      </c>
      <c r="F361" s="4">
        <f>Tabela14[[#This Row],[Tensão (Pa)]]/1000000</f>
        <v>15.833378596129128</v>
      </c>
    </row>
    <row r="362" spans="1:6" x14ac:dyDescent="0.3">
      <c r="A362" s="4">
        <v>16483</v>
      </c>
      <c r="B362" s="1">
        <v>1.3658999999999999</v>
      </c>
      <c r="C362" s="4">
        <f>Tabela14[[#This Row],[Alongamento (mm/mm)]]/$I$2</f>
        <v>2.7317999999999999E-2</v>
      </c>
      <c r="D362" s="1">
        <v>705.57</v>
      </c>
      <c r="E362" s="4">
        <f>Tabela14[[#This Row],[Força (N)]]/$I$5</f>
        <v>15968035.413611431</v>
      </c>
      <c r="F362" s="4">
        <f>Tabela14[[#This Row],[Tensão (Pa)]]/1000000</f>
        <v>15.96803541361143</v>
      </c>
    </row>
    <row r="363" spans="1:6" x14ac:dyDescent="0.3">
      <c r="A363" s="4">
        <v>16617</v>
      </c>
      <c r="B363" s="1">
        <v>1.377</v>
      </c>
      <c r="C363" s="4">
        <f>Tabela14[[#This Row],[Alongamento (mm/mm)]]/$I$2</f>
        <v>2.7539999999999999E-2</v>
      </c>
      <c r="D363" s="1">
        <v>711.69</v>
      </c>
      <c r="E363" s="4">
        <f>Tabela14[[#This Row],[Força (N)]]/$I$5</f>
        <v>16106539.568736086</v>
      </c>
      <c r="F363" s="4">
        <f>Tabela14[[#This Row],[Tensão (Pa)]]/1000000</f>
        <v>16.106539568736085</v>
      </c>
    </row>
    <row r="364" spans="1:6" x14ac:dyDescent="0.3">
      <c r="A364" s="4">
        <v>16750</v>
      </c>
      <c r="B364" s="1">
        <v>1.3880999999999999</v>
      </c>
      <c r="C364" s="4">
        <f>Tabela14[[#This Row],[Alongamento (mm/mm)]]/$I$2</f>
        <v>2.7761999999999998E-2</v>
      </c>
      <c r="D364" s="1">
        <v>717.82</v>
      </c>
      <c r="E364" s="4">
        <f>Tabela14[[#This Row],[Força (N)]]/$I$5</f>
        <v>16245270.037839701</v>
      </c>
      <c r="F364" s="4">
        <f>Tabela14[[#This Row],[Tensão (Pa)]]/1000000</f>
        <v>16.245270037839703</v>
      </c>
    </row>
    <row r="365" spans="1:6" x14ac:dyDescent="0.3">
      <c r="A365" s="4">
        <v>16883</v>
      </c>
      <c r="B365" s="1">
        <v>1.3992</v>
      </c>
      <c r="C365" s="4">
        <f>Tabela14[[#This Row],[Alongamento (mm/mm)]]/$I$2</f>
        <v>2.7983999999999998E-2</v>
      </c>
      <c r="D365" s="1">
        <v>723.77</v>
      </c>
      <c r="E365" s="4">
        <f>Tabela14[[#This Row],[Força (N)]]/$I$5</f>
        <v>16379926.855322002</v>
      </c>
      <c r="F365" s="4">
        <f>Tabela14[[#This Row],[Tensão (Pa)]]/1000000</f>
        <v>16.379926855322001</v>
      </c>
    </row>
    <row r="366" spans="1:6" x14ac:dyDescent="0.3">
      <c r="A366" s="4">
        <v>17000</v>
      </c>
      <c r="B366" s="1">
        <v>1.4089</v>
      </c>
      <c r="C366" s="4">
        <f>Tabela14[[#This Row],[Alongamento (mm/mm)]]/$I$2</f>
        <v>2.8178000000000002E-2</v>
      </c>
      <c r="D366" s="1">
        <v>729.21</v>
      </c>
      <c r="E366" s="4">
        <f>Tabela14[[#This Row],[Força (N)]]/$I$5</f>
        <v>16503041.65987725</v>
      </c>
      <c r="F366" s="4">
        <f>Tabela14[[#This Row],[Tensão (Pa)]]/1000000</f>
        <v>16.503041659877251</v>
      </c>
    </row>
    <row r="367" spans="1:6" x14ac:dyDescent="0.3">
      <c r="A367" s="4">
        <v>17133</v>
      </c>
      <c r="B367" s="1">
        <v>1.4200999999999999</v>
      </c>
      <c r="C367" s="4">
        <f>Tabela14[[#This Row],[Alongamento (mm/mm)]]/$I$2</f>
        <v>2.8401999999999997E-2</v>
      </c>
      <c r="D367" s="1">
        <v>735.17</v>
      </c>
      <c r="E367" s="4">
        <f>Tabela14[[#This Row],[Força (N)]]/$I$5</f>
        <v>16637924.791338513</v>
      </c>
      <c r="F367" s="4">
        <f>Tabela14[[#This Row],[Tensão (Pa)]]/1000000</f>
        <v>16.637924791338513</v>
      </c>
    </row>
    <row r="368" spans="1:6" x14ac:dyDescent="0.3">
      <c r="A368" s="4">
        <v>17250</v>
      </c>
      <c r="B368" s="1">
        <v>1.4297</v>
      </c>
      <c r="C368" s="4">
        <f>Tabela14[[#This Row],[Alongamento (mm/mm)]]/$I$2</f>
        <v>2.8593999999999998E-2</v>
      </c>
      <c r="D368" s="1">
        <v>740.61</v>
      </c>
      <c r="E368" s="4">
        <f>Tabela14[[#This Row],[Força (N)]]/$I$5</f>
        <v>16761039.595893761</v>
      </c>
      <c r="F368" s="4">
        <f>Tabela14[[#This Row],[Tensão (Pa)]]/1000000</f>
        <v>16.761039595893759</v>
      </c>
    </row>
    <row r="369" spans="1:6" x14ac:dyDescent="0.3">
      <c r="A369" s="4">
        <v>17383</v>
      </c>
      <c r="B369" s="1">
        <v>1.4409000000000001</v>
      </c>
      <c r="C369" s="4">
        <f>Tabela14[[#This Row],[Alongamento (mm/mm)]]/$I$2</f>
        <v>2.8818E-2</v>
      </c>
      <c r="D369" s="1">
        <v>746.9</v>
      </c>
      <c r="E369" s="4">
        <f>Tabela14[[#This Row],[Força (N)]]/$I$5</f>
        <v>16903391.088660765</v>
      </c>
      <c r="F369" s="4">
        <f>Tabela14[[#This Row],[Tensão (Pa)]]/1000000</f>
        <v>16.903391088660765</v>
      </c>
    </row>
    <row r="370" spans="1:6" x14ac:dyDescent="0.3">
      <c r="A370" s="4">
        <v>17517</v>
      </c>
      <c r="B370" s="1">
        <v>1.4520999999999999</v>
      </c>
      <c r="C370" s="4">
        <f>Tabela14[[#This Row],[Alongamento (mm/mm)]]/$I$2</f>
        <v>2.9041999999999998E-2</v>
      </c>
      <c r="D370" s="1">
        <v>753.03</v>
      </c>
      <c r="E370" s="4">
        <f>Tabela14[[#This Row],[Força (N)]]/$I$5</f>
        <v>17042121.557764381</v>
      </c>
      <c r="F370" s="4">
        <f>Tabela14[[#This Row],[Tensão (Pa)]]/1000000</f>
        <v>17.042121557764382</v>
      </c>
    </row>
    <row r="371" spans="1:6" x14ac:dyDescent="0.3">
      <c r="A371" s="4">
        <v>17650</v>
      </c>
      <c r="B371" s="1">
        <v>1.4632000000000001</v>
      </c>
      <c r="C371" s="4">
        <f>Tabela14[[#This Row],[Alongamento (mm/mm)]]/$I$2</f>
        <v>2.9264000000000002E-2</v>
      </c>
      <c r="D371" s="1">
        <v>759.15</v>
      </c>
      <c r="E371" s="4">
        <f>Tabela14[[#This Row],[Força (N)]]/$I$5</f>
        <v>17180625.712889034</v>
      </c>
      <c r="F371" s="4">
        <f>Tabela14[[#This Row],[Tensão (Pa)]]/1000000</f>
        <v>17.180625712889036</v>
      </c>
    </row>
    <row r="372" spans="1:6" x14ac:dyDescent="0.3">
      <c r="A372" s="4">
        <v>17783</v>
      </c>
      <c r="B372" s="1">
        <v>1.4742</v>
      </c>
      <c r="C372" s="4">
        <f>Tabela14[[#This Row],[Alongamento (mm/mm)]]/$I$2</f>
        <v>2.9484E-2</v>
      </c>
      <c r="D372" s="1">
        <v>765.44</v>
      </c>
      <c r="E372" s="4">
        <f>Tabela14[[#This Row],[Força (N)]]/$I$5</f>
        <v>17322977.205656044</v>
      </c>
      <c r="F372" s="4">
        <f>Tabela14[[#This Row],[Tensão (Pa)]]/1000000</f>
        <v>17.322977205656045</v>
      </c>
    </row>
    <row r="373" spans="1:6" x14ac:dyDescent="0.3">
      <c r="A373" s="4">
        <v>17917</v>
      </c>
      <c r="B373" s="1">
        <v>1.4854000000000001</v>
      </c>
      <c r="C373" s="4">
        <f>Tabela14[[#This Row],[Alongamento (mm/mm)]]/$I$2</f>
        <v>2.9708000000000002E-2</v>
      </c>
      <c r="D373" s="1">
        <v>771.57</v>
      </c>
      <c r="E373" s="4">
        <f>Tabela14[[#This Row],[Força (N)]]/$I$5</f>
        <v>17461707.674759656</v>
      </c>
      <c r="F373" s="4">
        <f>Tabela14[[#This Row],[Tensão (Pa)]]/1000000</f>
        <v>17.461707674759655</v>
      </c>
    </row>
    <row r="374" spans="1:6" x14ac:dyDescent="0.3">
      <c r="A374" s="4">
        <v>18050</v>
      </c>
      <c r="B374" s="1">
        <v>1.4964</v>
      </c>
      <c r="C374" s="4">
        <f>Tabela14[[#This Row],[Alongamento (mm/mm)]]/$I$2</f>
        <v>2.9928E-2</v>
      </c>
      <c r="D374" s="1">
        <v>777.69</v>
      </c>
      <c r="E374" s="4">
        <f>Tabela14[[#This Row],[Força (N)]]/$I$5</f>
        <v>17600211.829884313</v>
      </c>
      <c r="F374" s="4">
        <f>Tabela14[[#This Row],[Tensão (Pa)]]/1000000</f>
        <v>17.600211829884312</v>
      </c>
    </row>
    <row r="375" spans="1:6" x14ac:dyDescent="0.3">
      <c r="A375" s="4">
        <v>18183</v>
      </c>
      <c r="B375" s="1">
        <v>1.5075000000000001</v>
      </c>
      <c r="C375" s="4">
        <f>Tabela14[[#This Row],[Alongamento (mm/mm)]]/$I$2</f>
        <v>3.015E-2</v>
      </c>
      <c r="D375" s="1">
        <v>783.82</v>
      </c>
      <c r="E375" s="4">
        <f>Tabela14[[#This Row],[Força (N)]]/$I$5</f>
        <v>17738942.298987929</v>
      </c>
      <c r="F375" s="4">
        <f>Tabela14[[#This Row],[Tensão (Pa)]]/1000000</f>
        <v>17.738942298987929</v>
      </c>
    </row>
    <row r="376" spans="1:6" x14ac:dyDescent="0.3">
      <c r="A376" s="4">
        <v>18317</v>
      </c>
      <c r="B376" s="1">
        <v>1.5186999999999999</v>
      </c>
      <c r="C376" s="4">
        <f>Tabela14[[#This Row],[Alongamento (mm/mm)]]/$I$2</f>
        <v>3.0373999999999998E-2</v>
      </c>
      <c r="D376" s="1">
        <v>789.94</v>
      </c>
      <c r="E376" s="4">
        <f>Tabela14[[#This Row],[Força (N)]]/$I$5</f>
        <v>17877446.454112582</v>
      </c>
      <c r="F376" s="4">
        <f>Tabela14[[#This Row],[Tensão (Pa)]]/1000000</f>
        <v>17.877446454112583</v>
      </c>
    </row>
    <row r="377" spans="1:6" x14ac:dyDescent="0.3">
      <c r="A377" s="4">
        <v>18450</v>
      </c>
      <c r="B377" s="1">
        <v>1.5298</v>
      </c>
      <c r="C377" s="4">
        <f>Tabela14[[#This Row],[Alongamento (mm/mm)]]/$I$2</f>
        <v>3.0596000000000002E-2</v>
      </c>
      <c r="D377" s="1">
        <v>796.23</v>
      </c>
      <c r="E377" s="4">
        <f>Tabela14[[#This Row],[Força (N)]]/$I$5</f>
        <v>18019797.946879584</v>
      </c>
      <c r="F377" s="4">
        <f>Tabela14[[#This Row],[Tensão (Pa)]]/1000000</f>
        <v>18.019797946879585</v>
      </c>
    </row>
    <row r="378" spans="1:6" x14ac:dyDescent="0.3">
      <c r="A378" s="4">
        <v>18583</v>
      </c>
      <c r="B378" s="1">
        <v>1.5408999999999999</v>
      </c>
      <c r="C378" s="4">
        <f>Tabela14[[#This Row],[Alongamento (mm/mm)]]/$I$2</f>
        <v>3.0817999999999998E-2</v>
      </c>
      <c r="D378" s="1">
        <v>802.36</v>
      </c>
      <c r="E378" s="4">
        <f>Tabela14[[#This Row],[Força (N)]]/$I$5</f>
        <v>18158528.4159832</v>
      </c>
      <c r="F378" s="4">
        <f>Tabela14[[#This Row],[Tensão (Pa)]]/1000000</f>
        <v>18.158528415983199</v>
      </c>
    </row>
    <row r="379" spans="1:6" x14ac:dyDescent="0.3">
      <c r="A379" s="4">
        <v>18717</v>
      </c>
      <c r="B379" s="1">
        <v>1.552</v>
      </c>
      <c r="C379" s="4">
        <f>Tabela14[[#This Row],[Alongamento (mm/mm)]]/$I$2</f>
        <v>3.1040000000000002E-2</v>
      </c>
      <c r="D379" s="1">
        <v>808.48</v>
      </c>
      <c r="E379" s="4">
        <f>Tabela14[[#This Row],[Força (N)]]/$I$5</f>
        <v>18297032.571107853</v>
      </c>
      <c r="F379" s="4">
        <f>Tabela14[[#This Row],[Tensão (Pa)]]/1000000</f>
        <v>18.297032571107852</v>
      </c>
    </row>
    <row r="380" spans="1:6" x14ac:dyDescent="0.3">
      <c r="A380" s="4">
        <v>18850</v>
      </c>
      <c r="B380" s="1">
        <v>1.5630999999999999</v>
      </c>
      <c r="C380" s="4">
        <f>Tabela14[[#This Row],[Alongamento (mm/mm)]]/$I$2</f>
        <v>3.1261999999999998E-2</v>
      </c>
      <c r="D380" s="1">
        <v>814.6</v>
      </c>
      <c r="E380" s="4">
        <f>Tabela14[[#This Row],[Força (N)]]/$I$5</f>
        <v>18435536.72623251</v>
      </c>
      <c r="F380" s="4">
        <f>Tabela14[[#This Row],[Tensão (Pa)]]/1000000</f>
        <v>18.43553672623251</v>
      </c>
    </row>
    <row r="381" spans="1:6" x14ac:dyDescent="0.3">
      <c r="A381" s="4">
        <v>19000</v>
      </c>
      <c r="B381" s="1">
        <v>1.5757000000000001</v>
      </c>
      <c r="C381" s="4">
        <f>Tabela14[[#This Row],[Alongamento (mm/mm)]]/$I$2</f>
        <v>3.1514E-2</v>
      </c>
      <c r="D381" s="1">
        <v>821.24</v>
      </c>
      <c r="E381" s="4">
        <f>Tabela14[[#This Row],[Força (N)]]/$I$5</f>
        <v>18585809.208263177</v>
      </c>
      <c r="F381" s="4">
        <f>Tabela14[[#This Row],[Tensão (Pa)]]/1000000</f>
        <v>18.585809208263179</v>
      </c>
    </row>
    <row r="382" spans="1:6" x14ac:dyDescent="0.3">
      <c r="A382" s="4">
        <v>19150</v>
      </c>
      <c r="B382" s="1">
        <v>1.5881000000000001</v>
      </c>
      <c r="C382" s="4">
        <f>Tabela14[[#This Row],[Alongamento (mm/mm)]]/$I$2</f>
        <v>3.1761999999999999E-2</v>
      </c>
      <c r="D382" s="1">
        <v>827.87</v>
      </c>
      <c r="E382" s="4">
        <f>Tabela14[[#This Row],[Força (N)]]/$I$5</f>
        <v>18735855.376314886</v>
      </c>
      <c r="F382" s="4">
        <f>Tabela14[[#This Row],[Tensão (Pa)]]/1000000</f>
        <v>18.735855376314888</v>
      </c>
    </row>
    <row r="383" spans="1:6" x14ac:dyDescent="0.3">
      <c r="A383" s="4">
        <v>19300</v>
      </c>
      <c r="B383" s="1">
        <v>1.6006</v>
      </c>
      <c r="C383" s="4">
        <f>Tabela14[[#This Row],[Alongamento (mm/mm)]]/$I$2</f>
        <v>3.2011999999999999E-2</v>
      </c>
      <c r="D383" s="1">
        <v>834.84</v>
      </c>
      <c r="E383" s="4">
        <f>Tabela14[[#This Row],[Força (N)]]/$I$5</f>
        <v>18893596.2196513</v>
      </c>
      <c r="F383" s="4">
        <f>Tabela14[[#This Row],[Tensão (Pa)]]/1000000</f>
        <v>18.8935962196513</v>
      </c>
    </row>
    <row r="384" spans="1:6" x14ac:dyDescent="0.3">
      <c r="A384" s="4">
        <v>19450</v>
      </c>
      <c r="B384" s="1">
        <v>1.6132</v>
      </c>
      <c r="C384" s="4">
        <f>Tabela14[[#This Row],[Alongamento (mm/mm)]]/$I$2</f>
        <v>3.2264000000000001E-2</v>
      </c>
      <c r="D384" s="1">
        <v>841.65</v>
      </c>
      <c r="E384" s="4">
        <f>Tabela14[[#This Row],[Força (N)]]/$I$5</f>
        <v>19047716.039324317</v>
      </c>
      <c r="F384" s="4">
        <f>Tabela14[[#This Row],[Tensão (Pa)]]/1000000</f>
        <v>19.047716039324317</v>
      </c>
    </row>
    <row r="385" spans="1:6" x14ac:dyDescent="0.3">
      <c r="A385" s="4">
        <v>19600</v>
      </c>
      <c r="B385" s="1">
        <v>1.6255999999999999</v>
      </c>
      <c r="C385" s="4">
        <f>Tabela14[[#This Row],[Alongamento (mm/mm)]]/$I$2</f>
        <v>3.2511999999999999E-2</v>
      </c>
      <c r="D385" s="1">
        <v>848.62</v>
      </c>
      <c r="E385" s="4">
        <f>Tabela14[[#This Row],[Força (N)]]/$I$5</f>
        <v>19205456.882660732</v>
      </c>
      <c r="F385" s="4">
        <f>Tabela14[[#This Row],[Tensão (Pa)]]/1000000</f>
        <v>19.20545688266073</v>
      </c>
    </row>
    <row r="386" spans="1:6" x14ac:dyDescent="0.3">
      <c r="A386" s="4">
        <v>19750</v>
      </c>
      <c r="B386" s="1">
        <v>1.6382000000000001</v>
      </c>
      <c r="C386" s="4">
        <f>Tabela14[[#This Row],[Alongamento (mm/mm)]]/$I$2</f>
        <v>3.2764000000000001E-2</v>
      </c>
      <c r="D386" s="1">
        <v>855.6</v>
      </c>
      <c r="E386" s="4">
        <f>Tabela14[[#This Row],[Força (N)]]/$I$5</f>
        <v>19363424.039976105</v>
      </c>
      <c r="F386" s="4">
        <f>Tabela14[[#This Row],[Tensão (Pa)]]/1000000</f>
        <v>19.363424039976106</v>
      </c>
    </row>
    <row r="387" spans="1:6" x14ac:dyDescent="0.3">
      <c r="A387" s="4">
        <v>19900</v>
      </c>
      <c r="B387" s="1">
        <v>1.6506000000000001</v>
      </c>
      <c r="C387" s="4">
        <f>Tabela14[[#This Row],[Alongamento (mm/mm)]]/$I$2</f>
        <v>3.3012E-2</v>
      </c>
      <c r="D387" s="1">
        <v>862.4</v>
      </c>
      <c r="E387" s="4">
        <f>Tabela14[[#This Row],[Força (N)]]/$I$5</f>
        <v>19517317.545670163</v>
      </c>
      <c r="F387" s="4">
        <f>Tabela14[[#This Row],[Tensão (Pa)]]/1000000</f>
        <v>19.517317545670164</v>
      </c>
    </row>
    <row r="388" spans="1:6" x14ac:dyDescent="0.3">
      <c r="A388" s="4">
        <v>20050</v>
      </c>
      <c r="B388" s="1">
        <v>1.6631</v>
      </c>
      <c r="C388" s="4">
        <f>Tabela14[[#This Row],[Alongamento (mm/mm)]]/$I$2</f>
        <v>3.3262E-2</v>
      </c>
      <c r="D388" s="1">
        <v>869.2</v>
      </c>
      <c r="E388" s="4">
        <f>Tabela14[[#This Row],[Força (N)]]/$I$5</f>
        <v>19671211.051364224</v>
      </c>
      <c r="F388" s="4">
        <f>Tabela14[[#This Row],[Tensão (Pa)]]/1000000</f>
        <v>19.671211051364224</v>
      </c>
    </row>
    <row r="389" spans="1:6" x14ac:dyDescent="0.3">
      <c r="A389" s="4">
        <v>20200</v>
      </c>
      <c r="B389" s="1">
        <v>1.6757</v>
      </c>
      <c r="C389" s="4">
        <f>Tabela14[[#This Row],[Alongamento (mm/mm)]]/$I$2</f>
        <v>3.3514000000000002E-2</v>
      </c>
      <c r="D389" s="1">
        <v>876.01</v>
      </c>
      <c r="E389" s="4">
        <f>Tabela14[[#This Row],[Força (N)]]/$I$5</f>
        <v>19825330.871037245</v>
      </c>
      <c r="F389" s="4">
        <f>Tabela14[[#This Row],[Tensão (Pa)]]/1000000</f>
        <v>19.825330871037245</v>
      </c>
    </row>
    <row r="390" spans="1:6" x14ac:dyDescent="0.3">
      <c r="A390" s="4">
        <v>20350</v>
      </c>
      <c r="B390" s="1">
        <v>1.6880999999999999</v>
      </c>
      <c r="C390" s="4">
        <f>Tabela14[[#This Row],[Alongamento (mm/mm)]]/$I$2</f>
        <v>3.3762E-2</v>
      </c>
      <c r="D390" s="1">
        <v>882.81</v>
      </c>
      <c r="E390" s="4">
        <f>Tabela14[[#This Row],[Força (N)]]/$I$5</f>
        <v>19979224.376731303</v>
      </c>
      <c r="F390" s="4">
        <f>Tabela14[[#This Row],[Tensão (Pa)]]/1000000</f>
        <v>19.979224376731302</v>
      </c>
    </row>
    <row r="391" spans="1:6" x14ac:dyDescent="0.3">
      <c r="A391" s="4">
        <v>20500</v>
      </c>
      <c r="B391" s="1">
        <v>1.7005999999999999</v>
      </c>
      <c r="C391" s="4">
        <f>Tabela14[[#This Row],[Alongamento (mm/mm)]]/$I$2</f>
        <v>3.4012000000000001E-2</v>
      </c>
      <c r="D391" s="1">
        <v>889.62</v>
      </c>
      <c r="E391" s="4">
        <f>Tabela14[[#This Row],[Força (N)]]/$I$5</f>
        <v>20133344.196404327</v>
      </c>
      <c r="F391" s="4">
        <f>Tabela14[[#This Row],[Tensão (Pa)]]/1000000</f>
        <v>20.133344196404327</v>
      </c>
    </row>
    <row r="392" spans="1:6" x14ac:dyDescent="0.3">
      <c r="A392" s="4">
        <v>20650</v>
      </c>
      <c r="B392" s="1">
        <v>1.7130000000000001</v>
      </c>
      <c r="C392" s="4">
        <f>Tabela14[[#This Row],[Alongamento (mm/mm)]]/$I$2</f>
        <v>3.4259999999999999E-2</v>
      </c>
      <c r="D392" s="1">
        <v>896.59</v>
      </c>
      <c r="E392" s="4">
        <f>Tabela14[[#This Row],[Força (N)]]/$I$5</f>
        <v>20291085.039740738</v>
      </c>
      <c r="F392" s="4">
        <f>Tabela14[[#This Row],[Tensão (Pa)]]/1000000</f>
        <v>20.291085039740736</v>
      </c>
    </row>
    <row r="393" spans="1:6" x14ac:dyDescent="0.3">
      <c r="A393" s="4">
        <v>20800</v>
      </c>
      <c r="B393" s="1">
        <v>1.7257</v>
      </c>
      <c r="C393" s="4">
        <f>Tabela14[[#This Row],[Alongamento (mm/mm)]]/$I$2</f>
        <v>3.4514000000000003E-2</v>
      </c>
      <c r="D393" s="1">
        <v>903.39</v>
      </c>
      <c r="E393" s="4">
        <f>Tabela14[[#This Row],[Força (N)]]/$I$5</f>
        <v>20444978.545434795</v>
      </c>
      <c r="F393" s="4">
        <f>Tabela14[[#This Row],[Tensão (Pa)]]/1000000</f>
        <v>20.444978545434797</v>
      </c>
    </row>
    <row r="394" spans="1:6" x14ac:dyDescent="0.3">
      <c r="A394" s="4">
        <v>20950</v>
      </c>
      <c r="B394" s="1">
        <v>1.7381</v>
      </c>
      <c r="C394" s="4">
        <f>Tabela14[[#This Row],[Alongamento (mm/mm)]]/$I$2</f>
        <v>3.4762000000000001E-2</v>
      </c>
      <c r="D394" s="1">
        <v>910.2</v>
      </c>
      <c r="E394" s="4">
        <f>Tabela14[[#This Row],[Força (N)]]/$I$5</f>
        <v>20599098.365107819</v>
      </c>
      <c r="F394" s="4">
        <f>Tabela14[[#This Row],[Tensão (Pa)]]/1000000</f>
        <v>20.599098365107821</v>
      </c>
    </row>
    <row r="395" spans="1:6" x14ac:dyDescent="0.3">
      <c r="A395" s="4">
        <v>21100</v>
      </c>
      <c r="B395" s="1">
        <v>1.7505999999999999</v>
      </c>
      <c r="C395" s="4">
        <f>Tabela14[[#This Row],[Alongamento (mm/mm)]]/$I$2</f>
        <v>3.5012000000000001E-2</v>
      </c>
      <c r="D395" s="1">
        <v>917.17</v>
      </c>
      <c r="E395" s="4">
        <f>Tabela14[[#This Row],[Força (N)]]/$I$5</f>
        <v>20756839.20844423</v>
      </c>
      <c r="F395" s="4">
        <f>Tabela14[[#This Row],[Tensão (Pa)]]/1000000</f>
        <v>20.75683920844423</v>
      </c>
    </row>
    <row r="396" spans="1:6" x14ac:dyDescent="0.3">
      <c r="A396" s="4">
        <v>21267</v>
      </c>
      <c r="B396" s="1">
        <v>1.7645</v>
      </c>
      <c r="C396" s="4">
        <f>Tabela14[[#This Row],[Alongamento (mm/mm)]]/$I$2</f>
        <v>3.5290000000000002E-2</v>
      </c>
      <c r="D396" s="1">
        <v>924.66</v>
      </c>
      <c r="E396" s="4">
        <f>Tabela14[[#This Row],[Força (N)]]/$I$5</f>
        <v>20926348.378686655</v>
      </c>
      <c r="F396" s="4">
        <f>Tabela14[[#This Row],[Tensão (Pa)]]/1000000</f>
        <v>20.926348378686654</v>
      </c>
    </row>
    <row r="397" spans="1:6" x14ac:dyDescent="0.3">
      <c r="A397" s="4">
        <v>21433</v>
      </c>
      <c r="B397" s="1">
        <v>1.7784</v>
      </c>
      <c r="C397" s="4">
        <f>Tabela14[[#This Row],[Alongamento (mm/mm)]]/$I$2</f>
        <v>3.5568000000000002E-2</v>
      </c>
      <c r="D397" s="1">
        <v>932.31</v>
      </c>
      <c r="E397" s="4">
        <f>Tabela14[[#This Row],[Força (N)]]/$I$5</f>
        <v>21099478.572592475</v>
      </c>
      <c r="F397" s="4">
        <f>Tabela14[[#This Row],[Tensão (Pa)]]/1000000</f>
        <v>21.099478572592474</v>
      </c>
    </row>
    <row r="398" spans="1:6" x14ac:dyDescent="0.3">
      <c r="A398" s="4">
        <v>21600</v>
      </c>
      <c r="B398" s="1">
        <v>1.7923</v>
      </c>
      <c r="C398" s="4">
        <f>Tabela14[[#This Row],[Alongamento (mm/mm)]]/$I$2</f>
        <v>3.5846000000000003E-2</v>
      </c>
      <c r="D398" s="1">
        <v>939.8</v>
      </c>
      <c r="E398" s="4">
        <f>Tabela14[[#This Row],[Força (N)]]/$I$5</f>
        <v>21268987.7428349</v>
      </c>
      <c r="F398" s="4">
        <f>Tabela14[[#This Row],[Tensão (Pa)]]/1000000</f>
        <v>21.268987742834899</v>
      </c>
    </row>
    <row r="399" spans="1:6" x14ac:dyDescent="0.3">
      <c r="A399" s="4">
        <v>21767</v>
      </c>
      <c r="B399" s="1">
        <v>1.8061</v>
      </c>
      <c r="C399" s="4">
        <f>Tabela14[[#This Row],[Alongamento (mm/mm)]]/$I$2</f>
        <v>3.6122000000000001E-2</v>
      </c>
      <c r="D399" s="1">
        <v>947.28</v>
      </c>
      <c r="E399" s="4">
        <f>Tabela14[[#This Row],[Força (N)]]/$I$5</f>
        <v>21438270.599098366</v>
      </c>
      <c r="F399" s="4">
        <f>Tabela14[[#This Row],[Tensão (Pa)]]/1000000</f>
        <v>21.438270599098367</v>
      </c>
    </row>
    <row r="400" spans="1:6" x14ac:dyDescent="0.3">
      <c r="A400" s="4">
        <v>21933</v>
      </c>
      <c r="B400" s="1">
        <v>1.8201000000000001</v>
      </c>
      <c r="C400" s="4">
        <f>Tabela14[[#This Row],[Alongamento (mm/mm)]]/$I$2</f>
        <v>3.6402000000000004E-2</v>
      </c>
      <c r="D400" s="1">
        <v>954.93</v>
      </c>
      <c r="E400" s="4">
        <f>Tabela14[[#This Row],[Força (N)]]/$I$5</f>
        <v>21611400.793004185</v>
      </c>
      <c r="F400" s="4">
        <f>Tabela14[[#This Row],[Tensão (Pa)]]/1000000</f>
        <v>21.611400793004186</v>
      </c>
    </row>
    <row r="401" spans="1:6" x14ac:dyDescent="0.3">
      <c r="A401" s="4">
        <v>22100</v>
      </c>
      <c r="B401" s="1">
        <v>1.8340000000000001</v>
      </c>
      <c r="C401" s="4">
        <f>Tabela14[[#This Row],[Alongamento (mm/mm)]]/$I$2</f>
        <v>3.6680000000000004E-2</v>
      </c>
      <c r="D401" s="1">
        <v>962.59</v>
      </c>
      <c r="E401" s="4">
        <f>Tabela14[[#This Row],[Força (N)]]/$I$5</f>
        <v>21784757.300888963</v>
      </c>
      <c r="F401" s="4">
        <f>Tabela14[[#This Row],[Tensão (Pa)]]/1000000</f>
        <v>21.784757300888963</v>
      </c>
    </row>
    <row r="402" spans="1:6" x14ac:dyDescent="0.3">
      <c r="A402" s="4">
        <v>22267</v>
      </c>
      <c r="B402" s="1">
        <v>1.8479000000000001</v>
      </c>
      <c r="C402" s="4">
        <f>Tabela14[[#This Row],[Alongamento (mm/mm)]]/$I$2</f>
        <v>3.6958000000000005E-2</v>
      </c>
      <c r="D402" s="1">
        <v>970.41</v>
      </c>
      <c r="E402" s="4">
        <f>Tabela14[[#This Row],[Força (N)]]/$I$5</f>
        <v>21961734.832437132</v>
      </c>
      <c r="F402" s="4">
        <f>Tabela14[[#This Row],[Tensão (Pa)]]/1000000</f>
        <v>21.961734832437131</v>
      </c>
    </row>
    <row r="403" spans="1:6" x14ac:dyDescent="0.3">
      <c r="A403" s="4">
        <v>22433</v>
      </c>
      <c r="B403" s="1">
        <v>1.8617999999999999</v>
      </c>
      <c r="C403" s="4">
        <f>Tabela14[[#This Row],[Alongamento (mm/mm)]]/$I$2</f>
        <v>3.7235999999999998E-2</v>
      </c>
      <c r="D403" s="1">
        <v>978.24</v>
      </c>
      <c r="E403" s="4">
        <f>Tabela14[[#This Row],[Força (N)]]/$I$5</f>
        <v>22138938.677964263</v>
      </c>
      <c r="F403" s="4">
        <f>Tabela14[[#This Row],[Tensão (Pa)]]/1000000</f>
        <v>22.138938677964262</v>
      </c>
    </row>
    <row r="404" spans="1:6" x14ac:dyDescent="0.3">
      <c r="A404" s="4">
        <v>22600</v>
      </c>
      <c r="B404" s="1">
        <v>1.8755999999999999</v>
      </c>
      <c r="C404" s="4">
        <f>Tabela14[[#This Row],[Alongamento (mm/mm)]]/$I$2</f>
        <v>3.7511999999999997E-2</v>
      </c>
      <c r="D404" s="1">
        <v>986.23</v>
      </c>
      <c r="E404" s="4">
        <f>Tabela14[[#This Row],[Força (N)]]/$I$5</f>
        <v>22319763.547154784</v>
      </c>
      <c r="F404" s="4">
        <f>Tabela14[[#This Row],[Tensão (Pa)]]/1000000</f>
        <v>22.319763547154785</v>
      </c>
    </row>
    <row r="405" spans="1:6" x14ac:dyDescent="0.3">
      <c r="A405" s="4">
        <v>22767</v>
      </c>
      <c r="B405" s="1">
        <v>1.8894</v>
      </c>
      <c r="C405" s="4">
        <f>Tabela14[[#This Row],[Alongamento (mm/mm)]]/$I$2</f>
        <v>3.7788000000000002E-2</v>
      </c>
      <c r="D405" s="1">
        <v>994.06</v>
      </c>
      <c r="E405" s="4">
        <f>Tabela14[[#This Row],[Força (N)]]/$I$5</f>
        <v>22496967.392681912</v>
      </c>
      <c r="F405" s="4">
        <f>Tabela14[[#This Row],[Tensão (Pa)]]/1000000</f>
        <v>22.49696739268191</v>
      </c>
    </row>
    <row r="406" spans="1:6" x14ac:dyDescent="0.3">
      <c r="A406" s="4">
        <v>22933</v>
      </c>
      <c r="B406" s="1">
        <v>1.9034</v>
      </c>
      <c r="C406" s="4">
        <f>Tabela14[[#This Row],[Alongamento (mm/mm)]]/$I$2</f>
        <v>3.8067999999999998E-2</v>
      </c>
      <c r="D406" s="1">
        <v>1001.7</v>
      </c>
      <c r="E406" s="4">
        <f>Tabela14[[#This Row],[Força (N)]]/$I$5</f>
        <v>22669871.272608772</v>
      </c>
      <c r="F406" s="4">
        <f>Tabela14[[#This Row],[Tensão (Pa)]]/1000000</f>
        <v>22.669871272608773</v>
      </c>
    </row>
    <row r="407" spans="1:6" x14ac:dyDescent="0.3">
      <c r="A407" s="4">
        <v>23100</v>
      </c>
      <c r="B407" s="1">
        <v>1.9174</v>
      </c>
      <c r="C407" s="4">
        <f>Tabela14[[#This Row],[Alongamento (mm/mm)]]/$I$2</f>
        <v>3.8348E-2</v>
      </c>
      <c r="D407" s="1">
        <v>1009.7</v>
      </c>
      <c r="E407" s="4">
        <f>Tabela14[[#This Row],[Força (N)]]/$I$5</f>
        <v>22850922.455778252</v>
      </c>
      <c r="F407" s="4">
        <f>Tabela14[[#This Row],[Tensão (Pa)]]/1000000</f>
        <v>22.850922455778253</v>
      </c>
    </row>
    <row r="408" spans="1:6" x14ac:dyDescent="0.3">
      <c r="A408" s="4">
        <v>23267</v>
      </c>
      <c r="B408" s="1">
        <v>1.9311</v>
      </c>
      <c r="C408" s="4">
        <f>Tabela14[[#This Row],[Alongamento (mm/mm)]]/$I$2</f>
        <v>3.8622000000000004E-2</v>
      </c>
      <c r="D408" s="1">
        <v>1017.7</v>
      </c>
      <c r="E408" s="4">
        <f>Tabela14[[#This Row],[Força (N)]]/$I$5</f>
        <v>23031973.638947733</v>
      </c>
      <c r="F408" s="4">
        <f>Tabela14[[#This Row],[Tensão (Pa)]]/1000000</f>
        <v>23.031973638947733</v>
      </c>
    </row>
    <row r="409" spans="1:6" x14ac:dyDescent="0.3">
      <c r="A409" s="4">
        <v>23433</v>
      </c>
      <c r="B409" s="1">
        <v>1.9450000000000001</v>
      </c>
      <c r="C409" s="4">
        <f>Tabela14[[#This Row],[Alongamento (mm/mm)]]/$I$2</f>
        <v>3.8900000000000004E-2</v>
      </c>
      <c r="D409" s="1">
        <v>1025.7</v>
      </c>
      <c r="E409" s="4">
        <f>Tabela14[[#This Row],[Força (N)]]/$I$5</f>
        <v>23213024.822117217</v>
      </c>
      <c r="F409" s="4">
        <f>Tabela14[[#This Row],[Tensão (Pa)]]/1000000</f>
        <v>23.213024822117216</v>
      </c>
    </row>
    <row r="410" spans="1:6" x14ac:dyDescent="0.3">
      <c r="A410" s="4">
        <v>23600</v>
      </c>
      <c r="B410" s="1">
        <v>1.9590000000000001</v>
      </c>
      <c r="C410" s="4">
        <f>Tabela14[[#This Row],[Alongamento (mm/mm)]]/$I$2</f>
        <v>3.918E-2</v>
      </c>
      <c r="D410" s="1">
        <v>1033.7</v>
      </c>
      <c r="E410" s="4">
        <f>Tabela14[[#This Row],[Força (N)]]/$I$5</f>
        <v>23394076.005286697</v>
      </c>
      <c r="F410" s="4">
        <f>Tabela14[[#This Row],[Tensão (Pa)]]/1000000</f>
        <v>23.394076005286696</v>
      </c>
    </row>
    <row r="411" spans="1:6" x14ac:dyDescent="0.3">
      <c r="A411" s="4">
        <v>23767</v>
      </c>
      <c r="B411" s="1">
        <v>1.9728000000000001</v>
      </c>
      <c r="C411" s="4">
        <f>Tabela14[[#This Row],[Alongamento (mm/mm)]]/$I$2</f>
        <v>3.9456000000000005E-2</v>
      </c>
      <c r="D411" s="1">
        <v>1041.5</v>
      </c>
      <c r="E411" s="4">
        <f>Tabela14[[#This Row],[Força (N)]]/$I$5</f>
        <v>23570600.908876944</v>
      </c>
      <c r="F411" s="4">
        <f>Tabela14[[#This Row],[Tensão (Pa)]]/1000000</f>
        <v>23.570600908876944</v>
      </c>
    </row>
    <row r="412" spans="1:6" x14ac:dyDescent="0.3">
      <c r="A412" s="4">
        <v>23933</v>
      </c>
      <c r="B412" s="1">
        <v>1.9866999999999999</v>
      </c>
      <c r="C412" s="4">
        <f>Tabela14[[#This Row],[Alongamento (mm/mm)]]/$I$2</f>
        <v>3.9733999999999998E-2</v>
      </c>
      <c r="D412" s="1">
        <v>1049.5</v>
      </c>
      <c r="E412" s="4">
        <f>Tabela14[[#This Row],[Força (N)]]/$I$5</f>
        <v>23751652.092046425</v>
      </c>
      <c r="F412" s="4">
        <f>Tabela14[[#This Row],[Tensão (Pa)]]/1000000</f>
        <v>23.751652092046424</v>
      </c>
    </row>
    <row r="413" spans="1:6" x14ac:dyDescent="0.3">
      <c r="A413" s="4">
        <v>24117</v>
      </c>
      <c r="B413" s="1">
        <v>2.0019999999999998</v>
      </c>
      <c r="C413" s="4">
        <f>Tabela14[[#This Row],[Alongamento (mm/mm)]]/$I$2</f>
        <v>4.0039999999999992E-2</v>
      </c>
      <c r="D413" s="1">
        <v>1058</v>
      </c>
      <c r="E413" s="4">
        <f>Tabela14[[#This Row],[Força (N)]]/$I$5</f>
        <v>23944018.974163998</v>
      </c>
      <c r="F413" s="4">
        <f>Tabela14[[#This Row],[Tensão (Pa)]]/1000000</f>
        <v>23.944018974163999</v>
      </c>
    </row>
    <row r="414" spans="1:6" x14ac:dyDescent="0.3">
      <c r="A414" s="4">
        <v>24300</v>
      </c>
      <c r="B414" s="1">
        <v>2.0173000000000001</v>
      </c>
      <c r="C414" s="4">
        <f>Tabela14[[#This Row],[Alongamento (mm/mm)]]/$I$2</f>
        <v>4.0346E-2</v>
      </c>
      <c r="D414" s="1">
        <v>1066.7</v>
      </c>
      <c r="E414" s="4">
        <f>Tabela14[[#This Row],[Força (N)]]/$I$5</f>
        <v>24140912.135860812</v>
      </c>
      <c r="F414" s="4">
        <f>Tabela14[[#This Row],[Tensão (Pa)]]/1000000</f>
        <v>24.140912135860813</v>
      </c>
    </row>
    <row r="415" spans="1:6" x14ac:dyDescent="0.3">
      <c r="A415" s="4">
        <v>24483</v>
      </c>
      <c r="B415" s="1">
        <v>2.0326</v>
      </c>
      <c r="C415" s="4">
        <f>Tabela14[[#This Row],[Alongamento (mm/mm)]]/$I$2</f>
        <v>4.0652000000000001E-2</v>
      </c>
      <c r="D415" s="1">
        <v>1075.4000000000001</v>
      </c>
      <c r="E415" s="4">
        <f>Tabela14[[#This Row],[Força (N)]]/$I$5</f>
        <v>24337805.297557626</v>
      </c>
      <c r="F415" s="4">
        <f>Tabela14[[#This Row],[Tensão (Pa)]]/1000000</f>
        <v>24.337805297557626</v>
      </c>
    </row>
    <row r="416" spans="1:6" x14ac:dyDescent="0.3">
      <c r="A416" s="4">
        <v>24667</v>
      </c>
      <c r="B416" s="1">
        <v>2.0478999999999998</v>
      </c>
      <c r="C416" s="4">
        <f>Tabela14[[#This Row],[Alongamento (mm/mm)]]/$I$2</f>
        <v>4.0957999999999994E-2</v>
      </c>
      <c r="D416" s="1">
        <v>1083.9000000000001</v>
      </c>
      <c r="E416" s="4">
        <f>Tabela14[[#This Row],[Força (N)]]/$I$5</f>
        <v>24530172.179675199</v>
      </c>
      <c r="F416" s="4">
        <f>Tabela14[[#This Row],[Tensão (Pa)]]/1000000</f>
        <v>24.530172179675198</v>
      </c>
    </row>
    <row r="417" spans="1:6" x14ac:dyDescent="0.3">
      <c r="A417" s="4">
        <v>24850</v>
      </c>
      <c r="B417" s="1">
        <v>2.0630999999999999</v>
      </c>
      <c r="C417" s="4">
        <f>Tabela14[[#This Row],[Alongamento (mm/mm)]]/$I$2</f>
        <v>4.1262E-2</v>
      </c>
      <c r="D417" s="1">
        <v>1092.2</v>
      </c>
      <c r="E417" s="4">
        <f>Tabela14[[#This Row],[Força (N)]]/$I$5</f>
        <v>24718012.782213535</v>
      </c>
      <c r="F417" s="4">
        <f>Tabela14[[#This Row],[Tensão (Pa)]]/1000000</f>
        <v>24.718012782213535</v>
      </c>
    </row>
    <row r="418" spans="1:6" x14ac:dyDescent="0.3">
      <c r="A418" s="4">
        <v>25033</v>
      </c>
      <c r="B418" s="1">
        <v>2.0785</v>
      </c>
      <c r="C418" s="4">
        <f>Tabela14[[#This Row],[Alongamento (mm/mm)]]/$I$2</f>
        <v>4.1570000000000003E-2</v>
      </c>
      <c r="D418" s="1">
        <v>1100.7</v>
      </c>
      <c r="E418" s="4">
        <f>Tabela14[[#This Row],[Força (N)]]/$I$5</f>
        <v>24910379.664331112</v>
      </c>
      <c r="F418" s="4">
        <f>Tabela14[[#This Row],[Tensão (Pa)]]/1000000</f>
        <v>24.910379664331114</v>
      </c>
    </row>
    <row r="419" spans="1:6" x14ac:dyDescent="0.3">
      <c r="A419" s="4">
        <v>25217</v>
      </c>
      <c r="B419" s="1">
        <v>2.0937000000000001</v>
      </c>
      <c r="C419" s="4">
        <f>Tabela14[[#This Row],[Alongamento (mm/mm)]]/$I$2</f>
        <v>4.1874000000000001E-2</v>
      </c>
      <c r="D419" s="1">
        <v>1109.2</v>
      </c>
      <c r="E419" s="4">
        <f>Tabela14[[#This Row],[Força (N)]]/$I$5</f>
        <v>25102746.546448685</v>
      </c>
      <c r="F419" s="4">
        <f>Tabela14[[#This Row],[Tensão (Pa)]]/1000000</f>
        <v>25.102746546448685</v>
      </c>
    </row>
    <row r="420" spans="1:6" x14ac:dyDescent="0.3">
      <c r="A420" s="4">
        <v>25400</v>
      </c>
      <c r="B420" s="1">
        <v>2.109</v>
      </c>
      <c r="C420" s="4">
        <f>Tabela14[[#This Row],[Alongamento (mm/mm)]]/$I$2</f>
        <v>4.2180000000000002E-2</v>
      </c>
      <c r="D420" s="1">
        <v>1117.7</v>
      </c>
      <c r="E420" s="4">
        <f>Tabela14[[#This Row],[Força (N)]]/$I$5</f>
        <v>25295113.428566258</v>
      </c>
      <c r="F420" s="4">
        <f>Tabela14[[#This Row],[Tensão (Pa)]]/1000000</f>
        <v>25.295113428566257</v>
      </c>
    </row>
    <row r="421" spans="1:6" x14ac:dyDescent="0.3">
      <c r="A421" s="4">
        <v>25600</v>
      </c>
      <c r="B421" s="1">
        <v>2.1255999999999999</v>
      </c>
      <c r="C421" s="4">
        <f>Tabela14[[#This Row],[Alongamento (mm/mm)]]/$I$2</f>
        <v>4.2512000000000001E-2</v>
      </c>
      <c r="D421" s="1">
        <v>1126.9000000000001</v>
      </c>
      <c r="E421" s="4">
        <f>Tabela14[[#This Row],[Força (N)]]/$I$5</f>
        <v>25503322.289211165</v>
      </c>
      <c r="F421" s="4">
        <f>Tabela14[[#This Row],[Tensão (Pa)]]/1000000</f>
        <v>25.503322289211166</v>
      </c>
    </row>
    <row r="422" spans="1:6" x14ac:dyDescent="0.3">
      <c r="A422" s="4">
        <v>25783</v>
      </c>
      <c r="B422" s="1">
        <v>2.1408999999999998</v>
      </c>
      <c r="C422" s="4">
        <f>Tabela14[[#This Row],[Alongamento (mm/mm)]]/$I$2</f>
        <v>4.2817999999999995E-2</v>
      </c>
      <c r="D422" s="1">
        <v>1135.4000000000001</v>
      </c>
      <c r="E422" s="4">
        <f>Tabela14[[#This Row],[Força (N)]]/$I$5</f>
        <v>25695689.171328738</v>
      </c>
      <c r="F422" s="4">
        <f>Tabela14[[#This Row],[Tensão (Pa)]]/1000000</f>
        <v>25.695689171328738</v>
      </c>
    </row>
    <row r="423" spans="1:6" x14ac:dyDescent="0.3">
      <c r="A423" s="4">
        <v>25983</v>
      </c>
      <c r="B423" s="1">
        <v>2.1575000000000002</v>
      </c>
      <c r="C423" s="4">
        <f>Tabela14[[#This Row],[Alongamento (mm/mm)]]/$I$2</f>
        <v>4.3150000000000001E-2</v>
      </c>
      <c r="D423" s="1">
        <v>1144.5999999999999</v>
      </c>
      <c r="E423" s="4">
        <f>Tabela14[[#This Row],[Força (N)]]/$I$5</f>
        <v>25903898.031973641</v>
      </c>
      <c r="F423" s="4">
        <f>Tabela14[[#This Row],[Tensão (Pa)]]/1000000</f>
        <v>25.90389803197364</v>
      </c>
    </row>
    <row r="424" spans="1:6" x14ac:dyDescent="0.3">
      <c r="A424" s="4">
        <v>26183</v>
      </c>
      <c r="B424" s="1">
        <v>2.1741999999999999</v>
      </c>
      <c r="C424" s="4">
        <f>Tabela14[[#This Row],[Alongamento (mm/mm)]]/$I$2</f>
        <v>4.3483999999999995E-2</v>
      </c>
      <c r="D424" s="1">
        <v>1153.8</v>
      </c>
      <c r="E424" s="4">
        <f>Tabela14[[#This Row],[Força (N)]]/$I$5</f>
        <v>26112106.892618544</v>
      </c>
      <c r="F424" s="4">
        <f>Tabela14[[#This Row],[Tensão (Pa)]]/1000000</f>
        <v>26.112106892618545</v>
      </c>
    </row>
    <row r="425" spans="1:6" x14ac:dyDescent="0.3">
      <c r="A425" s="4">
        <v>26383</v>
      </c>
      <c r="B425" s="1">
        <v>2.1909999999999998</v>
      </c>
      <c r="C425" s="4">
        <f>Tabela14[[#This Row],[Alongamento (mm/mm)]]/$I$2</f>
        <v>4.3819999999999998E-2</v>
      </c>
      <c r="D425" s="1">
        <v>1163</v>
      </c>
      <c r="E425" s="4">
        <f>Tabela14[[#This Row],[Força (N)]]/$I$5</f>
        <v>26320315.753263451</v>
      </c>
      <c r="F425" s="4">
        <f>Tabela14[[#This Row],[Tensão (Pa)]]/1000000</f>
        <v>26.320315753263451</v>
      </c>
    </row>
    <row r="426" spans="1:6" x14ac:dyDescent="0.3">
      <c r="A426" s="4">
        <v>26583</v>
      </c>
      <c r="B426" s="1">
        <v>2.2075999999999998</v>
      </c>
      <c r="C426" s="4">
        <f>Tabela14[[#This Row],[Alongamento (mm/mm)]]/$I$2</f>
        <v>4.4151999999999997E-2</v>
      </c>
      <c r="D426" s="1">
        <v>1172.2</v>
      </c>
      <c r="E426" s="4">
        <f>Tabela14[[#This Row],[Força (N)]]/$I$5</f>
        <v>26528524.613908358</v>
      </c>
      <c r="F426" s="4">
        <f>Tabela14[[#This Row],[Tensão (Pa)]]/1000000</f>
        <v>26.528524613908356</v>
      </c>
    </row>
    <row r="427" spans="1:6" x14ac:dyDescent="0.3">
      <c r="A427" s="4">
        <v>26783</v>
      </c>
      <c r="B427" s="1">
        <v>2.2242000000000002</v>
      </c>
      <c r="C427" s="4">
        <f>Tabela14[[#This Row],[Alongamento (mm/mm)]]/$I$2</f>
        <v>4.4484000000000003E-2</v>
      </c>
      <c r="D427" s="1">
        <v>1181.5</v>
      </c>
      <c r="E427" s="4">
        <f>Tabela14[[#This Row],[Força (N)]]/$I$5</f>
        <v>26738996.61434288</v>
      </c>
      <c r="F427" s="4">
        <f>Tabela14[[#This Row],[Tensão (Pa)]]/1000000</f>
        <v>26.738996614342881</v>
      </c>
    </row>
    <row r="428" spans="1:6" x14ac:dyDescent="0.3">
      <c r="A428" s="4">
        <v>26983</v>
      </c>
      <c r="B428" s="1">
        <v>2.2408000000000001</v>
      </c>
      <c r="C428" s="4">
        <f>Tabela14[[#This Row],[Alongamento (mm/mm)]]/$I$2</f>
        <v>4.4816000000000002E-2</v>
      </c>
      <c r="D428" s="1">
        <v>1190.7</v>
      </c>
      <c r="E428" s="4">
        <f>Tabela14[[#This Row],[Força (N)]]/$I$5</f>
        <v>26947205.474987783</v>
      </c>
      <c r="F428" s="4">
        <f>Tabela14[[#This Row],[Tensão (Pa)]]/1000000</f>
        <v>26.947205474987783</v>
      </c>
    </row>
    <row r="429" spans="1:6" x14ac:dyDescent="0.3">
      <c r="A429" s="4">
        <v>27200</v>
      </c>
      <c r="B429" s="1">
        <v>2.2589999999999999</v>
      </c>
      <c r="C429" s="4">
        <f>Tabela14[[#This Row],[Alongamento (mm/mm)]]/$I$2</f>
        <v>4.5179999999999998E-2</v>
      </c>
      <c r="D429" s="1">
        <v>1200.4000000000001</v>
      </c>
      <c r="E429" s="4">
        <f>Tabela14[[#This Row],[Força (N)]]/$I$5</f>
        <v>27166730.034580782</v>
      </c>
      <c r="F429" s="4">
        <f>Tabela14[[#This Row],[Tensão (Pa)]]/1000000</f>
        <v>27.16673003458078</v>
      </c>
    </row>
    <row r="430" spans="1:6" x14ac:dyDescent="0.3">
      <c r="A430" s="4">
        <v>27417</v>
      </c>
      <c r="B430" s="1">
        <v>2.2768999999999999</v>
      </c>
      <c r="C430" s="4">
        <f>Tabela14[[#This Row],[Alongamento (mm/mm)]]/$I$2</f>
        <v>4.5537999999999995E-2</v>
      </c>
      <c r="D430" s="1">
        <v>1210.0999999999999</v>
      </c>
      <c r="E430" s="4">
        <f>Tabela14[[#This Row],[Força (N)]]/$I$5</f>
        <v>27386254.594173774</v>
      </c>
      <c r="F430" s="4">
        <f>Tabela14[[#This Row],[Tensão (Pa)]]/1000000</f>
        <v>27.386254594173774</v>
      </c>
    </row>
    <row r="431" spans="1:6" x14ac:dyDescent="0.3">
      <c r="A431" s="4">
        <v>27617</v>
      </c>
      <c r="B431" s="1">
        <v>2.2936999999999999</v>
      </c>
      <c r="C431" s="4">
        <f>Tabela14[[#This Row],[Alongamento (mm/mm)]]/$I$2</f>
        <v>4.5873999999999998E-2</v>
      </c>
      <c r="D431" s="1">
        <v>1219.3</v>
      </c>
      <c r="E431" s="4">
        <f>Tabela14[[#This Row],[Força (N)]]/$I$5</f>
        <v>27594463.454818681</v>
      </c>
      <c r="F431" s="4">
        <f>Tabela14[[#This Row],[Tensão (Pa)]]/1000000</f>
        <v>27.59446345481868</v>
      </c>
    </row>
    <row r="432" spans="1:6" x14ac:dyDescent="0.3">
      <c r="A432" s="4">
        <v>27833</v>
      </c>
      <c r="B432" s="1">
        <v>2.3117000000000001</v>
      </c>
      <c r="C432" s="4">
        <f>Tabela14[[#This Row],[Alongamento (mm/mm)]]/$I$2</f>
        <v>4.6234000000000004E-2</v>
      </c>
      <c r="D432" s="1">
        <v>1229.0999999999999</v>
      </c>
      <c r="E432" s="4">
        <f>Tabela14[[#This Row],[Força (N)]]/$I$5</f>
        <v>27816251.154201295</v>
      </c>
      <c r="F432" s="4">
        <f>Tabela14[[#This Row],[Tensão (Pa)]]/1000000</f>
        <v>27.816251154201296</v>
      </c>
    </row>
    <row r="433" spans="1:6" x14ac:dyDescent="0.3">
      <c r="A433" s="4">
        <v>28050</v>
      </c>
      <c r="B433" s="1">
        <v>2.3298000000000001</v>
      </c>
      <c r="C433" s="4">
        <f>Tabela14[[#This Row],[Alongamento (mm/mm)]]/$I$2</f>
        <v>4.6595999999999999E-2</v>
      </c>
      <c r="D433" s="1">
        <v>1239</v>
      </c>
      <c r="E433" s="4">
        <f>Tabela14[[#This Row],[Força (N)]]/$I$5</f>
        <v>28040301.993373532</v>
      </c>
      <c r="F433" s="4">
        <f>Tabela14[[#This Row],[Tensão (Pa)]]/1000000</f>
        <v>28.040301993373532</v>
      </c>
    </row>
    <row r="434" spans="1:6" x14ac:dyDescent="0.3">
      <c r="A434" s="4">
        <v>28267</v>
      </c>
      <c r="B434" s="1">
        <v>2.3479000000000001</v>
      </c>
      <c r="C434" s="4">
        <f>Tabela14[[#This Row],[Alongamento (mm/mm)]]/$I$2</f>
        <v>4.6958E-2</v>
      </c>
      <c r="D434" s="1">
        <v>1249</v>
      </c>
      <c r="E434" s="4">
        <f>Tabela14[[#This Row],[Força (N)]]/$I$5</f>
        <v>28266615.972335383</v>
      </c>
      <c r="F434" s="4">
        <f>Tabela14[[#This Row],[Tensão (Pa)]]/1000000</f>
        <v>28.266615972335384</v>
      </c>
    </row>
    <row r="435" spans="1:6" x14ac:dyDescent="0.3">
      <c r="A435" s="4">
        <v>28483</v>
      </c>
      <c r="B435" s="1">
        <v>2.3658999999999999</v>
      </c>
      <c r="C435" s="4">
        <f>Tabela14[[#This Row],[Alongamento (mm/mm)]]/$I$2</f>
        <v>4.7317999999999999E-2</v>
      </c>
      <c r="D435" s="1">
        <v>1259.0999999999999</v>
      </c>
      <c r="E435" s="4">
        <f>Tabela14[[#This Row],[Força (N)]]/$I$5</f>
        <v>28495193.091086853</v>
      </c>
      <c r="F435" s="4">
        <f>Tabela14[[#This Row],[Tensão (Pa)]]/1000000</f>
        <v>28.495193091086854</v>
      </c>
    </row>
    <row r="436" spans="1:6" x14ac:dyDescent="0.3">
      <c r="A436" s="4">
        <v>28700</v>
      </c>
      <c r="B436" s="1">
        <v>2.3839999999999999</v>
      </c>
      <c r="C436" s="4">
        <f>Tabela14[[#This Row],[Alongamento (mm/mm)]]/$I$2</f>
        <v>4.768E-2</v>
      </c>
      <c r="D436" s="1">
        <v>1269.0999999999999</v>
      </c>
      <c r="E436" s="4">
        <f>Tabela14[[#This Row],[Força (N)]]/$I$5</f>
        <v>28721507.070048705</v>
      </c>
      <c r="F436" s="4">
        <f>Tabela14[[#This Row],[Tensão (Pa)]]/1000000</f>
        <v>28.721507070048705</v>
      </c>
    </row>
    <row r="437" spans="1:6" x14ac:dyDescent="0.3">
      <c r="A437" s="4">
        <v>28917</v>
      </c>
      <c r="B437" s="1">
        <v>2.4020000000000001</v>
      </c>
      <c r="C437" s="4">
        <f>Tabela14[[#This Row],[Alongamento (mm/mm)]]/$I$2</f>
        <v>4.8039999999999999E-2</v>
      </c>
      <c r="D437" s="1">
        <v>1279.0999999999999</v>
      </c>
      <c r="E437" s="4">
        <f>Tabela14[[#This Row],[Força (N)]]/$I$5</f>
        <v>28947821.049010556</v>
      </c>
      <c r="F437" s="4">
        <f>Tabela14[[#This Row],[Tensão (Pa)]]/1000000</f>
        <v>28.947821049010557</v>
      </c>
    </row>
    <row r="438" spans="1:6" x14ac:dyDescent="0.3">
      <c r="A438" s="4">
        <v>29133</v>
      </c>
      <c r="B438" s="1">
        <v>2.4201999999999999</v>
      </c>
      <c r="C438" s="4">
        <f>Tabela14[[#This Row],[Alongamento (mm/mm)]]/$I$2</f>
        <v>4.8403999999999996E-2</v>
      </c>
      <c r="D438" s="1">
        <v>1289.2</v>
      </c>
      <c r="E438" s="4">
        <f>Tabela14[[#This Row],[Força (N)]]/$I$5</f>
        <v>29176398.16776203</v>
      </c>
      <c r="F438" s="4">
        <f>Tabela14[[#This Row],[Tensão (Pa)]]/1000000</f>
        <v>29.176398167762031</v>
      </c>
    </row>
    <row r="439" spans="1:6" x14ac:dyDescent="0.3">
      <c r="A439" s="4">
        <v>29350</v>
      </c>
      <c r="B439" s="1">
        <v>2.4380999999999999</v>
      </c>
      <c r="C439" s="4">
        <f>Tabela14[[#This Row],[Alongamento (mm/mm)]]/$I$2</f>
        <v>4.8762E-2</v>
      </c>
      <c r="D439" s="1">
        <v>1299.2</v>
      </c>
      <c r="E439" s="4">
        <f>Tabela14[[#This Row],[Força (N)]]/$I$5</f>
        <v>29402712.146723885</v>
      </c>
      <c r="F439" s="4">
        <f>Tabela14[[#This Row],[Tensão (Pa)]]/1000000</f>
        <v>29.402712146723886</v>
      </c>
    </row>
    <row r="440" spans="1:6" x14ac:dyDescent="0.3">
      <c r="A440" s="4">
        <v>29567</v>
      </c>
      <c r="B440" s="1">
        <v>2.4561999999999999</v>
      </c>
      <c r="C440" s="4">
        <f>Tabela14[[#This Row],[Alongamento (mm/mm)]]/$I$2</f>
        <v>4.9124000000000001E-2</v>
      </c>
      <c r="D440" s="1">
        <v>1309.3</v>
      </c>
      <c r="E440" s="4">
        <f>Tabela14[[#This Row],[Força (N)]]/$I$5</f>
        <v>29631289.265475351</v>
      </c>
      <c r="F440" s="4">
        <f>Tabela14[[#This Row],[Tensão (Pa)]]/1000000</f>
        <v>29.631289265475353</v>
      </c>
    </row>
    <row r="441" spans="1:6" x14ac:dyDescent="0.3">
      <c r="A441" s="4">
        <v>29783</v>
      </c>
      <c r="B441" s="1">
        <v>2.4742000000000002</v>
      </c>
      <c r="C441" s="4">
        <f>Tabela14[[#This Row],[Alongamento (mm/mm)]]/$I$2</f>
        <v>4.9484E-2</v>
      </c>
      <c r="D441" s="1">
        <v>1319.5</v>
      </c>
      <c r="E441" s="4">
        <f>Tabela14[[#This Row],[Força (N)]]/$I$5</f>
        <v>29862129.524016444</v>
      </c>
      <c r="F441" s="4">
        <f>Tabela14[[#This Row],[Tensão (Pa)]]/1000000</f>
        <v>29.862129524016442</v>
      </c>
    </row>
    <row r="442" spans="1:6" x14ac:dyDescent="0.3">
      <c r="A442" s="4">
        <v>30000</v>
      </c>
      <c r="B442" s="1">
        <v>2.4923999999999999</v>
      </c>
      <c r="C442" s="4">
        <f>Tabela14[[#This Row],[Alongamento (mm/mm)]]/$I$2</f>
        <v>4.9847999999999996E-2</v>
      </c>
      <c r="D442" s="1">
        <v>1329.7</v>
      </c>
      <c r="E442" s="4">
        <f>Tabela14[[#This Row],[Força (N)]]/$I$5</f>
        <v>30092969.782557532</v>
      </c>
      <c r="F442" s="4">
        <f>Tabela14[[#This Row],[Tensão (Pa)]]/1000000</f>
        <v>30.092969782557532</v>
      </c>
    </row>
    <row r="443" spans="1:6" x14ac:dyDescent="0.3">
      <c r="A443" s="4">
        <v>30233</v>
      </c>
      <c r="B443" s="1">
        <v>2.5116999999999998</v>
      </c>
      <c r="C443" s="4">
        <f>Tabela14[[#This Row],[Alongamento (mm/mm)]]/$I$2</f>
        <v>5.0233999999999994E-2</v>
      </c>
      <c r="D443" s="1">
        <v>1340.4</v>
      </c>
      <c r="E443" s="4">
        <f>Tabela14[[#This Row],[Força (N)]]/$I$5</f>
        <v>30335125.740046717</v>
      </c>
      <c r="F443" s="4">
        <f>Tabela14[[#This Row],[Tensão (Pa)]]/1000000</f>
        <v>30.335125740046717</v>
      </c>
    </row>
    <row r="444" spans="1:6" x14ac:dyDescent="0.3">
      <c r="A444" s="4">
        <v>30467</v>
      </c>
      <c r="B444" s="1">
        <v>2.5312000000000001</v>
      </c>
      <c r="C444" s="4">
        <f>Tabela14[[#This Row],[Alongamento (mm/mm)]]/$I$2</f>
        <v>5.0624000000000002E-2</v>
      </c>
      <c r="D444" s="1">
        <v>1351.3</v>
      </c>
      <c r="E444" s="4">
        <f>Tabela14[[#This Row],[Força (N)]]/$I$5</f>
        <v>30581807.977115132</v>
      </c>
      <c r="F444" s="4">
        <f>Tabela14[[#This Row],[Tensão (Pa)]]/1000000</f>
        <v>30.581807977115133</v>
      </c>
    </row>
    <row r="445" spans="1:6" x14ac:dyDescent="0.3">
      <c r="A445" s="4">
        <v>30700</v>
      </c>
      <c r="B445" s="1">
        <v>2.5505</v>
      </c>
      <c r="C445" s="4">
        <f>Tabela14[[#This Row],[Alongamento (mm/mm)]]/$I$2</f>
        <v>5.101E-2</v>
      </c>
      <c r="D445" s="1">
        <v>1362</v>
      </c>
      <c r="E445" s="4">
        <f>Tabela14[[#This Row],[Força (N)]]/$I$5</f>
        <v>30823963.934604317</v>
      </c>
      <c r="F445" s="4">
        <f>Tabela14[[#This Row],[Tensão (Pa)]]/1000000</f>
        <v>30.823963934604318</v>
      </c>
    </row>
    <row r="446" spans="1:6" x14ac:dyDescent="0.3">
      <c r="A446" s="4">
        <v>30933</v>
      </c>
      <c r="B446" s="1">
        <v>2.5701000000000001</v>
      </c>
      <c r="C446" s="4">
        <f>Tabela14[[#This Row],[Alongamento (mm/mm)]]/$I$2</f>
        <v>5.1402000000000003E-2</v>
      </c>
      <c r="D446" s="1">
        <v>1372.5</v>
      </c>
      <c r="E446" s="4">
        <f>Tabela14[[#This Row],[Força (N)]]/$I$5</f>
        <v>31061593.612514261</v>
      </c>
      <c r="F446" s="4">
        <f>Tabela14[[#This Row],[Tensão (Pa)]]/1000000</f>
        <v>31.061593612514262</v>
      </c>
    </row>
    <row r="447" spans="1:6" x14ac:dyDescent="0.3">
      <c r="A447" s="4">
        <v>31167</v>
      </c>
      <c r="B447" s="1">
        <v>2.5895000000000001</v>
      </c>
      <c r="C447" s="4">
        <f>Tabela14[[#This Row],[Alongamento (mm/mm)]]/$I$2</f>
        <v>5.1790000000000003E-2</v>
      </c>
      <c r="D447" s="1">
        <v>1383.2</v>
      </c>
      <c r="E447" s="4">
        <f>Tabela14[[#This Row],[Força (N)]]/$I$5</f>
        <v>31303749.570003446</v>
      </c>
      <c r="F447" s="4">
        <f>Tabela14[[#This Row],[Tensão (Pa)]]/1000000</f>
        <v>31.303749570003447</v>
      </c>
    </row>
    <row r="448" spans="1:6" x14ac:dyDescent="0.3">
      <c r="A448" s="4">
        <v>31400</v>
      </c>
      <c r="B448" s="1">
        <v>2.6091000000000002</v>
      </c>
      <c r="C448" s="4">
        <f>Tabela14[[#This Row],[Alongamento (mm/mm)]]/$I$2</f>
        <v>5.2182000000000006E-2</v>
      </c>
      <c r="D448" s="1">
        <v>1393.8</v>
      </c>
      <c r="E448" s="4">
        <f>Tabela14[[#This Row],[Força (N)]]/$I$5</f>
        <v>31543642.387703005</v>
      </c>
      <c r="F448" s="4">
        <f>Tabela14[[#This Row],[Tensão (Pa)]]/1000000</f>
        <v>31.543642387703006</v>
      </c>
    </row>
    <row r="449" spans="1:6" x14ac:dyDescent="0.3">
      <c r="A449" s="4">
        <v>31650</v>
      </c>
      <c r="B449" s="1">
        <v>2.6297999999999999</v>
      </c>
      <c r="C449" s="4">
        <f>Tabela14[[#This Row],[Alongamento (mm/mm)]]/$I$2</f>
        <v>5.2595999999999997E-2</v>
      </c>
      <c r="D449" s="1">
        <v>1405</v>
      </c>
      <c r="E449" s="4">
        <f>Tabela14[[#This Row],[Força (N)]]/$I$5</f>
        <v>31797114.044140283</v>
      </c>
      <c r="F449" s="4">
        <f>Tabela14[[#This Row],[Tensão (Pa)]]/1000000</f>
        <v>31.797114044140283</v>
      </c>
    </row>
    <row r="450" spans="1:6" x14ac:dyDescent="0.3">
      <c r="A450" s="4">
        <v>31900</v>
      </c>
      <c r="B450" s="1">
        <v>2.6507000000000001</v>
      </c>
      <c r="C450" s="4">
        <f>Tabela14[[#This Row],[Alongamento (mm/mm)]]/$I$2</f>
        <v>5.3013999999999999E-2</v>
      </c>
      <c r="D450" s="1">
        <v>1416.1</v>
      </c>
      <c r="E450" s="4">
        <f>Tabela14[[#This Row],[Força (N)]]/$I$5</f>
        <v>32048322.560787939</v>
      </c>
      <c r="F450" s="4">
        <f>Tabela14[[#This Row],[Tensão (Pa)]]/1000000</f>
        <v>32.048322560787938</v>
      </c>
    </row>
    <row r="451" spans="1:6" x14ac:dyDescent="0.3">
      <c r="A451" s="4">
        <v>32150</v>
      </c>
      <c r="B451" s="1">
        <v>2.6715</v>
      </c>
      <c r="C451" s="4">
        <f>Tabela14[[#This Row],[Alongamento (mm/mm)]]/$I$2</f>
        <v>5.3429999999999998E-2</v>
      </c>
      <c r="D451" s="1">
        <v>1427.1</v>
      </c>
      <c r="E451" s="4">
        <f>Tabela14[[#This Row],[Força (N)]]/$I$5</f>
        <v>32297267.937645976</v>
      </c>
      <c r="F451" s="4">
        <f>Tabela14[[#This Row],[Tensão (Pa)]]/1000000</f>
        <v>32.297267937645977</v>
      </c>
    </row>
    <row r="452" spans="1:6" x14ac:dyDescent="0.3">
      <c r="A452" s="4">
        <v>32400</v>
      </c>
      <c r="B452" s="1">
        <v>2.6922999999999999</v>
      </c>
      <c r="C452" s="4">
        <f>Tabela14[[#This Row],[Alongamento (mm/mm)]]/$I$2</f>
        <v>5.3845999999999998E-2</v>
      </c>
      <c r="D452" s="1">
        <v>1438.2</v>
      </c>
      <c r="E452" s="4">
        <f>Tabela14[[#This Row],[Força (N)]]/$I$5</f>
        <v>32548476.454293635</v>
      </c>
      <c r="F452" s="4">
        <f>Tabela14[[#This Row],[Tensão (Pa)]]/1000000</f>
        <v>32.548476454293635</v>
      </c>
    </row>
    <row r="453" spans="1:6" x14ac:dyDescent="0.3">
      <c r="A453" s="4">
        <v>32667</v>
      </c>
      <c r="B453" s="1">
        <v>2.7145000000000001</v>
      </c>
      <c r="C453" s="4">
        <f>Tabela14[[#This Row],[Alongamento (mm/mm)]]/$I$2</f>
        <v>5.4290000000000005E-2</v>
      </c>
      <c r="D453" s="1">
        <v>1449.9</v>
      </c>
      <c r="E453" s="4">
        <f>Tabela14[[#This Row],[Força (N)]]/$I$5</f>
        <v>32813263.809679002</v>
      </c>
      <c r="F453" s="4">
        <f>Tabela14[[#This Row],[Tensão (Pa)]]/1000000</f>
        <v>32.813263809679</v>
      </c>
    </row>
    <row r="454" spans="1:6" x14ac:dyDescent="0.3">
      <c r="A454" s="4">
        <v>32933</v>
      </c>
      <c r="B454" s="1">
        <v>2.7366000000000001</v>
      </c>
      <c r="C454" s="4">
        <f>Tabela14[[#This Row],[Alongamento (mm/mm)]]/$I$2</f>
        <v>5.4732000000000003E-2</v>
      </c>
      <c r="D454" s="1">
        <v>1461.5</v>
      </c>
      <c r="E454" s="4">
        <f>Tabela14[[#This Row],[Força (N)]]/$I$5</f>
        <v>33075788.02527475</v>
      </c>
      <c r="F454" s="4">
        <f>Tabela14[[#This Row],[Tensão (Pa)]]/1000000</f>
        <v>33.075788025274747</v>
      </c>
    </row>
    <row r="455" spans="1:6" x14ac:dyDescent="0.3">
      <c r="A455" s="4">
        <v>33200</v>
      </c>
      <c r="B455" s="1">
        <v>2.7589999999999999</v>
      </c>
      <c r="C455" s="4">
        <f>Tabela14[[#This Row],[Alongamento (mm/mm)]]/$I$2</f>
        <v>5.518E-2</v>
      </c>
      <c r="D455" s="1">
        <v>1473.1</v>
      </c>
      <c r="E455" s="4">
        <f>Tabela14[[#This Row],[Força (N)]]/$I$5</f>
        <v>33338312.240870498</v>
      </c>
      <c r="F455" s="4">
        <f>Tabela14[[#This Row],[Tensão (Pa)]]/1000000</f>
        <v>33.338312240870501</v>
      </c>
    </row>
    <row r="456" spans="1:6" x14ac:dyDescent="0.3">
      <c r="A456" s="4">
        <v>33467</v>
      </c>
      <c r="B456" s="1">
        <v>2.7812000000000001</v>
      </c>
      <c r="C456" s="4">
        <f>Tabela14[[#This Row],[Alongamento (mm/mm)]]/$I$2</f>
        <v>5.5624E-2</v>
      </c>
      <c r="D456" s="1">
        <v>1484.6</v>
      </c>
      <c r="E456" s="4">
        <f>Tabela14[[#This Row],[Força (N)]]/$I$5</f>
        <v>33598573.316676624</v>
      </c>
      <c r="F456" s="4">
        <f>Tabela14[[#This Row],[Tensão (Pa)]]/1000000</f>
        <v>33.598573316676621</v>
      </c>
    </row>
    <row r="457" spans="1:6" x14ac:dyDescent="0.3">
      <c r="A457" s="4">
        <v>33733</v>
      </c>
      <c r="B457" s="1">
        <v>2.8033999999999999</v>
      </c>
      <c r="C457" s="4">
        <f>Tabela14[[#This Row],[Alongamento (mm/mm)]]/$I$2</f>
        <v>5.6068E-2</v>
      </c>
      <c r="D457" s="1">
        <v>1495.8</v>
      </c>
      <c r="E457" s="4">
        <f>Tabela14[[#This Row],[Força (N)]]/$I$5</f>
        <v>33852044.973113902</v>
      </c>
      <c r="F457" s="4">
        <f>Tabela14[[#This Row],[Tensão (Pa)]]/1000000</f>
        <v>33.852044973113905</v>
      </c>
    </row>
    <row r="458" spans="1:6" x14ac:dyDescent="0.3">
      <c r="A458" s="4">
        <v>34000</v>
      </c>
      <c r="B458" s="1">
        <v>2.8256000000000001</v>
      </c>
      <c r="C458" s="4">
        <f>Tabela14[[#This Row],[Alongamento (mm/mm)]]/$I$2</f>
        <v>5.6512E-2</v>
      </c>
      <c r="D458" s="1">
        <v>1507.1</v>
      </c>
      <c r="E458" s="4">
        <f>Tabela14[[#This Row],[Força (N)]]/$I$5</f>
        <v>34107779.769340798</v>
      </c>
      <c r="F458" s="4">
        <f>Tabela14[[#This Row],[Tensão (Pa)]]/1000000</f>
        <v>34.107779769340802</v>
      </c>
    </row>
    <row r="459" spans="1:6" x14ac:dyDescent="0.3">
      <c r="A459" s="4">
        <v>34267</v>
      </c>
      <c r="B459" s="1">
        <v>2.8479000000000001</v>
      </c>
      <c r="C459" s="4">
        <f>Tabela14[[#This Row],[Alongamento (mm/mm)]]/$I$2</f>
        <v>5.6958000000000002E-2</v>
      </c>
      <c r="D459" s="1">
        <v>1518.1</v>
      </c>
      <c r="E459" s="4">
        <f>Tabela14[[#This Row],[Força (N)]]/$I$5</f>
        <v>34356725.146198831</v>
      </c>
      <c r="F459" s="4">
        <f>Tabela14[[#This Row],[Tensão (Pa)]]/1000000</f>
        <v>34.356725146198833</v>
      </c>
    </row>
    <row r="460" spans="1:6" x14ac:dyDescent="0.3">
      <c r="A460" s="4">
        <v>34533</v>
      </c>
      <c r="B460" s="1">
        <v>2.8700999999999999</v>
      </c>
      <c r="C460" s="4">
        <f>Tabela14[[#This Row],[Alongamento (mm/mm)]]/$I$2</f>
        <v>5.7401999999999995E-2</v>
      </c>
      <c r="D460" s="1">
        <v>1530</v>
      </c>
      <c r="E460" s="4">
        <f>Tabela14[[#This Row],[Força (N)]]/$I$5</f>
        <v>34626038.781163439</v>
      </c>
      <c r="F460" s="4">
        <f>Tabela14[[#This Row],[Tensão (Pa)]]/1000000</f>
        <v>34.626038781163437</v>
      </c>
    </row>
    <row r="461" spans="1:6" x14ac:dyDescent="0.3">
      <c r="A461" s="4">
        <v>34817</v>
      </c>
      <c r="B461" s="1">
        <v>2.8936999999999999</v>
      </c>
      <c r="C461" s="4">
        <f>Tabela14[[#This Row],[Alongamento (mm/mm)]]/$I$2</f>
        <v>5.7874000000000002E-2</v>
      </c>
      <c r="D461" s="1">
        <v>1541.8</v>
      </c>
      <c r="E461" s="4">
        <f>Tabela14[[#This Row],[Força (N)]]/$I$5</f>
        <v>34893089.276338421</v>
      </c>
      <c r="F461" s="4">
        <f>Tabela14[[#This Row],[Tensão (Pa)]]/1000000</f>
        <v>34.893089276338422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C8CB-3A71-4AB7-9139-69A0476E2217}">
  <dimension ref="E24:G25"/>
  <sheetViews>
    <sheetView topLeftCell="B2" workbookViewId="0">
      <selection activeCell="V18" sqref="V18"/>
    </sheetView>
  </sheetViews>
  <sheetFormatPr defaultRowHeight="14.4" x14ac:dyDescent="0.3"/>
  <cols>
    <col min="5" max="5" width="16.33203125" bestFit="1" customWidth="1"/>
  </cols>
  <sheetData>
    <row r="24" spans="5:7" x14ac:dyDescent="0.3">
      <c r="E24" t="s">
        <v>19</v>
      </c>
      <c r="F24" t="s">
        <v>20</v>
      </c>
      <c r="G24" t="s">
        <v>21</v>
      </c>
    </row>
    <row r="25" spans="5:7" x14ac:dyDescent="0.3">
      <c r="E25">
        <f>STDEV('A11-1'!F607,'A11-2'!F608,'A11-3'!F641,'A11-4'!F715,'A11-5'!F461)</f>
        <v>11.703707788615892</v>
      </c>
      <c r="F25" s="1">
        <f>AVERAGE('A11-1'!F607,'A11-2'!F608,'A11-3'!F641,'A11-4'!F715,'A11-5'!F461)</f>
        <v>47.846577736751598</v>
      </c>
      <c r="G25" s="1">
        <f>AVERAGE('A11-1'!D607,'A11-2'!D608,'A11-3'!D641,'A11-4'!D715,'A11-5'!D461)</f>
        <v>1924.9199999999996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A11-1</vt:lpstr>
      <vt:lpstr>A11-2</vt:lpstr>
      <vt:lpstr>A11-3</vt:lpstr>
      <vt:lpstr>A11-4</vt:lpstr>
      <vt:lpstr>A11-5</vt:lpstr>
      <vt:lpstr>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 Silva</dc:creator>
  <cp:keywords/>
  <dc:description/>
  <cp:lastModifiedBy>Davi Silva</cp:lastModifiedBy>
  <cp:revision/>
  <dcterms:created xsi:type="dcterms:W3CDTF">2015-06-05T18:19:34Z</dcterms:created>
  <dcterms:modified xsi:type="dcterms:W3CDTF">2024-10-25T23:22:52Z</dcterms:modified>
  <cp:category/>
  <cp:contentStatus/>
</cp:coreProperties>
</file>